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atriz\Documents\MARIAM\TIENDAS\TIENDAS FISICAS\TIENDAS FISICAS\SCOTIABANK-TIENDAS FISICAS\HONOR MOD AREQUIPA\"/>
    </mc:Choice>
  </mc:AlternateContent>
  <xr:revisionPtr revIDLastSave="0" documentId="13_ncr:1_{E3B12C89-C4DD-4E33-9646-9796D4626917}" xr6:coauthVersionLast="47" xr6:coauthVersionMax="47" xr10:uidLastSave="{00000000-0000-0000-0000-000000000000}"/>
  <bookViews>
    <workbookView xWindow="-120" yWindow="-120" windowWidth="29040" windowHeight="15720" tabRatio="1000" activeTab="5" xr2:uid="{9A7A3A5B-AFB1-4D1B-B91E-5F1DC2C10C48}"/>
  </bookViews>
  <sheets>
    <sheet name="SAP" sheetId="1" r:id="rId1"/>
    <sheet name="REPORTE" sheetId="8" r:id="rId2"/>
    <sheet name="EFECTIVO" sheetId="6" state="hidden" r:id="rId3"/>
    <sheet name="MC" sheetId="3" r:id="rId4"/>
    <sheet name="AMEX" sheetId="4" r:id="rId5"/>
    <sheet name="DINNERS" sheetId="5" r:id="rId6"/>
  </sheets>
  <definedNames>
    <definedName name="_xlnm._FilterDatabase" localSheetId="4" hidden="1">AMEX!$A$1:$X$19</definedName>
    <definedName name="_xlnm._FilterDatabase" localSheetId="5" hidden="1">DINNERS!$A$1:$AA$3</definedName>
    <definedName name="_xlnm._FilterDatabase" localSheetId="2" hidden="1">EFECTIVO!$B$8:$L$39</definedName>
    <definedName name="_xlnm._FilterDatabase" localSheetId="3" hidden="1">MC!$A$1:$AG$90</definedName>
    <definedName name="_xlnm._FilterDatabase" localSheetId="1" hidden="1">REPORTE!$A$1:$AD$29</definedName>
  </definedNames>
  <calcPr calcId="191029"/>
  <pivotCaches>
    <pivotCache cacheId="18" r:id="rId7"/>
    <pivotCache cacheId="19" r:id="rId8"/>
    <pivotCache cacheId="2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8" l="1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AO3" i="3"/>
  <c r="AO4" i="3" s="1"/>
  <c r="AO5" i="3" s="1"/>
  <c r="AO6" i="3" s="1"/>
  <c r="AO7" i="3" s="1"/>
  <c r="AO8" i="3" s="1"/>
  <c r="AO9" i="3" s="1"/>
  <c r="AO10" i="3" s="1"/>
  <c r="AO11" i="3" s="1"/>
  <c r="AO12" i="3" s="1"/>
  <c r="AO13" i="3" s="1"/>
  <c r="AO14" i="3" s="1"/>
  <c r="AO15" i="3" s="1"/>
  <c r="AO16" i="3" s="1"/>
  <c r="AO17" i="3" s="1"/>
  <c r="AO18" i="3" s="1"/>
  <c r="AO19" i="3" s="1"/>
  <c r="AO20" i="3" s="1"/>
  <c r="AO21" i="3" s="1"/>
  <c r="AO22" i="3" s="1"/>
  <c r="AO23" i="3" s="1"/>
  <c r="AO24" i="3" s="1"/>
  <c r="AO25" i="3" s="1"/>
  <c r="AO26" i="3" s="1"/>
  <c r="AO27" i="3" s="1"/>
  <c r="AO28" i="3" s="1"/>
  <c r="AO29" i="3" s="1"/>
  <c r="AO30" i="3" s="1"/>
  <c r="AO31" i="3" s="1"/>
  <c r="AO32" i="3" s="1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L32" i="8"/>
  <c r="J32" i="8"/>
  <c r="H32" i="8"/>
  <c r="A32" i="8"/>
  <c r="B32" i="8"/>
  <c r="C32" i="8"/>
  <c r="D32" i="8"/>
  <c r="E32" i="8"/>
  <c r="F32" i="8"/>
  <c r="L28" i="8"/>
  <c r="B39" i="6" l="1"/>
  <c r="M39" i="6" s="1"/>
  <c r="C39" i="6"/>
  <c r="N39" i="6" s="1"/>
  <c r="A30" i="8"/>
  <c r="B30" i="8"/>
  <c r="C30" i="8"/>
  <c r="D30" i="8"/>
  <c r="E30" i="8"/>
  <c r="F30" i="8"/>
  <c r="H30" i="8"/>
  <c r="J30" i="8"/>
  <c r="L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31" i="8"/>
  <c r="B31" i="8"/>
  <c r="C31" i="8"/>
  <c r="D31" i="8"/>
  <c r="E31" i="8"/>
  <c r="F31" i="8"/>
  <c r="H31" i="8"/>
  <c r="J31" i="8"/>
  <c r="L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G32" i="8" l="1"/>
  <c r="H39" i="6"/>
  <c r="J26" i="8"/>
  <c r="C24" i="6"/>
  <c r="N24" i="6" l="1"/>
  <c r="C12" i="6"/>
  <c r="N12" i="6" l="1"/>
  <c r="H12" i="6"/>
  <c r="AF3" i="5"/>
  <c r="AF4" i="5" s="1"/>
  <c r="AF5" i="5" s="1"/>
  <c r="AF6" i="5" s="1"/>
  <c r="AF7" i="5" s="1"/>
  <c r="AF8" i="5" s="1"/>
  <c r="AF9" i="5" s="1"/>
  <c r="AF10" i="5" s="1"/>
  <c r="AF11" i="5" s="1"/>
  <c r="AF12" i="5" s="1"/>
  <c r="AF13" i="5" s="1"/>
  <c r="AF14" i="5" s="1"/>
  <c r="AF15" i="5" s="1"/>
  <c r="AF16" i="5" s="1"/>
  <c r="AF17" i="5" s="1"/>
  <c r="AF18" i="5" s="1"/>
  <c r="AF19" i="5" s="1"/>
  <c r="AF20" i="5" s="1"/>
  <c r="AF21" i="5" s="1"/>
  <c r="AF22" i="5" s="1"/>
  <c r="AF23" i="5" s="1"/>
  <c r="AF24" i="5" s="1"/>
  <c r="AF25" i="5" s="1"/>
  <c r="AF26" i="5" s="1"/>
  <c r="AF27" i="5" s="1"/>
  <c r="AF28" i="5" s="1"/>
  <c r="AF29" i="5" s="1"/>
  <c r="AF30" i="5" s="1"/>
  <c r="AF31" i="5" s="1"/>
  <c r="AF32" i="5" s="1"/>
  <c r="AF3" i="4"/>
  <c r="AF4" i="4" s="1"/>
  <c r="AF5" i="4" s="1"/>
  <c r="AF6" i="4" s="1"/>
  <c r="AF7" i="4" s="1"/>
  <c r="AF8" i="4" s="1"/>
  <c r="AF9" i="4" s="1"/>
  <c r="AF10" i="4" s="1"/>
  <c r="AF11" i="4" s="1"/>
  <c r="AF12" i="4" s="1"/>
  <c r="AF13" i="4" s="1"/>
  <c r="AF14" i="4" s="1"/>
  <c r="AF15" i="4" s="1"/>
  <c r="AF16" i="4" s="1"/>
  <c r="AF17" i="4" s="1"/>
  <c r="AF18" i="4" s="1"/>
  <c r="AF19" i="4" s="1"/>
  <c r="AF20" i="4" s="1"/>
  <c r="AF21" i="4" s="1"/>
  <c r="AF22" i="4" s="1"/>
  <c r="AF23" i="4" s="1"/>
  <c r="AF24" i="4" s="1"/>
  <c r="AF25" i="4" s="1"/>
  <c r="AF26" i="4" s="1"/>
  <c r="AF27" i="4" s="1"/>
  <c r="AF28" i="4" s="1"/>
  <c r="AF29" i="4" s="1"/>
  <c r="AF30" i="4" s="1"/>
  <c r="AF31" i="4" s="1"/>
  <c r="AF32" i="4" s="1"/>
  <c r="B38" i="6" l="1"/>
  <c r="M38" i="6" s="1"/>
  <c r="C38" i="6"/>
  <c r="C31" i="6"/>
  <c r="C32" i="6"/>
  <c r="C33" i="6"/>
  <c r="C34" i="6"/>
  <c r="C35" i="6"/>
  <c r="C36" i="6"/>
  <c r="C37" i="6"/>
  <c r="B31" i="6"/>
  <c r="M31" i="6" s="1"/>
  <c r="B32" i="6"/>
  <c r="M32" i="6" s="1"/>
  <c r="B33" i="6"/>
  <c r="M33" i="6" s="1"/>
  <c r="B34" i="6"/>
  <c r="M34" i="6" s="1"/>
  <c r="B35" i="6"/>
  <c r="M35" i="6" s="1"/>
  <c r="B36" i="6"/>
  <c r="M36" i="6" s="1"/>
  <c r="B37" i="6"/>
  <c r="M37" i="6" s="1"/>
  <c r="C13" i="6"/>
  <c r="B12" i="6"/>
  <c r="M12" i="6" s="1"/>
  <c r="B13" i="6"/>
  <c r="M13" i="6" s="1"/>
  <c r="B14" i="6"/>
  <c r="M14" i="6" s="1"/>
  <c r="C14" i="6"/>
  <c r="B15" i="6"/>
  <c r="M15" i="6" s="1"/>
  <c r="C15" i="6"/>
  <c r="N15" i="6" s="1"/>
  <c r="B16" i="6"/>
  <c r="M16" i="6" s="1"/>
  <c r="C16" i="6"/>
  <c r="N16" i="6" s="1"/>
  <c r="B17" i="6"/>
  <c r="M17" i="6" s="1"/>
  <c r="C17" i="6"/>
  <c r="B18" i="6"/>
  <c r="M18" i="6" s="1"/>
  <c r="C18" i="6"/>
  <c r="B19" i="6"/>
  <c r="M19" i="6" s="1"/>
  <c r="C19" i="6"/>
  <c r="B20" i="6"/>
  <c r="M20" i="6" s="1"/>
  <c r="C20" i="6"/>
  <c r="N20" i="6" s="1"/>
  <c r="B21" i="6"/>
  <c r="M21" i="6" s="1"/>
  <c r="C21" i="6"/>
  <c r="B22" i="6"/>
  <c r="M22" i="6" s="1"/>
  <c r="C22" i="6"/>
  <c r="B23" i="6"/>
  <c r="M23" i="6" s="1"/>
  <c r="C23" i="6"/>
  <c r="N23" i="6" s="1"/>
  <c r="B24" i="6"/>
  <c r="M24" i="6" s="1"/>
  <c r="B25" i="6"/>
  <c r="M25" i="6" s="1"/>
  <c r="C25" i="6"/>
  <c r="B26" i="6"/>
  <c r="M26" i="6" s="1"/>
  <c r="C26" i="6"/>
  <c r="B27" i="6"/>
  <c r="M27" i="6" s="1"/>
  <c r="C27" i="6"/>
  <c r="B28" i="6"/>
  <c r="M28" i="6" s="1"/>
  <c r="C28" i="6"/>
  <c r="B29" i="6"/>
  <c r="M29" i="6" s="1"/>
  <c r="C29" i="6"/>
  <c r="B30" i="6"/>
  <c r="M30" i="6" s="1"/>
  <c r="C30" i="6"/>
  <c r="B10" i="6"/>
  <c r="M10" i="6" s="1"/>
  <c r="C10" i="6"/>
  <c r="B11" i="6"/>
  <c r="M11" i="6" s="1"/>
  <c r="C11" i="6"/>
  <c r="C9" i="6"/>
  <c r="B9" i="6"/>
  <c r="M9" i="6" s="1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L18" i="8"/>
  <c r="L19" i="8"/>
  <c r="L20" i="8"/>
  <c r="L21" i="8"/>
  <c r="L22" i="8"/>
  <c r="L23" i="8"/>
  <c r="L24" i="8"/>
  <c r="L25" i="8"/>
  <c r="L26" i="8"/>
  <c r="L27" i="8"/>
  <c r="L29" i="8"/>
  <c r="J18" i="8"/>
  <c r="J19" i="8"/>
  <c r="J20" i="8"/>
  <c r="J21" i="8"/>
  <c r="J22" i="8"/>
  <c r="J23" i="8"/>
  <c r="J24" i="8"/>
  <c r="J25" i="8"/>
  <c r="J27" i="8"/>
  <c r="J28" i="8"/>
  <c r="J29" i="8"/>
  <c r="H18" i="8"/>
  <c r="H19" i="8"/>
  <c r="H20" i="8"/>
  <c r="H21" i="8"/>
  <c r="H22" i="8"/>
  <c r="H23" i="8"/>
  <c r="H24" i="8"/>
  <c r="H25" i="8"/>
  <c r="H26" i="8"/>
  <c r="H27" i="8"/>
  <c r="H28" i="8"/>
  <c r="H29" i="8"/>
  <c r="F18" i="8"/>
  <c r="F19" i="8"/>
  <c r="F20" i="8"/>
  <c r="F21" i="8"/>
  <c r="F22" i="8"/>
  <c r="F23" i="8"/>
  <c r="F24" i="8"/>
  <c r="F25" i="8"/>
  <c r="F26" i="8"/>
  <c r="F27" i="8"/>
  <c r="F28" i="8"/>
  <c r="F29" i="8"/>
  <c r="E18" i="8"/>
  <c r="E19" i="8"/>
  <c r="E20" i="8"/>
  <c r="E21" i="8"/>
  <c r="E22" i="8"/>
  <c r="E23" i="8"/>
  <c r="E24" i="8"/>
  <c r="E25" i="8"/>
  <c r="E26" i="8"/>
  <c r="E27" i="8"/>
  <c r="E28" i="8"/>
  <c r="E29" i="8"/>
  <c r="D18" i="8"/>
  <c r="D19" i="8"/>
  <c r="D20" i="8"/>
  <c r="D21" i="8"/>
  <c r="D22" i="8"/>
  <c r="D23" i="8"/>
  <c r="D24" i="8"/>
  <c r="D25" i="8"/>
  <c r="D26" i="8"/>
  <c r="D27" i="8"/>
  <c r="D28" i="8"/>
  <c r="D29" i="8"/>
  <c r="C18" i="8"/>
  <c r="C19" i="8"/>
  <c r="C20" i="8"/>
  <c r="C21" i="8"/>
  <c r="C22" i="8"/>
  <c r="C23" i="8"/>
  <c r="C24" i="8"/>
  <c r="C25" i="8"/>
  <c r="C26" i="8"/>
  <c r="C27" i="8"/>
  <c r="C28" i="8"/>
  <c r="C29" i="8"/>
  <c r="B18" i="8"/>
  <c r="B19" i="8"/>
  <c r="B20" i="8"/>
  <c r="B21" i="8"/>
  <c r="B22" i="8"/>
  <c r="B23" i="8"/>
  <c r="B24" i="8"/>
  <c r="B25" i="8"/>
  <c r="B26" i="8"/>
  <c r="B27" i="8"/>
  <c r="B28" i="8"/>
  <c r="B29" i="8"/>
  <c r="A28" i="8"/>
  <c r="A29" i="8"/>
  <c r="A27" i="8"/>
  <c r="A18" i="8"/>
  <c r="A19" i="8"/>
  <c r="A20" i="8"/>
  <c r="A21" i="8"/>
  <c r="A22" i="8"/>
  <c r="A23" i="8"/>
  <c r="A24" i="8"/>
  <c r="A25" i="8"/>
  <c r="A26" i="8"/>
  <c r="N10" i="6" l="1"/>
  <c r="H10" i="6"/>
  <c r="N28" i="6"/>
  <c r="H28" i="6"/>
  <c r="N25" i="6"/>
  <c r="H24" i="6"/>
  <c r="N34" i="6"/>
  <c r="H34" i="6"/>
  <c r="N21" i="6"/>
  <c r="H21" i="6"/>
  <c r="N18" i="6"/>
  <c r="H18" i="6"/>
  <c r="N13" i="6"/>
  <c r="H13" i="6"/>
  <c r="N33" i="6"/>
  <c r="H33" i="6"/>
  <c r="N30" i="6"/>
  <c r="H30" i="6"/>
  <c r="N27" i="6"/>
  <c r="H27" i="6"/>
  <c r="H32" i="6"/>
  <c r="N32" i="6"/>
  <c r="N9" i="6"/>
  <c r="H9" i="6"/>
  <c r="N17" i="6"/>
  <c r="H17" i="6"/>
  <c r="N14" i="6"/>
  <c r="H14" i="6"/>
  <c r="H37" i="6"/>
  <c r="N37" i="6"/>
  <c r="H31" i="6"/>
  <c r="N31" i="6"/>
  <c r="N26" i="6"/>
  <c r="H26" i="6"/>
  <c r="N11" i="6"/>
  <c r="H11" i="6"/>
  <c r="H29" i="6"/>
  <c r="N29" i="6"/>
  <c r="N36" i="6"/>
  <c r="H36" i="6"/>
  <c r="H38" i="6"/>
  <c r="N38" i="6"/>
  <c r="N22" i="6"/>
  <c r="H22" i="6"/>
  <c r="N19" i="6"/>
  <c r="H19" i="6"/>
  <c r="H35" i="6"/>
  <c r="N35" i="6"/>
  <c r="G30" i="8"/>
  <c r="G31" i="8"/>
  <c r="G19" i="8"/>
  <c r="G42" i="6"/>
  <c r="G25" i="8"/>
  <c r="G29" i="8"/>
  <c r="G26" i="8"/>
  <c r="G27" i="8"/>
  <c r="G28" i="8"/>
  <c r="G24" i="8"/>
  <c r="G18" i="8"/>
  <c r="G22" i="8"/>
  <c r="G21" i="8"/>
  <c r="G23" i="8"/>
  <c r="G20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J4" i="8"/>
  <c r="K4" i="8" s="1"/>
  <c r="J5" i="8"/>
  <c r="K5" i="8" s="1"/>
  <c r="J6" i="8"/>
  <c r="K6" i="8" s="1"/>
  <c r="J7" i="8"/>
  <c r="K7" i="8" s="1"/>
  <c r="J8" i="8"/>
  <c r="K8" i="8" s="1"/>
  <c r="J9" i="8"/>
  <c r="K9" i="8" s="1"/>
  <c r="J10" i="8"/>
  <c r="K10" i="8" s="1"/>
  <c r="J11" i="8"/>
  <c r="K11" i="8" s="1"/>
  <c r="J12" i="8"/>
  <c r="K12" i="8" s="1"/>
  <c r="J13" i="8"/>
  <c r="K13" i="8" s="1"/>
  <c r="J14" i="8"/>
  <c r="K14" i="8" s="1"/>
  <c r="J15" i="8"/>
  <c r="J16" i="8"/>
  <c r="J17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A17" i="8"/>
  <c r="B17" i="8"/>
  <c r="C17" i="8"/>
  <c r="D17" i="8"/>
  <c r="E17" i="8"/>
  <c r="F17" i="8"/>
  <c r="G17" i="8" s="1"/>
  <c r="A4" i="8"/>
  <c r="B4" i="8"/>
  <c r="C4" i="8"/>
  <c r="D4" i="8"/>
  <c r="E4" i="8"/>
  <c r="F4" i="8"/>
  <c r="G4" i="8" s="1"/>
  <c r="A5" i="8"/>
  <c r="B5" i="8"/>
  <c r="C5" i="8"/>
  <c r="D5" i="8"/>
  <c r="E5" i="8"/>
  <c r="F5" i="8"/>
  <c r="G5" i="8" s="1"/>
  <c r="A6" i="8"/>
  <c r="B6" i="8"/>
  <c r="C6" i="8"/>
  <c r="D6" i="8"/>
  <c r="E6" i="8"/>
  <c r="F6" i="8"/>
  <c r="G6" i="8" s="1"/>
  <c r="A7" i="8"/>
  <c r="B7" i="8"/>
  <c r="C7" i="8"/>
  <c r="D7" i="8"/>
  <c r="E7" i="8"/>
  <c r="F7" i="8"/>
  <c r="G7" i="8" s="1"/>
  <c r="A8" i="8"/>
  <c r="B8" i="8"/>
  <c r="C8" i="8"/>
  <c r="D8" i="8"/>
  <c r="E8" i="8"/>
  <c r="F8" i="8"/>
  <c r="G8" i="8" s="1"/>
  <c r="A9" i="8"/>
  <c r="B9" i="8"/>
  <c r="C9" i="8"/>
  <c r="D9" i="8"/>
  <c r="E9" i="8"/>
  <c r="F9" i="8"/>
  <c r="G9" i="8" s="1"/>
  <c r="A10" i="8"/>
  <c r="B10" i="8"/>
  <c r="C10" i="8"/>
  <c r="D10" i="8"/>
  <c r="E10" i="8"/>
  <c r="F10" i="8"/>
  <c r="G10" i="8" s="1"/>
  <c r="A11" i="8"/>
  <c r="B11" i="8"/>
  <c r="C11" i="8"/>
  <c r="D11" i="8"/>
  <c r="E11" i="8"/>
  <c r="F11" i="8"/>
  <c r="G11" i="8" s="1"/>
  <c r="A12" i="8"/>
  <c r="B12" i="8"/>
  <c r="C12" i="8"/>
  <c r="D12" i="8"/>
  <c r="E12" i="8"/>
  <c r="F12" i="8"/>
  <c r="G12" i="8" s="1"/>
  <c r="A13" i="8"/>
  <c r="B13" i="8"/>
  <c r="C13" i="8"/>
  <c r="D13" i="8"/>
  <c r="E13" i="8"/>
  <c r="F13" i="8"/>
  <c r="G13" i="8" s="1"/>
  <c r="A14" i="8"/>
  <c r="B14" i="8"/>
  <c r="C14" i="8"/>
  <c r="D14" i="8"/>
  <c r="E14" i="8"/>
  <c r="F14" i="8"/>
  <c r="G14" i="8" s="1"/>
  <c r="A15" i="8"/>
  <c r="B15" i="8"/>
  <c r="C15" i="8"/>
  <c r="D15" i="8"/>
  <c r="E15" i="8"/>
  <c r="F15" i="8"/>
  <c r="G15" i="8" s="1"/>
  <c r="A16" i="8"/>
  <c r="B16" i="8"/>
  <c r="C16" i="8"/>
  <c r="D16" i="8"/>
  <c r="E16" i="8"/>
  <c r="F16" i="8"/>
  <c r="G16" i="8" s="1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L2" i="8"/>
  <c r="M2" i="8" s="1"/>
  <c r="L3" i="8"/>
  <c r="J2" i="8"/>
  <c r="K2" i="8" s="1"/>
  <c r="J3" i="8"/>
  <c r="K3" i="8" s="1"/>
  <c r="H2" i="8"/>
  <c r="I2" i="8" s="1"/>
  <c r="H3" i="8"/>
  <c r="A2" i="8"/>
  <c r="B2" i="8"/>
  <c r="C2" i="8"/>
  <c r="D2" i="8"/>
  <c r="E2" i="8"/>
  <c r="F2" i="8"/>
  <c r="G2" i="8" s="1"/>
  <c r="A3" i="8"/>
  <c r="B3" i="8"/>
  <c r="C3" i="8"/>
  <c r="D3" i="8"/>
  <c r="E3" i="8"/>
  <c r="F3" i="8"/>
  <c r="G3" i="8" s="1"/>
</calcChain>
</file>

<file path=xl/sharedStrings.xml><?xml version="1.0" encoding="utf-8"?>
<sst xmlns="http://schemas.openxmlformats.org/spreadsheetml/2006/main" count="1484" uniqueCount="281">
  <si>
    <t>FECHA</t>
  </si>
  <si>
    <t>ID TIENDA</t>
  </si>
  <si>
    <t>NOMBRE</t>
  </si>
  <si>
    <t>VISA</t>
  </si>
  <si>
    <t>EFECTIVO</t>
  </si>
  <si>
    <t>MASTERCAD</t>
  </si>
  <si>
    <t>DINNERS</t>
  </si>
  <si>
    <t>LUKITA (BBVA)</t>
  </si>
  <si>
    <t>TUNKY (INTERBANK)</t>
  </si>
  <si>
    <t>WALI (INTERBANK)</t>
  </si>
  <si>
    <t>YAPE (BCP)</t>
  </si>
  <si>
    <t>MILLAS INTERBANK</t>
  </si>
  <si>
    <t>PUNTOS VIDA (BBVA)</t>
  </si>
  <si>
    <t>TRANSFERENCIA MALVITEC</t>
  </si>
  <si>
    <t>RAPPI</t>
  </si>
  <si>
    <t>ADELANTO (PRE-VENTA)</t>
  </si>
  <si>
    <t>YAPE (BCP) - 2</t>
  </si>
  <si>
    <t>YAPE (BCP) - 3</t>
  </si>
  <si>
    <t>SANTANDER</t>
  </si>
  <si>
    <t>MIS CUOTAS</t>
  </si>
  <si>
    <t>CÁLIDDA</t>
  </si>
  <si>
    <t>CUOTEALO</t>
  </si>
  <si>
    <t>TOTAL</t>
  </si>
  <si>
    <t>NOTA CREDITO</t>
  </si>
  <si>
    <t>AMERICAN
 EXPRESS</t>
  </si>
  <si>
    <t>DIFERENCIA</t>
  </si>
  <si>
    <t>ESTADO</t>
  </si>
  <si>
    <t>TOTAL 
VENTA</t>
  </si>
  <si>
    <t>CONTAB.</t>
  </si>
  <si>
    <t>NOTA 
CREDITO</t>
  </si>
  <si>
    <t>Codigo</t>
  </si>
  <si>
    <t>Producto</t>
  </si>
  <si>
    <t>Tipo_Mov</t>
  </si>
  <si>
    <t>Fecha_Proceso</t>
  </si>
  <si>
    <t>Fecha_Lote</t>
  </si>
  <si>
    <t>Lote_Manual</t>
  </si>
  <si>
    <t>Lote_Pos</t>
  </si>
  <si>
    <t>Terminal</t>
  </si>
  <si>
    <t>Voucher</t>
  </si>
  <si>
    <t>Autorizacion</t>
  </si>
  <si>
    <t>Cuotas</t>
  </si>
  <si>
    <t>Tarjeta</t>
  </si>
  <si>
    <t>Origen</t>
  </si>
  <si>
    <t>Transaccion</t>
  </si>
  <si>
    <t>Fecha_Consumo</t>
  </si>
  <si>
    <t>Importe</t>
  </si>
  <si>
    <t>Status</t>
  </si>
  <si>
    <t>Comision</t>
  </si>
  <si>
    <t>Comision_Afecta</t>
  </si>
  <si>
    <t>IGV</t>
  </si>
  <si>
    <t>Neto_Parcial</t>
  </si>
  <si>
    <t>Neto_Total</t>
  </si>
  <si>
    <t>Fecha_Abono</t>
  </si>
  <si>
    <t>Fecha_Abono_8Dig</t>
  </si>
  <si>
    <t>Observaciones</t>
  </si>
  <si>
    <t>MC</t>
  </si>
  <si>
    <t>A</t>
  </si>
  <si>
    <t>Nac</t>
  </si>
  <si>
    <t>COM</t>
  </si>
  <si>
    <t>Abonado</t>
  </si>
  <si>
    <t>VA</t>
  </si>
  <si>
    <t>Etiquetas de fila</t>
  </si>
  <si>
    <t>Total general</t>
  </si>
  <si>
    <t>Suma de Importe</t>
  </si>
  <si>
    <t>COMPRA</t>
  </si>
  <si>
    <t>C</t>
  </si>
  <si>
    <t>S.E.A.</t>
  </si>
  <si>
    <t>Descuento Pendiente</t>
  </si>
  <si>
    <t>(en blanco)</t>
  </si>
  <si>
    <t>codigo comercio:</t>
  </si>
  <si>
    <t>F. Operación</t>
  </si>
  <si>
    <t>Nº. Doc.</t>
  </si>
  <si>
    <t>Concepto</t>
  </si>
  <si>
    <t>AMERICAN EXPRESS</t>
  </si>
  <si>
    <t>POWERPAY</t>
  </si>
  <si>
    <t>BANCO</t>
  </si>
  <si>
    <t>INGRESO EN EFECTIVO</t>
  </si>
  <si>
    <t>Tipo_Tarjeta</t>
  </si>
  <si>
    <t>Serie_Terminal</t>
  </si>
  <si>
    <t>Banco_Emisor</t>
  </si>
  <si>
    <t>Cuota sin interes</t>
  </si>
  <si>
    <t>Entidad</t>
  </si>
  <si>
    <t>Hora TRX</t>
  </si>
  <si>
    <t>Nombre comercial</t>
  </si>
  <si>
    <t>DEBITO</t>
  </si>
  <si>
    <t>CREDITO</t>
  </si>
  <si>
    <t>Yape</t>
  </si>
  <si>
    <t>SI</t>
  </si>
  <si>
    <t>TOTAL PENDIENTE</t>
  </si>
  <si>
    <t>NO</t>
  </si>
  <si>
    <t/>
  </si>
  <si>
    <t>MASTERCARD</t>
  </si>
  <si>
    <t>DINERS</t>
  </si>
  <si>
    <t>EFECTIVO HON MS</t>
  </si>
  <si>
    <t>TOTAL VENTA</t>
  </si>
  <si>
    <t>BCP</t>
  </si>
  <si>
    <t xml:space="preserve">TIENDA </t>
  </si>
  <si>
    <t>0000271546</t>
  </si>
  <si>
    <t>30-01.05</t>
  </si>
  <si>
    <t>0000272395</t>
  </si>
  <si>
    <t>02-04.05</t>
  </si>
  <si>
    <t>0000272628</t>
  </si>
  <si>
    <t>05-06.05</t>
  </si>
  <si>
    <t>0000273104</t>
  </si>
  <si>
    <t>INGRESO EN EFECTIVO - MONEDA</t>
  </si>
  <si>
    <t>07-08.05</t>
  </si>
  <si>
    <t>0000273658</t>
  </si>
  <si>
    <t>09-11.05</t>
  </si>
  <si>
    <t>0000274191</t>
  </si>
  <si>
    <t>12-13.05</t>
  </si>
  <si>
    <t>0000274648</t>
  </si>
  <si>
    <t>14-15.05</t>
  </si>
  <si>
    <t>0000275109</t>
  </si>
  <si>
    <t>16-18.05</t>
  </si>
  <si>
    <t>0000275579</t>
  </si>
  <si>
    <t>19-20.05</t>
  </si>
  <si>
    <t>0000276050</t>
  </si>
  <si>
    <t>21-22.05</t>
  </si>
  <si>
    <t>0000276458</t>
  </si>
  <si>
    <t>23-25.05</t>
  </si>
  <si>
    <t>0000277958</t>
  </si>
  <si>
    <t>0000278799</t>
  </si>
  <si>
    <t>0000278357</t>
  </si>
  <si>
    <t>0000278615</t>
  </si>
  <si>
    <t>0000279832</t>
  </si>
  <si>
    <t>0000280080</t>
  </si>
  <si>
    <t>0000280520</t>
  </si>
  <si>
    <t>0000280576</t>
  </si>
  <si>
    <t>0000281053</t>
  </si>
  <si>
    <t>0000281597</t>
  </si>
  <si>
    <t>OK</t>
  </si>
  <si>
    <t>104101</t>
  </si>
  <si>
    <t>PENDIENTE</t>
  </si>
  <si>
    <t>IBK PRIVADA</t>
  </si>
  <si>
    <t>BBVA</t>
  </si>
  <si>
    <t>BFALABELLA</t>
  </si>
  <si>
    <t>NACION</t>
  </si>
  <si>
    <t>SCOTIABANK</t>
  </si>
  <si>
    <t>VISA LOC</t>
  </si>
  <si>
    <t>Código de comercio</t>
  </si>
  <si>
    <t>Nombre del comercio</t>
  </si>
  <si>
    <t>Red</t>
  </si>
  <si>
    <t>Tipo de transacción</t>
  </si>
  <si>
    <t>Fecha de recepción</t>
  </si>
  <si>
    <t>Fecha de proceso</t>
  </si>
  <si>
    <t>Marca</t>
  </si>
  <si>
    <t>N° de tarjeta</t>
  </si>
  <si>
    <t>Tipo de tarjeta</t>
  </si>
  <si>
    <t>Código de autorización</t>
  </si>
  <si>
    <t>Orden de pago</t>
  </si>
  <si>
    <t>Moneda</t>
  </si>
  <si>
    <t>Fecha de ticket</t>
  </si>
  <si>
    <t>N° ticket</t>
  </si>
  <si>
    <t>Estado de ticket</t>
  </si>
  <si>
    <t>N° de cuotas</t>
  </si>
  <si>
    <t>Plazo de pago</t>
  </si>
  <si>
    <t>Fecha de pago</t>
  </si>
  <si>
    <t>Tipo de comisión</t>
  </si>
  <si>
    <t>Valor de comisión</t>
  </si>
  <si>
    <t>Comisión del consumo</t>
  </si>
  <si>
    <t>IZIPAY</t>
  </si>
  <si>
    <t>CONSUMO</t>
  </si>
  <si>
    <t>LOCAL</t>
  </si>
  <si>
    <t>SOLES</t>
  </si>
  <si>
    <t>PROCESADO</t>
  </si>
  <si>
    <t>2 días</t>
  </si>
  <si>
    <t>PORCENTUAL</t>
  </si>
  <si>
    <t>IGV del consumo</t>
  </si>
  <si>
    <t>Importe neto de pago</t>
  </si>
  <si>
    <t>CAJA AREQUIP</t>
  </si>
  <si>
    <t>Importe del consumo</t>
  </si>
  <si>
    <t>Suma de Importe del consumo</t>
  </si>
  <si>
    <t>Descuentos Aplicados</t>
  </si>
  <si>
    <t>TIENDA</t>
  </si>
  <si>
    <t>HARM.01</t>
  </si>
  <si>
    <t>MODULO HONOR AREQUIPA</t>
  </si>
  <si>
    <t>PS0001</t>
  </si>
  <si>
    <t>52P20548</t>
  </si>
  <si>
    <t>HONOR MODULO AREQUIPA</t>
  </si>
  <si>
    <t>Comision_Merchant</t>
  </si>
  <si>
    <t>377892*****9959</t>
  </si>
  <si>
    <t>6-Mar</t>
  </si>
  <si>
    <t>SCOTIA DEBIT</t>
  </si>
  <si>
    <t>BANCOS</t>
  </si>
  <si>
    <t>377898*****6462</t>
  </si>
  <si>
    <t>18-Mar</t>
  </si>
  <si>
    <t>455170******5939</t>
  </si>
  <si>
    <t>483039******8189</t>
  </si>
  <si>
    <t>421410******4615</t>
  </si>
  <si>
    <t>455696******1576</t>
  </si>
  <si>
    <t>438466******8008</t>
  </si>
  <si>
    <t>421355******8671</t>
  </si>
  <si>
    <t>IBK Plin</t>
  </si>
  <si>
    <t>407876******8129</t>
  </si>
  <si>
    <t>455788******1522</t>
  </si>
  <si>
    <t>455788******0725</t>
  </si>
  <si>
    <t>421355******6998</t>
  </si>
  <si>
    <t>455788******3226</t>
  </si>
  <si>
    <t>463402******8027</t>
  </si>
  <si>
    <t>491909******5165</t>
  </si>
  <si>
    <t>483039******5882</t>
  </si>
  <si>
    <t>414075******8545</t>
  </si>
  <si>
    <t>455788******6857</t>
  </si>
  <si>
    <t>455788******6834</t>
  </si>
  <si>
    <t>455788******3381</t>
  </si>
  <si>
    <t>414791******5996</t>
  </si>
  <si>
    <t>447410******4840</t>
  </si>
  <si>
    <t>455788******0605</t>
  </si>
  <si>
    <t>455788******6654</t>
  </si>
  <si>
    <t>455788******1099</t>
  </si>
  <si>
    <t>447410******3703</t>
  </si>
  <si>
    <t>455788******5386</t>
  </si>
  <si>
    <t>455788******5390</t>
  </si>
  <si>
    <t>VH</t>
  </si>
  <si>
    <t>6D5101</t>
  </si>
  <si>
    <t>457339******2611</t>
  </si>
  <si>
    <t>SIP MC</t>
  </si>
  <si>
    <t>455788******2207</t>
  </si>
  <si>
    <t>455788******0728</t>
  </si>
  <si>
    <t>455788******2197</t>
  </si>
  <si>
    <t>463402******5664</t>
  </si>
  <si>
    <t>454775******3452</t>
  </si>
  <si>
    <t>463401******7822</t>
  </si>
  <si>
    <t>455788******3454</t>
  </si>
  <si>
    <t>455788******3483</t>
  </si>
  <si>
    <t>455788******6649</t>
  </si>
  <si>
    <t>455788******7902</t>
  </si>
  <si>
    <t>463401******6087</t>
  </si>
  <si>
    <t>Pendiente del 07/04</t>
  </si>
  <si>
    <t>455788******8558</t>
  </si>
  <si>
    <t>477289******0529</t>
  </si>
  <si>
    <t>477290******5918</t>
  </si>
  <si>
    <t>421355******9795</t>
  </si>
  <si>
    <t>426153******4769</t>
  </si>
  <si>
    <t>455788******9306</t>
  </si>
  <si>
    <t>434925******1803</t>
  </si>
  <si>
    <t>455788******3467</t>
  </si>
  <si>
    <t>455788******1535</t>
  </si>
  <si>
    <t>483039******0986</t>
  </si>
  <si>
    <t>455788******1512</t>
  </si>
  <si>
    <t>455170******5584</t>
  </si>
  <si>
    <t>455103******5471</t>
  </si>
  <si>
    <t>438466******5861</t>
  </si>
  <si>
    <t>447410******5554</t>
  </si>
  <si>
    <t>455788******8607</t>
  </si>
  <si>
    <t>447409******2698</t>
  </si>
  <si>
    <t>455788******4290</t>
  </si>
  <si>
    <t>428597******3525</t>
  </si>
  <si>
    <t>455170******9810</t>
  </si>
  <si>
    <t>414075******5948</t>
  </si>
  <si>
    <t>455788******4356</t>
  </si>
  <si>
    <t>455788******2508</t>
  </si>
  <si>
    <t>463402******1821</t>
  </si>
  <si>
    <t>455788******3679</t>
  </si>
  <si>
    <t>455788******2559</t>
  </si>
  <si>
    <t>455788******9843</t>
  </si>
  <si>
    <t>455170******8481</t>
  </si>
  <si>
    <t>455788******9452</t>
  </si>
  <si>
    <t>422224******4192</t>
  </si>
  <si>
    <t>491909******4880</t>
  </si>
  <si>
    <t>455788******7070</t>
  </si>
  <si>
    <t>511842******9615</t>
  </si>
  <si>
    <t>445330******6823</t>
  </si>
  <si>
    <t>411539******6084</t>
  </si>
  <si>
    <t>463402******9387</t>
  </si>
  <si>
    <t>87C6D6</t>
  </si>
  <si>
    <t>457339******8459</t>
  </si>
  <si>
    <t>455788******5296</t>
  </si>
  <si>
    <t>455788******5723</t>
  </si>
  <si>
    <t>455788******0514</t>
  </si>
  <si>
    <t>455788******7166</t>
  </si>
  <si>
    <t>447409******2004</t>
  </si>
  <si>
    <t>447409******1889</t>
  </si>
  <si>
    <t>29C772</t>
  </si>
  <si>
    <t>457339******0709</t>
  </si>
  <si>
    <t>455788******6381</t>
  </si>
  <si>
    <t>491909******0563</t>
  </si>
  <si>
    <t>428582******4931</t>
  </si>
  <si>
    <t>455788******4891</t>
  </si>
  <si>
    <t>**** ****** 0270</t>
  </si>
  <si>
    <t>CUOTAS SIN INTERESES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</si>
</sst>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S/&quot;\ #,##0.00;[Red]\-&quot;S/&quot;\ #,##0.00"/>
    <numFmt numFmtId="43" formatCode="_-* #,##0.00_-;\-* #,##0.00_-;_-* &quot;-&quot;??_-;_-@_-"/>
    <numFmt numFmtId="164" formatCode="#,##0.00_ ;[Red]\-#,##0.00\ 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6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339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966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FFCC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3399"/>
      </left>
      <right style="thin">
        <color rgb="FFFF3399"/>
      </right>
      <top style="thin">
        <color rgb="FFFF3399"/>
      </top>
      <bottom style="thin">
        <color rgb="FFFF3399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rgb="FFFF3399"/>
      </left>
      <right style="thin">
        <color rgb="FFFF3399"/>
      </right>
      <top/>
      <bottom style="thin">
        <color rgb="FFFF3399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theme="9"/>
      </right>
      <top/>
      <bottom/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40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0" fillId="0" borderId="0" xfId="0" applyNumberFormat="1"/>
    <xf numFmtId="0" fontId="2" fillId="0" borderId="0" xfId="0" applyFont="1"/>
    <xf numFmtId="14" fontId="0" fillId="0" borderId="1" xfId="0" applyNumberFormat="1" applyBorder="1" applyAlignment="1">
      <alignment horizontal="center" vertical="center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14" fontId="0" fillId="0" borderId="2" xfId="0" applyNumberFormat="1" applyBorder="1"/>
    <xf numFmtId="0" fontId="9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right"/>
    </xf>
    <xf numFmtId="2" fontId="2" fillId="7" borderId="1" xfId="0" applyNumberFormat="1" applyFont="1" applyFill="1" applyBorder="1" applyAlignment="1">
      <alignment vertical="center"/>
    </xf>
    <xf numFmtId="8" fontId="14" fillId="0" borderId="1" xfId="0" applyNumberFormat="1" applyFont="1" applyBorder="1" applyAlignment="1">
      <alignment vertical="center"/>
    </xf>
    <xf numFmtId="0" fontId="0" fillId="0" borderId="0" xfId="0" applyAlignment="1">
      <alignment wrapText="1"/>
    </xf>
    <xf numFmtId="49" fontId="0" fillId="0" borderId="0" xfId="0" applyNumberFormat="1" applyAlignment="1">
      <alignment horizontal="center" vertical="center"/>
    </xf>
    <xf numFmtId="43" fontId="1" fillId="2" borderId="0" xfId="1" applyFont="1" applyFill="1" applyAlignment="1">
      <alignment horizontal="center" vertical="center"/>
    </xf>
    <xf numFmtId="43" fontId="4" fillId="3" borderId="0" xfId="1" applyFont="1" applyFill="1" applyAlignment="1">
      <alignment horizontal="center"/>
    </xf>
    <xf numFmtId="43" fontId="2" fillId="0" borderId="0" xfId="1" applyFont="1" applyAlignment="1">
      <alignment horizontal="center"/>
    </xf>
    <xf numFmtId="4" fontId="0" fillId="0" borderId="1" xfId="0" applyNumberForma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14" fontId="0" fillId="0" borderId="4" xfId="0" applyNumberFormat="1" applyBorder="1"/>
    <xf numFmtId="0" fontId="0" fillId="0" borderId="0" xfId="0" applyNumberFormat="1"/>
    <xf numFmtId="0" fontId="2" fillId="5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/>
    <xf numFmtId="164" fontId="2" fillId="0" borderId="0" xfId="0" applyNumberFormat="1" applyFont="1" applyFill="1"/>
    <xf numFmtId="0" fontId="2" fillId="0" borderId="0" xfId="0" applyFont="1" applyFill="1"/>
    <xf numFmtId="0" fontId="2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16" fontId="0" fillId="0" borderId="0" xfId="0" applyNumberFormat="1" applyFill="1"/>
    <xf numFmtId="0" fontId="1" fillId="9" borderId="3" xfId="0" applyFont="1" applyFill="1" applyBorder="1"/>
    <xf numFmtId="0" fontId="1" fillId="9" borderId="4" xfId="0" applyFont="1" applyFill="1" applyBorder="1"/>
    <xf numFmtId="0" fontId="1" fillId="9" borderId="6" xfId="0" applyFont="1" applyFill="1" applyBorder="1"/>
    <xf numFmtId="0" fontId="0" fillId="0" borderId="6" xfId="0" applyBorder="1"/>
    <xf numFmtId="2" fontId="2" fillId="0" borderId="0" xfId="0" applyNumberFormat="1" applyFont="1" applyFill="1"/>
    <xf numFmtId="43" fontId="2" fillId="0" borderId="0" xfId="1" applyFont="1" applyAlignment="1">
      <alignment horizontal="center" vertical="center"/>
    </xf>
    <xf numFmtId="43" fontId="0" fillId="0" borderId="0" xfId="1" applyFont="1"/>
    <xf numFmtId="0" fontId="1" fillId="6" borderId="1" xfId="0" applyFont="1" applyFill="1" applyBorder="1" applyAlignment="1">
      <alignment horizontal="center" vertical="center"/>
    </xf>
    <xf numFmtId="14" fontId="8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43" fontId="8" fillId="5" borderId="1" xfId="1" applyFont="1" applyFill="1" applyBorder="1" applyAlignment="1">
      <alignment horizontal="center" vertical="center" wrapText="1"/>
    </xf>
    <xf numFmtId="43" fontId="1" fillId="6" borderId="1" xfId="1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4" fontId="0" fillId="0" borderId="1" xfId="0" applyNumberForma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4" fontId="9" fillId="0" borderId="1" xfId="0" applyNumberFormat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43" fontId="0" fillId="0" borderId="1" xfId="1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14" fontId="3" fillId="0" borderId="1" xfId="0" applyNumberFormat="1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4" fontId="3" fillId="0" borderId="1" xfId="0" applyNumberFormat="1" applyFont="1" applyFill="1" applyBorder="1" applyAlignment="1">
      <alignment vertical="center" wrapText="1"/>
    </xf>
    <xf numFmtId="14" fontId="0" fillId="0" borderId="1" xfId="0" applyNumberFormat="1" applyFill="1" applyBorder="1" applyAlignment="1">
      <alignment wrapText="1"/>
    </xf>
    <xf numFmtId="49" fontId="0" fillId="0" borderId="1" xfId="0" applyNumberFormat="1" applyFill="1" applyBorder="1" applyAlignment="1">
      <alignment wrapText="1"/>
    </xf>
    <xf numFmtId="0" fontId="0" fillId="0" borderId="1" xfId="0" applyFill="1" applyBorder="1" applyAlignment="1">
      <alignment wrapText="1"/>
    </xf>
    <xf numFmtId="4" fontId="0" fillId="0" borderId="1" xfId="0" applyNumberFormat="1" applyFill="1" applyBorder="1" applyAlignment="1">
      <alignment wrapText="1"/>
    </xf>
    <xf numFmtId="14" fontId="0" fillId="0" borderId="0" xfId="0" applyNumberFormat="1" applyFill="1"/>
    <xf numFmtId="43" fontId="2" fillId="0" borderId="0" xfId="1" applyFont="1" applyFill="1" applyAlignment="1">
      <alignment horizontal="center"/>
    </xf>
    <xf numFmtId="2" fontId="2" fillId="5" borderId="0" xfId="0" applyNumberFormat="1" applyFont="1" applyFill="1" applyAlignment="1">
      <alignment horizontal="center" vertical="center"/>
    </xf>
    <xf numFmtId="14" fontId="0" fillId="0" borderId="0" xfId="0" applyNumberFormat="1" applyAlignment="1"/>
    <xf numFmtId="49" fontId="0" fillId="0" borderId="0" xfId="0" applyNumberFormat="1" applyAlignment="1"/>
    <xf numFmtId="0" fontId="0" fillId="0" borderId="0" xfId="0" applyAlignment="1"/>
    <xf numFmtId="2" fontId="0" fillId="0" borderId="0" xfId="0" applyNumberFormat="1" applyAlignment="1"/>
    <xf numFmtId="0" fontId="0" fillId="10" borderId="0" xfId="0" applyFill="1" applyAlignment="1"/>
    <xf numFmtId="14" fontId="2" fillId="0" borderId="1" xfId="0" applyNumberFormat="1" applyFont="1" applyFill="1" applyBorder="1" applyAlignment="1">
      <alignment vertical="center" wrapText="1"/>
    </xf>
    <xf numFmtId="2" fontId="0" fillId="0" borderId="1" xfId="0" applyNumberForma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0" fillId="0" borderId="1" xfId="1" applyFont="1" applyFill="1" applyBorder="1" applyAlignment="1">
      <alignment horizontal="center" vertical="center"/>
    </xf>
    <xf numFmtId="0" fontId="0" fillId="0" borderId="3" xfId="0" applyFill="1" applyBorder="1"/>
    <xf numFmtId="0" fontId="0" fillId="0" borderId="4" xfId="0" applyFill="1" applyBorder="1"/>
    <xf numFmtId="14" fontId="0" fillId="0" borderId="4" xfId="0" applyNumberFormat="1" applyFill="1" applyBorder="1"/>
    <xf numFmtId="43" fontId="0" fillId="0" borderId="4" xfId="1" applyFont="1" applyFill="1" applyBorder="1"/>
    <xf numFmtId="4" fontId="2" fillId="0" borderId="4" xfId="0" applyNumberFormat="1" applyFont="1" applyFill="1" applyBorder="1"/>
    <xf numFmtId="0" fontId="0" fillId="0" borderId="6" xfId="0" applyFill="1" applyBorder="1"/>
    <xf numFmtId="43" fontId="0" fillId="0" borderId="0" xfId="1" applyFont="1" applyFill="1"/>
    <xf numFmtId="4" fontId="2" fillId="0" borderId="0" xfId="1" applyNumberFormat="1" applyFont="1" applyFill="1"/>
    <xf numFmtId="49" fontId="2" fillId="0" borderId="0" xfId="1" applyNumberFormat="1" applyFont="1" applyFill="1"/>
    <xf numFmtId="43" fontId="2" fillId="4" borderId="0" xfId="1" applyFont="1" applyFill="1" applyAlignment="1">
      <alignment horizontal="center" vertical="center"/>
    </xf>
    <xf numFmtId="43" fontId="2" fillId="4" borderId="0" xfId="1" applyFont="1" applyFill="1" applyAlignment="1">
      <alignment horizontal="center" vertical="center" wrapText="1"/>
    </xf>
    <xf numFmtId="43" fontId="2" fillId="0" borderId="0" xfId="1" applyFont="1" applyFill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43" fontId="0" fillId="4" borderId="1" xfId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" fontId="9" fillId="4" borderId="1" xfId="0" applyNumberFormat="1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4" fontId="0" fillId="4" borderId="1" xfId="0" applyNumberForma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vertical="center" wrapText="1"/>
    </xf>
    <xf numFmtId="49" fontId="0" fillId="4" borderId="1" xfId="0" applyNumberForma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43" fontId="0" fillId="4" borderId="1" xfId="1" applyFont="1" applyFill="1" applyBorder="1" applyAlignment="1">
      <alignment vertical="center" wrapText="1"/>
    </xf>
    <xf numFmtId="43" fontId="2" fillId="4" borderId="1" xfId="1" applyFon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43" fontId="0" fillId="11" borderId="1" xfId="1" applyFont="1" applyFill="1" applyBorder="1" applyAlignment="1">
      <alignment horizontal="center" vertical="center"/>
    </xf>
    <xf numFmtId="14" fontId="2" fillId="11" borderId="1" xfId="0" applyNumberFormat="1" applyFont="1" applyFill="1" applyBorder="1" applyAlignment="1">
      <alignment vertical="center" wrapText="1"/>
    </xf>
    <xf numFmtId="49" fontId="0" fillId="11" borderId="1" xfId="0" applyNumberFormat="1" applyFill="1" applyBorder="1" applyAlignment="1">
      <alignment vertical="center" wrapText="1"/>
    </xf>
    <xf numFmtId="0" fontId="9" fillId="11" borderId="1" xfId="0" applyFont="1" applyFill="1" applyBorder="1" applyAlignment="1">
      <alignment vertical="center" wrapText="1"/>
    </xf>
    <xf numFmtId="43" fontId="0" fillId="11" borderId="1" xfId="1" applyFont="1" applyFill="1" applyBorder="1" applyAlignment="1">
      <alignment vertical="center" wrapText="1"/>
    </xf>
    <xf numFmtId="43" fontId="2" fillId="11" borderId="1" xfId="1" applyFont="1" applyFill="1" applyBorder="1" applyAlignment="1">
      <alignment horizontal="center" vertical="center"/>
    </xf>
    <xf numFmtId="4" fontId="9" fillId="11" borderId="1" xfId="0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43" fontId="0" fillId="3" borderId="1" xfId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4" fontId="9" fillId="3" borderId="1" xfId="0" applyNumberFormat="1" applyFont="1" applyFill="1" applyBorder="1" applyAlignment="1">
      <alignment horizontal="center" vertical="center"/>
    </xf>
    <xf numFmtId="43" fontId="2" fillId="3" borderId="1" xfId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vertical="center" wrapText="1"/>
    </xf>
    <xf numFmtId="49" fontId="0" fillId="3" borderId="1" xfId="0" applyNumberForma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43" fontId="0" fillId="3" borderId="1" xfId="1" applyFont="1" applyFill="1" applyBorder="1" applyAlignment="1">
      <alignment vertical="center" wrapText="1"/>
    </xf>
    <xf numFmtId="14" fontId="0" fillId="12" borderId="1" xfId="0" applyNumberFormat="1" applyFill="1" applyBorder="1" applyAlignment="1">
      <alignment horizontal="center" vertical="center"/>
    </xf>
    <xf numFmtId="43" fontId="0" fillId="12" borderId="1" xfId="1" applyFont="1" applyFill="1" applyBorder="1" applyAlignment="1">
      <alignment horizontal="center" vertical="center"/>
    </xf>
    <xf numFmtId="14" fontId="2" fillId="12" borderId="1" xfId="0" applyNumberFormat="1" applyFont="1" applyFill="1" applyBorder="1" applyAlignment="1">
      <alignment horizontal="center" vertical="center"/>
    </xf>
    <xf numFmtId="4" fontId="0" fillId="12" borderId="1" xfId="0" applyNumberFormat="1" applyFill="1" applyBorder="1" applyAlignment="1">
      <alignment horizontal="center" vertical="center"/>
    </xf>
    <xf numFmtId="4" fontId="9" fillId="12" borderId="1" xfId="0" applyNumberFormat="1" applyFont="1" applyFill="1" applyBorder="1" applyAlignment="1">
      <alignment horizontal="center" vertical="center"/>
    </xf>
    <xf numFmtId="43" fontId="2" fillId="12" borderId="1" xfId="1" applyFont="1" applyFill="1" applyBorder="1" applyAlignment="1">
      <alignment horizontal="center" vertical="center"/>
    </xf>
    <xf numFmtId="14" fontId="0" fillId="12" borderId="1" xfId="0" applyNumberFormat="1" applyFill="1" applyBorder="1" applyAlignment="1">
      <alignment vertical="center" wrapText="1"/>
    </xf>
    <xf numFmtId="49" fontId="0" fillId="12" borderId="1" xfId="0" applyNumberFormat="1" applyFill="1" applyBorder="1" applyAlignment="1">
      <alignment vertical="center" wrapText="1"/>
    </xf>
    <xf numFmtId="0" fontId="9" fillId="12" borderId="1" xfId="0" applyFont="1" applyFill="1" applyBorder="1" applyAlignment="1">
      <alignment vertical="center" wrapText="1"/>
    </xf>
    <xf numFmtId="43" fontId="0" fillId="12" borderId="1" xfId="1" applyFont="1" applyFill="1" applyBorder="1" applyAlignment="1">
      <alignment vertical="center" wrapText="1"/>
    </xf>
    <xf numFmtId="43" fontId="0" fillId="0" borderId="2" xfId="1" applyFont="1" applyBorder="1"/>
    <xf numFmtId="43" fontId="2" fillId="0" borderId="0" xfId="1" applyFont="1"/>
    <xf numFmtId="4" fontId="6" fillId="0" borderId="0" xfId="0" applyNumberFormat="1" applyFont="1" applyFill="1" applyAlignment="1">
      <alignment horizontal="center"/>
    </xf>
    <xf numFmtId="43" fontId="6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43" fontId="0" fillId="0" borderId="0" xfId="1" applyFont="1" applyFill="1" applyAlignment="1">
      <alignment horizontal="center"/>
    </xf>
    <xf numFmtId="2" fontId="0" fillId="0" borderId="0" xfId="0" applyNumberFormat="1" applyFill="1"/>
    <xf numFmtId="4" fontId="2" fillId="0" borderId="0" xfId="1" applyNumberFormat="1" applyFont="1" applyFill="1" applyAlignment="1">
      <alignment horizontal="center"/>
    </xf>
    <xf numFmtId="164" fontId="14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14" fontId="2" fillId="0" borderId="0" xfId="0" applyNumberFormat="1" applyFont="1" applyFill="1" applyAlignment="1">
      <alignment horizontal="center"/>
    </xf>
    <xf numFmtId="4" fontId="2" fillId="0" borderId="0" xfId="0" applyNumberFormat="1" applyFont="1" applyFill="1" applyAlignment="1">
      <alignment horizontal="center"/>
    </xf>
    <xf numFmtId="4" fontId="13" fillId="0" borderId="0" xfId="0" applyNumberFormat="1" applyFont="1" applyFill="1" applyAlignment="1">
      <alignment horizontal="center"/>
    </xf>
    <xf numFmtId="43" fontId="2" fillId="0" borderId="0" xfId="1" applyFont="1" applyFill="1"/>
    <xf numFmtId="0" fontId="0" fillId="0" borderId="5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21" fontId="0" fillId="0" borderId="8" xfId="0" applyNumberFormat="1" applyBorder="1"/>
    <xf numFmtId="0" fontId="0" fillId="0" borderId="9" xfId="0" applyBorder="1"/>
    <xf numFmtId="43" fontId="2" fillId="0" borderId="2" xfId="1" applyFont="1" applyBorder="1"/>
    <xf numFmtId="43" fontId="0" fillId="0" borderId="4" xfId="0" applyNumberFormat="1" applyFill="1" applyBorder="1"/>
    <xf numFmtId="0" fontId="1" fillId="13" borderId="8" xfId="0" applyFont="1" applyFill="1" applyBorder="1"/>
    <xf numFmtId="0" fontId="1" fillId="13" borderId="9" xfId="0" applyFont="1" applyFill="1" applyBorder="1"/>
    <xf numFmtId="0" fontId="0" fillId="0" borderId="8" xfId="0" applyFill="1" applyBorder="1"/>
    <xf numFmtId="14" fontId="0" fillId="0" borderId="8" xfId="0" applyNumberFormat="1" applyFill="1" applyBorder="1"/>
    <xf numFmtId="43" fontId="0" fillId="0" borderId="8" xfId="1" applyFont="1" applyFill="1" applyBorder="1"/>
    <xf numFmtId="21" fontId="0" fillId="0" borderId="8" xfId="0" applyNumberFormat="1" applyFill="1" applyBorder="1"/>
    <xf numFmtId="0" fontId="0" fillId="0" borderId="9" xfId="0" applyFill="1" applyBorder="1"/>
    <xf numFmtId="4" fontId="2" fillId="0" borderId="8" xfId="0" applyNumberFormat="1" applyFont="1" applyFill="1" applyBorder="1"/>
    <xf numFmtId="4" fontId="0" fillId="0" borderId="4" xfId="0" applyNumberFormat="1" applyFont="1" applyFill="1" applyBorder="1"/>
    <xf numFmtId="0" fontId="0" fillId="0" borderId="10" xfId="0" applyBorder="1"/>
    <xf numFmtId="49" fontId="0" fillId="0" borderId="0" xfId="1" applyNumberFormat="1" applyFont="1" applyFill="1"/>
    <xf numFmtId="0" fontId="0" fillId="0" borderId="0" xfId="0" applyBorder="1"/>
    <xf numFmtId="14" fontId="0" fillId="0" borderId="0" xfId="0" applyNumberFormat="1" applyBorder="1"/>
    <xf numFmtId="43" fontId="0" fillId="0" borderId="0" xfId="1" applyFont="1" applyBorder="1"/>
    <xf numFmtId="14" fontId="0" fillId="0" borderId="11" xfId="0" applyNumberFormat="1" applyBorder="1"/>
    <xf numFmtId="43" fontId="0" fillId="0" borderId="11" xfId="1" applyFont="1" applyBorder="1"/>
    <xf numFmtId="2" fontId="0" fillId="0" borderId="0" xfId="0" applyNumberFormat="1" applyBorder="1"/>
    <xf numFmtId="43" fontId="4" fillId="3" borderId="0" xfId="1" applyFont="1" applyFill="1" applyBorder="1" applyAlignment="1">
      <alignment horizontal="center"/>
    </xf>
    <xf numFmtId="43" fontId="0" fillId="0" borderId="8" xfId="1" applyFont="1" applyBorder="1"/>
    <xf numFmtId="0" fontId="0" fillId="0" borderId="0" xfId="0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43" fontId="0" fillId="0" borderId="4" xfId="1" applyFont="1" applyBorder="1"/>
    <xf numFmtId="0" fontId="0" fillId="0" borderId="7" xfId="0" applyFill="1" applyBorder="1" applyAlignment="1">
      <alignment horizontal="center"/>
    </xf>
    <xf numFmtId="4" fontId="0" fillId="0" borderId="0" xfId="0" applyNumberFormat="1" applyFill="1" applyBorder="1"/>
    <xf numFmtId="0" fontId="0" fillId="0" borderId="12" xfId="0" applyFill="1" applyBorder="1"/>
    <xf numFmtId="0" fontId="0" fillId="0" borderId="13" xfId="0" applyFill="1" applyBorder="1"/>
    <xf numFmtId="14" fontId="0" fillId="0" borderId="13" xfId="0" applyNumberFormat="1" applyFill="1" applyBorder="1"/>
    <xf numFmtId="43" fontId="0" fillId="0" borderId="13" xfId="1" applyFont="1" applyFill="1" applyBorder="1"/>
    <xf numFmtId="0" fontId="0" fillId="0" borderId="14" xfId="0" applyFill="1" applyBorder="1"/>
    <xf numFmtId="0" fontId="1" fillId="13" borderId="7" xfId="0" applyFont="1" applyFill="1" applyBorder="1"/>
    <xf numFmtId="0" fontId="2" fillId="0" borderId="8" xfId="0" applyFont="1" applyFill="1" applyBorder="1"/>
    <xf numFmtId="0" fontId="0" fillId="0" borderId="15" xfId="0" applyBorder="1"/>
    <xf numFmtId="0" fontId="1" fillId="0" borderId="8" xfId="0" applyFont="1" applyFill="1" applyBorder="1"/>
    <xf numFmtId="43" fontId="1" fillId="0" borderId="8" xfId="1" applyFont="1" applyFill="1" applyBorder="1"/>
    <xf numFmtId="43" fontId="2" fillId="0" borderId="0" xfId="1" applyFont="1" applyFill="1" applyAlignment="1">
      <alignment horizontal="left"/>
    </xf>
    <xf numFmtId="0" fontId="0" fillId="0" borderId="0" xfId="0" applyFill="1" applyBorder="1"/>
    <xf numFmtId="14" fontId="0" fillId="0" borderId="0" xfId="0" applyNumberFormat="1" applyFill="1" applyBorder="1"/>
    <xf numFmtId="43" fontId="2" fillId="0" borderId="0" xfId="1" applyFont="1" applyFill="1" applyBorder="1"/>
    <xf numFmtId="43" fontId="0" fillId="0" borderId="0" xfId="1" applyFont="1" applyFill="1" applyBorder="1"/>
    <xf numFmtId="2" fontId="0" fillId="0" borderId="0" xfId="1" applyNumberFormat="1" applyFont="1" applyFill="1" applyBorder="1"/>
    <xf numFmtId="0" fontId="2" fillId="0" borderId="0" xfId="0" applyFont="1" applyFill="1" applyBorder="1"/>
    <xf numFmtId="0" fontId="0" fillId="0" borderId="16" xfId="0" applyFill="1" applyBorder="1" applyAlignment="1">
      <alignment horizontal="center"/>
    </xf>
    <xf numFmtId="21" fontId="0" fillId="0" borderId="0" xfId="0" applyNumberFormat="1" applyFill="1" applyBorder="1"/>
    <xf numFmtId="0" fontId="0" fillId="0" borderId="17" xfId="0" applyFill="1" applyBorder="1"/>
    <xf numFmtId="0" fontId="6" fillId="0" borderId="0" xfId="0" applyFont="1" applyFill="1" applyBorder="1" applyAlignment="1">
      <alignment horizontal="center"/>
    </xf>
    <xf numFmtId="4" fontId="6" fillId="0" borderId="0" xfId="0" applyNumberFormat="1" applyFont="1" applyFill="1" applyBorder="1" applyAlignment="1">
      <alignment horizontal="center"/>
    </xf>
    <xf numFmtId="43" fontId="0" fillId="0" borderId="0" xfId="0" applyNumberFormat="1" applyFill="1" applyBorder="1"/>
    <xf numFmtId="43" fontId="6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0" fontId="0" fillId="0" borderId="0" xfId="0" applyFill="1" applyBorder="1" applyAlignment="1">
      <alignment horizontal="center"/>
    </xf>
    <xf numFmtId="4" fontId="0" fillId="0" borderId="0" xfId="0" applyNumberFormat="1" applyFont="1" applyFill="1" applyBorder="1"/>
    <xf numFmtId="2" fontId="0" fillId="0" borderId="0" xfId="0" applyNumberFormat="1" applyFill="1" applyBorder="1"/>
    <xf numFmtId="4" fontId="2" fillId="0" borderId="8" xfId="0" applyNumberFormat="1" applyFont="1" applyBorder="1"/>
    <xf numFmtId="4" fontId="0" fillId="0" borderId="8" xfId="0" applyNumberFormat="1" applyBorder="1"/>
    <xf numFmtId="4" fontId="0" fillId="0" borderId="4" xfId="0" applyNumberFormat="1" applyBorder="1"/>
    <xf numFmtId="0" fontId="0" fillId="0" borderId="7" xfId="0" applyFill="1" applyBorder="1"/>
    <xf numFmtId="4" fontId="0" fillId="0" borderId="8" xfId="0" applyNumberFormat="1" applyFill="1" applyBorder="1"/>
    <xf numFmtId="0" fontId="1" fillId="0" borderId="0" xfId="0" applyFont="1" applyFill="1" applyAlignment="1">
      <alignment horizontal="center" vertical="center"/>
    </xf>
    <xf numFmtId="14" fontId="0" fillId="0" borderId="2" xfId="0" applyNumberFormat="1" applyFill="1" applyBorder="1"/>
    <xf numFmtId="0" fontId="0" fillId="0" borderId="2" xfId="0" applyFill="1" applyBorder="1"/>
    <xf numFmtId="0" fontId="1" fillId="14" borderId="0" xfId="0" applyFont="1" applyFill="1" applyAlignment="1">
      <alignment horizontal="center" vertical="center" wrapText="1"/>
    </xf>
    <xf numFmtId="43" fontId="1" fillId="14" borderId="0" xfId="1" applyFont="1" applyFill="1" applyAlignment="1">
      <alignment horizontal="center" vertical="center" wrapText="1"/>
    </xf>
    <xf numFmtId="43" fontId="0" fillId="10" borderId="0" xfId="1" applyFont="1" applyFill="1"/>
    <xf numFmtId="43" fontId="1" fillId="9" borderId="4" xfId="1" applyFont="1" applyFill="1" applyBorder="1"/>
    <xf numFmtId="0" fontId="15" fillId="0" borderId="6" xfId="0" applyFont="1" applyBorder="1"/>
    <xf numFmtId="4" fontId="2" fillId="0" borderId="4" xfId="1" applyNumberFormat="1" applyFont="1" applyBorder="1"/>
    <xf numFmtId="4" fontId="1" fillId="13" borderId="8" xfId="0" applyNumberFormat="1" applyFont="1" applyFill="1" applyBorder="1"/>
    <xf numFmtId="43" fontId="0" fillId="10" borderId="8" xfId="1" applyFont="1" applyFill="1" applyBorder="1"/>
    <xf numFmtId="43" fontId="2" fillId="10" borderId="8" xfId="1" applyFont="1" applyFill="1" applyBorder="1"/>
    <xf numFmtId="4" fontId="2" fillId="10" borderId="8" xfId="1" applyNumberFormat="1" applyFont="1" applyFill="1" applyBorder="1"/>
    <xf numFmtId="0" fontId="1" fillId="8" borderId="18" xfId="0" applyFont="1" applyFill="1" applyBorder="1"/>
    <xf numFmtId="0" fontId="1" fillId="8" borderId="19" xfId="0" applyFont="1" applyFill="1" applyBorder="1"/>
    <xf numFmtId="43" fontId="1" fillId="8" borderId="19" xfId="1" applyFont="1" applyFill="1" applyBorder="1"/>
    <xf numFmtId="0" fontId="1" fillId="8" borderId="5" xfId="0" applyFont="1" applyFill="1" applyBorder="1"/>
    <xf numFmtId="0" fontId="0" fillId="0" borderId="20" xfId="0" applyBorder="1"/>
    <xf numFmtId="0" fontId="0" fillId="0" borderId="21" xfId="0" applyBorder="1"/>
    <xf numFmtId="14" fontId="0" fillId="0" borderId="21" xfId="0" applyNumberFormat="1" applyBorder="1"/>
    <xf numFmtId="43" fontId="0" fillId="0" borderId="21" xfId="1" applyFont="1" applyBorder="1"/>
  </cellXfs>
  <cellStyles count="3">
    <cellStyle name="Millares" xfId="1" builtinId="3"/>
    <cellStyle name="Millares 2" xfId="2" xr:uid="{E0B72E8B-B5E7-4F63-AA5B-FF5C87E92367}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66"/>
      <color rgb="FFCCCCFF"/>
      <color rgb="FFFF99CC"/>
      <color rgb="FFCCFF66"/>
      <color rgb="FFB871FF"/>
      <color rgb="FF33CCFF"/>
      <color rgb="FFCCFF99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triz" refreshedDate="46093.627164583333" createdVersion="8" refreshedVersion="8" minRefreshableVersion="3" recordCount="2" xr:uid="{42FCF944-9BFD-4D6C-AA69-8403D641C029}">
  <cacheSource type="worksheet">
    <worksheetSource ref="A1:Y3" sheet="DINNERS"/>
  </cacheSource>
  <cacheFields count="25">
    <cacheField name="Código de comercio" numFmtId="0">
      <sharedItems containsString="0" containsBlank="1" containsNumber="1" containsInteger="1" minValue="2000640121" maxValue="2000640121"/>
    </cacheField>
    <cacheField name="Nombre del comercio" numFmtId="0">
      <sharedItems containsBlank="1"/>
    </cacheField>
    <cacheField name="Red" numFmtId="0">
      <sharedItems containsBlank="1"/>
    </cacheField>
    <cacheField name="Origen" numFmtId="0">
      <sharedItems containsBlank="1"/>
    </cacheField>
    <cacheField name="Tipo de transacción" numFmtId="0">
      <sharedItems containsBlank="1"/>
    </cacheField>
    <cacheField name="Fecha de recepción" numFmtId="14">
      <sharedItems containsNonDate="0" containsDate="1" containsString="0" containsBlank="1" minDate="2026-03-04T00:00:00" maxDate="2026-03-05T00:00:00"/>
    </cacheField>
    <cacheField name="Fecha de proceso" numFmtId="14">
      <sharedItems containsNonDate="0" containsDate="1" containsString="0" containsBlank="1" minDate="2026-03-04T00:00:00" maxDate="2026-03-05T00:00:00"/>
    </cacheField>
    <cacheField name="Marca" numFmtId="0">
      <sharedItems containsBlank="1"/>
    </cacheField>
    <cacheField name="N° de tarjeta" numFmtId="0">
      <sharedItems containsBlank="1"/>
    </cacheField>
    <cacheField name="Tipo de tarjeta" numFmtId="0">
      <sharedItems containsBlank="1"/>
    </cacheField>
    <cacheField name="Código de autorización" numFmtId="0">
      <sharedItems containsString="0" containsBlank="1" containsNumber="1" containsInteger="1" minValue="89798" maxValue="89798"/>
    </cacheField>
    <cacheField name="Orden de pago" numFmtId="0">
      <sharedItems containsString="0" containsBlank="1" containsNumber="1" containsInteger="1" minValue="2603060015648228" maxValue="2603060015648228"/>
    </cacheField>
    <cacheField name="Moneda" numFmtId="0">
      <sharedItems containsBlank="1"/>
    </cacheField>
    <cacheField name="Fecha de ticket" numFmtId="14">
      <sharedItems containsNonDate="0" containsDate="1" containsString="0" containsBlank="1" minDate="2025-11-04T00:00:00" maxDate="2026-03-04T00:00:00" count="6">
        <d v="2026-03-03T00:00:00"/>
        <m/>
        <d v="2026-02-06T00:00:00" u="1"/>
        <d v="2026-02-19T00:00:00" u="1"/>
        <d v="2025-11-16T00:00:00" u="1"/>
        <d v="2025-11-04T00:00:00" u="1"/>
      </sharedItems>
    </cacheField>
    <cacheField name="N° ticket" numFmtId="0">
      <sharedItems containsString="0" containsBlank="1" containsNumber="1" containsInteger="1" minValue="625" maxValue="625"/>
    </cacheField>
    <cacheField name="Estado de ticket" numFmtId="0">
      <sharedItems containsBlank="1"/>
    </cacheField>
    <cacheField name="N° de cuotas" numFmtId="0">
      <sharedItems containsString="0" containsBlank="1" containsNumber="1" containsInteger="1" minValue="0" maxValue="0"/>
    </cacheField>
    <cacheField name="Plazo de pago" numFmtId="0">
      <sharedItems containsBlank="1"/>
    </cacheField>
    <cacheField name="Fecha de pago" numFmtId="14">
      <sharedItems containsNonDate="0" containsDate="1" containsString="0" containsBlank="1" minDate="2026-03-06T00:00:00" maxDate="2026-03-07T00:00:00"/>
    </cacheField>
    <cacheField name="Tipo de comisión" numFmtId="0">
      <sharedItems containsBlank="1"/>
    </cacheField>
    <cacheField name="Valor de comisión" numFmtId="0">
      <sharedItems containsString="0" containsBlank="1" containsNumber="1" minValue="2.2000000000000002" maxValue="2.2000000000000002"/>
    </cacheField>
    <cacheField name="Importe del consumo" numFmtId="0">
      <sharedItems containsString="0" containsBlank="1" containsNumber="1" containsInteger="1" minValue="149" maxValue="149"/>
    </cacheField>
    <cacheField name="Comisión del consumo" numFmtId="0">
      <sharedItems containsString="0" containsBlank="1" containsNumber="1" minValue="3.28" maxValue="3.28"/>
    </cacheField>
    <cacheField name="IGV del consumo" numFmtId="0">
      <sharedItems containsString="0" containsBlank="1" containsNumber="1" minValue="0.59" maxValue="0.59"/>
    </cacheField>
    <cacheField name="Importe neto de pago" numFmtId="0">
      <sharedItems containsString="0" containsBlank="1" containsNumber="1" minValue="145.13" maxValue="145.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triz" refreshedDate="46107.670264699074" createdVersion="8" refreshedVersion="8" minRefreshableVersion="3" recordCount="30" xr:uid="{D75EE061-8D1E-4B56-9DB1-30ABC896C6E8}">
  <cacheSource type="worksheet">
    <worksheetSource ref="A1:V31" sheet="AMEX"/>
  </cacheSource>
  <cacheFields count="23">
    <cacheField name="Codigo" numFmtId="0">
      <sharedItems containsString="0" containsBlank="1" containsNumber="1" containsInteger="1" minValue="1045649" maxValue="1045649"/>
    </cacheField>
    <cacheField name="Producto" numFmtId="0">
      <sharedItems containsBlank="1"/>
    </cacheField>
    <cacheField name="Tipo_Mov" numFmtId="0">
      <sharedItems containsBlank="1"/>
    </cacheField>
    <cacheField name="Fecha_Proceso" numFmtId="14">
      <sharedItems containsNonDate="0" containsDate="1" containsString="0" containsBlank="1" minDate="2026-03-06T00:00:00" maxDate="2026-03-19T00:00:00"/>
    </cacheField>
    <cacheField name="Fecha_Lote" numFmtId="14">
      <sharedItems containsNonDate="0" containsDate="1" containsString="0" containsBlank="1" minDate="2026-03-06T00:00:00" maxDate="2026-03-19T00:00:00"/>
    </cacheField>
    <cacheField name="Lote_Manual" numFmtId="0">
      <sharedItems containsString="0" containsBlank="1" containsNumber="1" containsInteger="1" minValue="9996" maxValue="9996"/>
    </cacheField>
    <cacheField name="Lote_Pos" numFmtId="0">
      <sharedItems containsString="0" containsBlank="1" containsNumber="1" containsInteger="1" minValue="648" maxValue="659"/>
    </cacheField>
    <cacheField name="Terminal" numFmtId="0">
      <sharedItems containsBlank="1"/>
    </cacheField>
    <cacheField name="Voucher" numFmtId="0">
      <sharedItems containsString="0" containsBlank="1" containsNumber="1" containsInteger="1" minValue="697" maxValue="899"/>
    </cacheField>
    <cacheField name="Autorizacion" numFmtId="0">
      <sharedItems containsString="0" containsBlank="1" containsNumber="1" containsInteger="1" minValue="481496" maxValue="966492"/>
    </cacheField>
    <cacheField name="Cuotas" numFmtId="0">
      <sharedItems containsString="0" containsBlank="1" containsNumber="1" containsInteger="1" minValue="2" maxValue="2"/>
    </cacheField>
    <cacheField name="Tarjeta" numFmtId="0">
      <sharedItems containsBlank="1"/>
    </cacheField>
    <cacheField name="Origen" numFmtId="0">
      <sharedItems containsBlank="1"/>
    </cacheField>
    <cacheField name="Transaccion" numFmtId="0">
      <sharedItems containsBlank="1"/>
    </cacheField>
    <cacheField name="Fecha_Consumo" numFmtId="14">
      <sharedItems containsNonDate="0" containsDate="1" containsString="0" containsBlank="1" minDate="2026-03-06T00:00:00" maxDate="2026-03-19T00:00:00" count="3">
        <d v="2026-03-06T00:00:00"/>
        <m/>
        <d v="2026-03-18T00:00:00"/>
      </sharedItems>
      <fieldGroup par="22" base="14">
        <rangePr groupBy="days" startDate="2026-03-06T00:00:00" endDate="2026-03-19T00:00:00"/>
        <groupItems count="368">
          <s v="(en blanco)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9/03/2026"/>
        </groupItems>
      </fieldGroup>
    </cacheField>
    <cacheField name="Importe" numFmtId="0">
      <sharedItems containsString="0" containsBlank="1" containsNumber="1" containsInteger="1" minValue="0" maxValue="1228"/>
    </cacheField>
    <cacheField name="Comision" numFmtId="0">
      <sharedItems containsString="0" containsBlank="1" containsNumber="1" minValue="-5" maxValue="49"/>
    </cacheField>
    <cacheField name="Comision_Merchant" numFmtId="0">
      <sharedItems containsString="0" containsBlank="1" containsNumber="1" minValue="-5" maxValue="9.8000000000000007"/>
    </cacheField>
    <cacheField name="IGV" numFmtId="0">
      <sharedItems containsString="0" containsBlank="1" containsNumber="1" minValue="-0.9" maxValue="1.76"/>
    </cacheField>
    <cacheField name="Neto_Parcial" numFmtId="0">
      <sharedItems containsString="0" containsBlank="1" containsNumber="1" minValue="-5.9" maxValue="1177.24"/>
    </cacheField>
    <cacheField name="Neto_Total" numFmtId="0">
      <sharedItems containsString="0" containsBlank="1" containsNumber="1" minValue="0" maxValue="1177.24"/>
    </cacheField>
    <cacheField name="Fecha_Abono" numFmtId="0">
      <sharedItems containsString="0" containsBlank="1" containsNumber="1" containsInteger="1" minValue="20260310" maxValue="20260320"/>
    </cacheField>
    <cacheField name="Meses" numFmtId="0" databaseField="0">
      <fieldGroup base="14">
        <rangePr groupBy="months" startDate="2026-03-06T00:00:00" endDate="2026-03-19T00:00:00"/>
        <groupItems count="14">
          <s v="&lt;6/03/2026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9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triz" refreshedDate="46146.468176967595" createdVersion="8" refreshedVersion="8" minRefreshableVersion="3" recordCount="89" xr:uid="{7245A241-4EA5-485A-ABF9-76E5856929E7}">
  <cacheSource type="worksheet">
    <worksheetSource ref="A1:AG90" sheet="MC"/>
  </cacheSource>
  <cacheFields count="33">
    <cacheField name="Codigo" numFmtId="0">
      <sharedItems containsSemiMixedTypes="0" containsString="0" containsNumber="1" containsInteger="1" minValue="1045649" maxValue="1045649"/>
    </cacheField>
    <cacheField name="Producto" numFmtId="0">
      <sharedItems/>
    </cacheField>
    <cacheField name="Tipo_Mov" numFmtId="0">
      <sharedItems/>
    </cacheField>
    <cacheField name="Fecha_Proceso" numFmtId="14">
      <sharedItems containsSemiMixedTypes="0" containsNonDate="0" containsDate="1" containsString="0" minDate="2026-04-01T00:00:00" maxDate="2026-04-21T00:00:00"/>
    </cacheField>
    <cacheField name="Fecha_Lote" numFmtId="14">
      <sharedItems containsSemiMixedTypes="0" containsNonDate="0" containsDate="1" containsString="0" minDate="2026-04-01T00:00:00" maxDate="2026-04-21T00:00:00"/>
    </cacheField>
    <cacheField name="Lote_Manual" numFmtId="0">
      <sharedItems containsNonDate="0" containsString="0" containsBlank="1"/>
    </cacheField>
    <cacheField name="Lote_Pos" numFmtId="0">
      <sharedItems containsSemiMixedTypes="0" containsString="0" containsNumber="1" containsInteger="1" minValue="673" maxValue="692"/>
    </cacheField>
    <cacheField name="Terminal" numFmtId="0">
      <sharedItems containsMixedTypes="1" containsNumber="1" containsInteger="1" minValue="65656565" maxValue="65656565"/>
    </cacheField>
    <cacheField name="Voucher" numFmtId="0">
      <sharedItems containsSemiMixedTypes="0" containsString="0" containsNumber="1" containsInteger="1" minValue="1078" maxValue="1394"/>
    </cacheField>
    <cacheField name="Autorizacion" numFmtId="0">
      <sharedItems containsMixedTypes="1" containsNumber="1" containsInteger="1" minValue="1126" maxValue="986614"/>
    </cacheField>
    <cacheField name="Cuotas" numFmtId="0">
      <sharedItems containsString="0" containsBlank="1" containsNumber="1" containsInteger="1" minValue="2" maxValue="10"/>
    </cacheField>
    <cacheField name="Tarjeta" numFmtId="0">
      <sharedItems/>
    </cacheField>
    <cacheField name="Origen" numFmtId="0">
      <sharedItems/>
    </cacheField>
    <cacheField name="Transaccion" numFmtId="0">
      <sharedItems/>
    </cacheField>
    <cacheField name="Fecha_Consumo" numFmtId="14">
      <sharedItems containsSemiMixedTypes="0" containsNonDate="0" containsDate="1" containsString="0" minDate="2026-02-01T00:00:00" maxDate="2026-04-21T00:00:00" count="69"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8T00:00:00"/>
        <d v="2026-04-19T00:00:00"/>
        <d v="2026-04-20T00:00:00"/>
        <d v="2026-02-03T00:00:00" u="1"/>
        <d v="2026-03-23T00:00:00" u="1"/>
        <d v="2026-03-19T00:00:00" u="1"/>
        <d v="2026-03-15T00:00:00" u="1"/>
        <d v="2026-03-11T00:00:00" u="1"/>
        <d v="2026-02-26T00:00:00" u="1"/>
        <d v="2026-03-07T00:00:00" u="1"/>
        <d v="2026-02-22T00:00:00" u="1"/>
        <d v="2026-03-03T00:00:00" u="1"/>
        <d v="2026-02-18T00:00:00" u="1"/>
        <d v="2026-02-14T00:00:00" u="1"/>
        <d v="2026-02-10T00:00:00" u="1"/>
        <d v="2026-02-06T00:00:00" u="1"/>
        <d v="2026-02-02T00:00:00" u="1"/>
        <d v="2026-03-22T00:00:00" u="1"/>
        <d v="2026-03-18T00:00:00" u="1"/>
        <d v="2026-03-14T00:00:00" u="1"/>
        <d v="2026-03-10T00:00:00" u="1"/>
        <d v="2026-02-25T00:00:00" u="1"/>
        <d v="2026-03-06T00:00:00" u="1"/>
        <d v="2026-02-21T00:00:00" u="1"/>
        <d v="2026-03-02T00:00:00" u="1"/>
        <d v="2026-02-17T00:00:00" u="1"/>
        <d v="2026-02-13T00:00:00" u="1"/>
        <d v="2026-02-09T00:00:00" u="1"/>
        <d v="2026-02-05T00:00:00" u="1"/>
        <d v="2026-02-01T00:00:00" u="1"/>
        <d v="2026-03-21T00:00:00" u="1"/>
        <d v="2026-03-17T00:00:00" u="1"/>
        <d v="2026-03-13T00:00:00" u="1"/>
        <d v="2026-02-28T00:00:00" u="1"/>
        <d v="2026-03-09T00:00:00" u="1"/>
        <d v="2026-02-24T00:00:00" u="1"/>
        <d v="2026-03-05T00:00:00" u="1"/>
        <d v="2026-03-01T00:00:00" u="1"/>
        <d v="2026-02-16T00:00:00" u="1"/>
        <d v="2026-02-12T00:00:00" u="1"/>
        <d v="2026-02-08T00:00:00" u="1"/>
        <d v="2026-02-04T00:00:00" u="1"/>
        <d v="2026-03-20T00:00:00" u="1"/>
        <d v="2026-03-16T00:00:00" u="1"/>
        <d v="2026-03-12T00:00:00" u="1"/>
        <d v="2026-02-27T00:00:00" u="1"/>
        <d v="2026-03-08T00:00:00" u="1"/>
        <d v="2026-02-23T00:00:00" u="1"/>
        <d v="2026-03-04T00:00:00" u="1"/>
        <d v="2026-02-19T00:00:00" u="1"/>
        <d v="2026-02-15T00:00:00" u="1"/>
        <d v="2026-02-11T00:00:00" u="1"/>
        <d v="2026-02-07T00:00:00" u="1"/>
      </sharedItems>
    </cacheField>
    <cacheField name="Importe" numFmtId="43">
      <sharedItems containsSemiMixedTypes="0" containsString="0" containsNumber="1" minValue="9" maxValue="3798"/>
    </cacheField>
    <cacheField name="Status" numFmtId="43">
      <sharedItems/>
    </cacheField>
    <cacheField name="Comision" numFmtId="43">
      <sharedItems containsSemiMixedTypes="0" containsString="0" containsNumber="1" minValue="0.26" maxValue="109.76"/>
    </cacheField>
    <cacheField name="Comision_Afecta" numFmtId="43">
      <sharedItems containsSemiMixedTypes="0" containsString="0" containsNumber="1" minValue="0.12" maxValue="48.99"/>
    </cacheField>
    <cacheField name="IGV" numFmtId="43">
      <sharedItems containsSemiMixedTypes="0" containsString="0" containsNumber="1" minValue="0.02" maxValue="8.82"/>
    </cacheField>
    <cacheField name="Neto_Parcial" numFmtId="43">
      <sharedItems containsSemiMixedTypes="0" containsString="0" containsNumber="1" minValue="8.7200000000000006" maxValue="3679.42"/>
    </cacheField>
    <cacheField name="Neto_Total" numFmtId="0">
      <sharedItems containsSemiMixedTypes="0" containsString="0" containsNumber="1" minValue="0" maxValue="9974.41"/>
    </cacheField>
    <cacheField name="Fecha_Abono" numFmtId="0">
      <sharedItems containsNonDate="0" containsDate="1" containsString="0" containsBlank="1" minDate="2026-04-06T00:00:00" maxDate="2026-04-22T00:00:00"/>
    </cacheField>
    <cacheField name="Fecha_Abono_8Dig" numFmtId="0">
      <sharedItems containsSemiMixedTypes="0" containsString="0" containsNumber="1" containsInteger="1" minValue="20260406" maxValue="20260421"/>
    </cacheField>
    <cacheField name="Observaciones" numFmtId="0">
      <sharedItems containsBlank="1"/>
    </cacheField>
    <cacheField name="Tipo_Tarjeta" numFmtId="0">
      <sharedItems/>
    </cacheField>
    <cacheField name="Serie_Terminal" numFmtId="0">
      <sharedItems/>
    </cacheField>
    <cacheField name="Banco_Emisor" numFmtId="0">
      <sharedItems/>
    </cacheField>
    <cacheField name="Cuota sin interes" numFmtId="0">
      <sharedItems containsBlank="1"/>
    </cacheField>
    <cacheField name="Entidad" numFmtId="0">
      <sharedItems containsBlank="1"/>
    </cacheField>
    <cacheField name="Hora TRX" numFmtId="21">
      <sharedItems containsSemiMixedTypes="0" containsNonDate="0" containsDate="1" containsString="0" minDate="1899-12-30T10:18:24" maxDate="1899-12-30T22:06:16"/>
    </cacheField>
    <cacheField name="Nombre comercial" numFmtId="0">
      <sharedItems/>
    </cacheField>
    <cacheField name="BANC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00640121"/>
    <s v="HONOR MODULO AREQUIPA"/>
    <s v="IZIPAY"/>
    <s v=""/>
    <s v="CONSUMO"/>
    <d v="2026-03-04T00:00:00"/>
    <d v="2026-03-04T00:00:00"/>
    <s v="DINERS"/>
    <s v="**** ****** 0441"/>
    <s v="LOCAL"/>
    <n v="89798"/>
    <n v="2603060015648228"/>
    <s v="SOLES"/>
    <x v="0"/>
    <n v="625"/>
    <s v="PROCESADO"/>
    <n v="0"/>
    <s v="2 días"/>
    <d v="2026-03-06T00:00:00"/>
    <s v="PORCENTUAL"/>
    <n v="2.2000000000000002"/>
    <n v="149"/>
    <n v="3.28"/>
    <n v="0.59"/>
    <n v="145.13"/>
  </r>
  <r>
    <m/>
    <m/>
    <m/>
    <m/>
    <m/>
    <m/>
    <m/>
    <m/>
    <m/>
    <m/>
    <m/>
    <m/>
    <m/>
    <x v="1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45649"/>
    <s v=""/>
    <s v="A"/>
    <d v="2026-03-06T00:00:00"/>
    <d v="2026-03-06T00:00:00"/>
    <m/>
    <n v="648"/>
    <s v="PS0001"/>
    <n v="697"/>
    <n v="481496"/>
    <n v="2"/>
    <s v="377892*****9959"/>
    <s v=""/>
    <s v="COMPRA"/>
    <x v="0"/>
    <n v="1049"/>
    <n v="41.86"/>
    <n v="8.3699999999999992"/>
    <n v="1.51"/>
    <n v="1005.63"/>
    <n v="0"/>
    <n v="20260310"/>
  </r>
  <r>
    <n v="1045649"/>
    <s v=""/>
    <s v="C"/>
    <d v="2026-03-06T00:00:00"/>
    <d v="2026-03-06T00:00:00"/>
    <n v="9996"/>
    <m/>
    <s v=""/>
    <m/>
    <m/>
    <m/>
    <s v=""/>
    <s v=""/>
    <s v="S.E.A."/>
    <x v="0"/>
    <n v="0"/>
    <n v="-5"/>
    <n v="-5"/>
    <n v="-0.9"/>
    <n v="-5.9"/>
    <n v="0"/>
    <n v="20260310"/>
  </r>
  <r>
    <n v="1045649"/>
    <s v=""/>
    <s v="A"/>
    <d v="2026-03-06T00:00:00"/>
    <m/>
    <m/>
    <m/>
    <s v=""/>
    <m/>
    <m/>
    <m/>
    <s v=""/>
    <s v=""/>
    <s v=""/>
    <x v="1"/>
    <n v="0"/>
    <n v="0"/>
    <n v="0"/>
    <n v="0"/>
    <n v="-5.9"/>
    <n v="999.73"/>
    <n v="20260310"/>
  </r>
  <r>
    <n v="1045649"/>
    <s v=""/>
    <s v="A"/>
    <d v="2026-03-18T00:00:00"/>
    <d v="2026-03-18T00:00:00"/>
    <m/>
    <n v="659"/>
    <s v="PS0001"/>
    <n v="899"/>
    <n v="966492"/>
    <m/>
    <s v="377898*****6462"/>
    <s v=""/>
    <s v="COMPRA"/>
    <x v="2"/>
    <n v="1228"/>
    <n v="49"/>
    <n v="9.8000000000000007"/>
    <n v="1.76"/>
    <n v="1177.24"/>
    <n v="1177.24"/>
    <n v="20260320"/>
  </r>
  <r>
    <m/>
    <m/>
    <m/>
    <m/>
    <m/>
    <m/>
    <m/>
    <m/>
    <m/>
    <m/>
    <m/>
    <m/>
    <m/>
    <m/>
    <x v="1"/>
    <m/>
    <m/>
    <m/>
    <m/>
    <m/>
    <m/>
    <m/>
  </r>
  <r>
    <m/>
    <m/>
    <m/>
    <m/>
    <m/>
    <m/>
    <m/>
    <m/>
    <m/>
    <m/>
    <m/>
    <m/>
    <m/>
    <m/>
    <x v="1"/>
    <m/>
    <m/>
    <m/>
    <m/>
    <m/>
    <m/>
    <m/>
  </r>
  <r>
    <m/>
    <m/>
    <m/>
    <m/>
    <m/>
    <m/>
    <m/>
    <m/>
    <m/>
    <m/>
    <m/>
    <m/>
    <m/>
    <m/>
    <x v="1"/>
    <m/>
    <m/>
    <m/>
    <m/>
    <m/>
    <m/>
    <m/>
  </r>
  <r>
    <m/>
    <m/>
    <m/>
    <m/>
    <m/>
    <m/>
    <m/>
    <m/>
    <m/>
    <m/>
    <m/>
    <m/>
    <m/>
    <m/>
    <x v="1"/>
    <m/>
    <m/>
    <m/>
    <m/>
    <m/>
    <m/>
    <m/>
  </r>
  <r>
    <m/>
    <m/>
    <m/>
    <m/>
    <m/>
    <m/>
    <m/>
    <m/>
    <m/>
    <m/>
    <m/>
    <m/>
    <m/>
    <m/>
    <x v="1"/>
    <m/>
    <m/>
    <m/>
    <m/>
    <m/>
    <m/>
    <m/>
  </r>
  <r>
    <m/>
    <m/>
    <m/>
    <m/>
    <m/>
    <m/>
    <m/>
    <m/>
    <m/>
    <m/>
    <m/>
    <m/>
    <m/>
    <m/>
    <x v="1"/>
    <m/>
    <m/>
    <m/>
    <m/>
    <m/>
    <m/>
    <m/>
  </r>
  <r>
    <m/>
    <m/>
    <m/>
    <m/>
    <m/>
    <m/>
    <m/>
    <m/>
    <m/>
    <m/>
    <m/>
    <m/>
    <m/>
    <m/>
    <x v="1"/>
    <m/>
    <m/>
    <m/>
    <m/>
    <m/>
    <m/>
    <m/>
  </r>
  <r>
    <m/>
    <m/>
    <m/>
    <m/>
    <m/>
    <m/>
    <m/>
    <m/>
    <m/>
    <m/>
    <m/>
    <m/>
    <m/>
    <m/>
    <x v="1"/>
    <m/>
    <m/>
    <m/>
    <m/>
    <m/>
    <m/>
    <m/>
  </r>
  <r>
    <m/>
    <m/>
    <m/>
    <m/>
    <m/>
    <m/>
    <m/>
    <m/>
    <m/>
    <m/>
    <m/>
    <m/>
    <m/>
    <m/>
    <x v="1"/>
    <m/>
    <m/>
    <m/>
    <m/>
    <m/>
    <m/>
    <m/>
  </r>
  <r>
    <m/>
    <m/>
    <m/>
    <m/>
    <m/>
    <m/>
    <m/>
    <m/>
    <m/>
    <m/>
    <m/>
    <m/>
    <m/>
    <m/>
    <x v="1"/>
    <m/>
    <m/>
    <m/>
    <m/>
    <m/>
    <m/>
    <m/>
  </r>
  <r>
    <m/>
    <m/>
    <m/>
    <m/>
    <m/>
    <m/>
    <m/>
    <m/>
    <m/>
    <m/>
    <m/>
    <m/>
    <m/>
    <m/>
    <x v="1"/>
    <m/>
    <m/>
    <m/>
    <m/>
    <m/>
    <m/>
    <m/>
  </r>
  <r>
    <m/>
    <m/>
    <m/>
    <m/>
    <m/>
    <m/>
    <m/>
    <m/>
    <m/>
    <m/>
    <m/>
    <m/>
    <m/>
    <m/>
    <x v="1"/>
    <m/>
    <m/>
    <m/>
    <m/>
    <m/>
    <m/>
    <m/>
  </r>
  <r>
    <m/>
    <m/>
    <m/>
    <m/>
    <m/>
    <m/>
    <m/>
    <m/>
    <m/>
    <m/>
    <m/>
    <m/>
    <m/>
    <m/>
    <x v="1"/>
    <m/>
    <m/>
    <m/>
    <m/>
    <m/>
    <m/>
    <m/>
  </r>
  <r>
    <m/>
    <m/>
    <m/>
    <m/>
    <m/>
    <m/>
    <m/>
    <m/>
    <m/>
    <m/>
    <m/>
    <m/>
    <m/>
    <m/>
    <x v="1"/>
    <m/>
    <m/>
    <m/>
    <m/>
    <m/>
    <m/>
    <m/>
  </r>
  <r>
    <m/>
    <m/>
    <m/>
    <m/>
    <m/>
    <m/>
    <m/>
    <m/>
    <m/>
    <m/>
    <m/>
    <m/>
    <m/>
    <m/>
    <x v="1"/>
    <m/>
    <m/>
    <m/>
    <m/>
    <m/>
    <m/>
    <m/>
  </r>
  <r>
    <m/>
    <m/>
    <m/>
    <m/>
    <m/>
    <m/>
    <m/>
    <m/>
    <m/>
    <m/>
    <m/>
    <m/>
    <m/>
    <m/>
    <x v="1"/>
    <m/>
    <m/>
    <m/>
    <m/>
    <m/>
    <m/>
    <m/>
  </r>
  <r>
    <m/>
    <m/>
    <m/>
    <m/>
    <m/>
    <m/>
    <m/>
    <m/>
    <m/>
    <m/>
    <m/>
    <m/>
    <m/>
    <m/>
    <x v="1"/>
    <m/>
    <m/>
    <m/>
    <m/>
    <m/>
    <m/>
    <m/>
  </r>
  <r>
    <m/>
    <m/>
    <m/>
    <m/>
    <m/>
    <m/>
    <m/>
    <m/>
    <m/>
    <m/>
    <m/>
    <m/>
    <m/>
    <m/>
    <x v="1"/>
    <m/>
    <m/>
    <m/>
    <m/>
    <m/>
    <m/>
    <m/>
  </r>
  <r>
    <m/>
    <m/>
    <m/>
    <m/>
    <m/>
    <m/>
    <m/>
    <m/>
    <m/>
    <m/>
    <m/>
    <m/>
    <m/>
    <m/>
    <x v="1"/>
    <m/>
    <m/>
    <m/>
    <m/>
    <m/>
    <m/>
    <m/>
  </r>
  <r>
    <m/>
    <m/>
    <m/>
    <m/>
    <m/>
    <m/>
    <m/>
    <m/>
    <m/>
    <m/>
    <m/>
    <m/>
    <m/>
    <m/>
    <x v="1"/>
    <m/>
    <m/>
    <m/>
    <m/>
    <m/>
    <m/>
    <m/>
  </r>
  <r>
    <m/>
    <m/>
    <m/>
    <m/>
    <m/>
    <m/>
    <m/>
    <m/>
    <m/>
    <m/>
    <m/>
    <m/>
    <m/>
    <m/>
    <x v="1"/>
    <m/>
    <m/>
    <m/>
    <m/>
    <m/>
    <m/>
    <m/>
  </r>
  <r>
    <m/>
    <m/>
    <m/>
    <m/>
    <m/>
    <m/>
    <m/>
    <m/>
    <m/>
    <m/>
    <m/>
    <m/>
    <m/>
    <m/>
    <x v="1"/>
    <m/>
    <m/>
    <m/>
    <m/>
    <m/>
    <m/>
    <m/>
  </r>
  <r>
    <m/>
    <m/>
    <m/>
    <m/>
    <m/>
    <m/>
    <m/>
    <m/>
    <m/>
    <m/>
    <m/>
    <m/>
    <m/>
    <m/>
    <x v="1"/>
    <m/>
    <m/>
    <m/>
    <m/>
    <m/>
    <m/>
    <m/>
  </r>
  <r>
    <m/>
    <m/>
    <m/>
    <m/>
    <m/>
    <m/>
    <m/>
    <m/>
    <m/>
    <m/>
    <m/>
    <m/>
    <m/>
    <m/>
    <x v="1"/>
    <m/>
    <m/>
    <m/>
    <m/>
    <m/>
    <m/>
    <m/>
  </r>
  <r>
    <m/>
    <m/>
    <m/>
    <m/>
    <m/>
    <m/>
    <m/>
    <m/>
    <m/>
    <m/>
    <m/>
    <m/>
    <m/>
    <m/>
    <x v="1"/>
    <m/>
    <m/>
    <m/>
    <m/>
    <m/>
    <m/>
    <m/>
  </r>
  <r>
    <m/>
    <m/>
    <m/>
    <m/>
    <m/>
    <m/>
    <m/>
    <m/>
    <m/>
    <m/>
    <m/>
    <m/>
    <m/>
    <m/>
    <x v="1"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n v="1045649"/>
    <s v="VA"/>
    <s v="A"/>
    <d v="2026-04-01T00:00:00"/>
    <d v="2026-04-01T00:00:00"/>
    <m/>
    <n v="673"/>
    <s v="PS0001"/>
    <n v="1078"/>
    <n v="42067"/>
    <m/>
    <s v="421410******4615"/>
    <s v="Nac"/>
    <s v="COM"/>
    <x v="0"/>
    <n v="629"/>
    <s v="Abonado"/>
    <n v="18.18"/>
    <n v="8.1199999999999992"/>
    <n v="1.46"/>
    <n v="609.36"/>
    <n v="0"/>
    <m/>
    <n v="20260406"/>
    <m/>
    <s v="DEBITO"/>
    <s v="52P20548"/>
    <s v="NACION"/>
    <m/>
    <m/>
    <d v="1899-12-30T12:16:54"/>
    <s v="HONOR MODULO AREQUIPA"/>
    <s v="SCOTIABANK"/>
  </r>
  <r>
    <n v="1045649"/>
    <s v="VA"/>
    <s v="A"/>
    <d v="2026-04-01T00:00:00"/>
    <d v="2026-04-01T00:00:00"/>
    <m/>
    <n v="673"/>
    <s v="PS0001"/>
    <n v="1080"/>
    <n v="80066"/>
    <m/>
    <s v="455696******1576"/>
    <s v="Nac"/>
    <s v="COM"/>
    <x v="0"/>
    <n v="1699"/>
    <s v="Abonado"/>
    <n v="49.1"/>
    <n v="6.62"/>
    <n v="1.19"/>
    <n v="1648.71"/>
    <n v="0"/>
    <m/>
    <n v="20260406"/>
    <m/>
    <s v="CREDITO"/>
    <s v="52P20548"/>
    <s v="IBK PRIVADA"/>
    <m/>
    <m/>
    <d v="1899-12-30T15:07:52"/>
    <s v="HONOR MODULO AREQUIPA"/>
    <s v="SCOTIABANK"/>
  </r>
  <r>
    <n v="1045649"/>
    <s v="VA"/>
    <s v="A"/>
    <d v="2026-04-01T00:00:00"/>
    <d v="2026-04-01T00:00:00"/>
    <m/>
    <n v="673"/>
    <s v="PS0001"/>
    <n v="1082"/>
    <n v="576035"/>
    <m/>
    <s v="438466******8008"/>
    <s v="Nac"/>
    <s v="COM"/>
    <x v="0"/>
    <n v="89"/>
    <s v="Abonado"/>
    <n v="2.57"/>
    <n v="1.1499999999999999"/>
    <n v="0.21"/>
    <n v="86.22"/>
    <n v="0"/>
    <m/>
    <n v="20260406"/>
    <m/>
    <s v="DEBITO"/>
    <s v="52P20548"/>
    <s v="VISA LOC"/>
    <m/>
    <m/>
    <d v="1899-12-30T15:19:38"/>
    <s v="HONOR MODULO AREQUIPA"/>
    <s v="SCOTIABANK"/>
  </r>
  <r>
    <n v="1045649"/>
    <s v="VA"/>
    <s v="A"/>
    <d v="2026-04-01T00:00:00"/>
    <d v="2026-04-01T00:00:00"/>
    <m/>
    <n v="673"/>
    <n v="65656565"/>
    <n v="1084"/>
    <n v="387953"/>
    <m/>
    <s v="421355******8671"/>
    <s v="Nac"/>
    <s v="COM"/>
    <x v="0"/>
    <n v="629"/>
    <s v="Abonado"/>
    <n v="18.170000000000002"/>
    <n v="8.11"/>
    <n v="1.46"/>
    <n v="609.37"/>
    <n v="0"/>
    <m/>
    <n v="20260406"/>
    <m/>
    <s v="DEBITO"/>
    <s v="52P20548"/>
    <s v="IBK PRIVADA"/>
    <m/>
    <s v="IBK Plin"/>
    <d v="1899-12-30T18:06:59"/>
    <s v="HONOR MODULO AREQUIPA"/>
    <s v="SCOTIABANK"/>
  </r>
  <r>
    <n v="1045649"/>
    <s v="VA"/>
    <s v="A"/>
    <d v="2026-04-01T00:00:00"/>
    <d v="2026-04-01T00:00:00"/>
    <m/>
    <n v="673"/>
    <s v="PS0001"/>
    <n v="1087"/>
    <n v="731617"/>
    <m/>
    <s v="407876******8129"/>
    <s v="Nac"/>
    <s v="COM"/>
    <x v="0"/>
    <n v="298"/>
    <s v="Abonado"/>
    <n v="8.61"/>
    <n v="1.76"/>
    <n v="0.32"/>
    <n v="289.07"/>
    <n v="0"/>
    <m/>
    <n v="20260406"/>
    <m/>
    <s v="CREDITO"/>
    <s v="52P20548"/>
    <s v="BFALABELLA"/>
    <m/>
    <m/>
    <d v="1899-12-30T18:10:23"/>
    <s v="HONOR MODULO AREQUIPA"/>
    <s v="SCOTIABANK"/>
  </r>
  <r>
    <n v="1045649"/>
    <s v="VA"/>
    <s v="A"/>
    <d v="2026-04-01T00:00:00"/>
    <d v="2026-04-01T00:00:00"/>
    <m/>
    <n v="673"/>
    <s v="PS0001"/>
    <n v="1090"/>
    <n v="942234"/>
    <m/>
    <s v="455788******1522"/>
    <s v="Nac"/>
    <s v="COM"/>
    <x v="0"/>
    <n v="19.899999999999999"/>
    <s v="Abonado"/>
    <n v="0.57999999999999996"/>
    <n v="0.26"/>
    <n v="0.05"/>
    <n v="19.27"/>
    <n v="0"/>
    <m/>
    <n v="20260406"/>
    <m/>
    <s v="DEBITO"/>
    <s v="52P20548"/>
    <s v="BCP"/>
    <m/>
    <m/>
    <d v="1899-12-30T18:52:26"/>
    <s v="HONOR MODULO AREQUIPA"/>
    <s v="SCOTIABANK"/>
  </r>
  <r>
    <n v="1045649"/>
    <s v="VA"/>
    <s v="A"/>
    <d v="2026-04-01T00:00:00"/>
    <d v="2026-04-01T00:00:00"/>
    <m/>
    <n v="673"/>
    <s v="PS0001"/>
    <n v="1092"/>
    <n v="950491"/>
    <m/>
    <s v="455788******0725"/>
    <s v="Nac"/>
    <s v="COM"/>
    <x v="0"/>
    <n v="529"/>
    <s v="Abonado"/>
    <n v="15.29"/>
    <n v="6.83"/>
    <n v="1.23"/>
    <n v="512.48"/>
    <n v="0"/>
    <m/>
    <n v="20260406"/>
    <m/>
    <s v="DEBITO"/>
    <s v="52P20548"/>
    <s v="BCP"/>
    <m/>
    <m/>
    <d v="1899-12-30T19:31:39"/>
    <s v="HONOR MODULO AREQUIPA"/>
    <s v="SCOTIABANK"/>
  </r>
  <r>
    <n v="1045649"/>
    <s v="VA"/>
    <s v="A"/>
    <d v="2026-04-01T00:00:00"/>
    <d v="2026-04-01T00:00:00"/>
    <m/>
    <n v="673"/>
    <n v="65656565"/>
    <n v="1094"/>
    <n v="293274"/>
    <m/>
    <s v="421355******6998"/>
    <s v="Nac"/>
    <s v="COM"/>
    <x v="0"/>
    <n v="1699"/>
    <s v="Abonado"/>
    <n v="49.1"/>
    <n v="21.92"/>
    <n v="3.95"/>
    <n v="1645.95"/>
    <n v="5420.43"/>
    <d v="2026-04-06T00:00:00"/>
    <n v="20260406"/>
    <m/>
    <s v="DEBITO"/>
    <s v="52P20548"/>
    <s v="IBK PRIVADA"/>
    <m/>
    <s v="IBK Plin"/>
    <d v="1899-12-30T19:45:57"/>
    <s v="HONOR MODULO AREQUIPA"/>
    <s v="SCOTIABANK"/>
  </r>
  <r>
    <n v="1045649"/>
    <s v="VA"/>
    <s v="A"/>
    <d v="2026-04-02T00:00:00"/>
    <d v="2026-04-02T00:00:00"/>
    <m/>
    <n v="674"/>
    <n v="65656565"/>
    <n v="1103"/>
    <n v="761667"/>
    <m/>
    <s v="455788******3226"/>
    <s v="Nac"/>
    <s v="COM"/>
    <x v="1"/>
    <n v="499"/>
    <s v="Abonado"/>
    <n v="14.42"/>
    <n v="6.44"/>
    <n v="1.1599999999999999"/>
    <n v="483.42"/>
    <n v="0"/>
    <m/>
    <n v="20260406"/>
    <m/>
    <s v="DEBITO"/>
    <s v="52P20548"/>
    <s v="BCP"/>
    <m/>
    <s v="Yape"/>
    <d v="1899-12-30T12:33:59"/>
    <s v="HONOR MODULO AREQUIPA"/>
    <s v="SCOTIABANK"/>
  </r>
  <r>
    <n v="1045649"/>
    <s v="VA"/>
    <s v="A"/>
    <d v="2026-04-02T00:00:00"/>
    <d v="2026-04-02T00:00:00"/>
    <m/>
    <n v="674"/>
    <s v="PS0001"/>
    <n v="1107"/>
    <n v="4810"/>
    <m/>
    <s v="463402******8027"/>
    <s v="Nac"/>
    <s v="COM"/>
    <x v="1"/>
    <n v="1149"/>
    <s v="Abonado"/>
    <n v="33.21"/>
    <n v="9.08"/>
    <n v="1.63"/>
    <n v="1114.1600000000001"/>
    <n v="0"/>
    <m/>
    <n v="20260406"/>
    <m/>
    <s v="CREDITO"/>
    <s v="52P20548"/>
    <s v="BCP"/>
    <m/>
    <m/>
    <d v="1899-12-30T13:10:36"/>
    <s v="HONOR MODULO AREQUIPA"/>
    <s v="SCOTIABANK"/>
  </r>
  <r>
    <n v="1045649"/>
    <s v="VA"/>
    <s v="A"/>
    <d v="2026-04-02T00:00:00"/>
    <d v="2026-04-02T00:00:00"/>
    <m/>
    <n v="674"/>
    <s v="PS0001"/>
    <n v="1109"/>
    <n v="887826"/>
    <n v="3"/>
    <s v="491909******5165"/>
    <s v="Nac"/>
    <s v="COM"/>
    <x v="1"/>
    <n v="1049"/>
    <s v="Abonado"/>
    <n v="48.68"/>
    <n v="8.2899999999999991"/>
    <n v="1.49"/>
    <n v="998.83"/>
    <n v="0"/>
    <m/>
    <n v="20260406"/>
    <m/>
    <s v="CREDITO"/>
    <s v="52P20548"/>
    <s v="BBVA"/>
    <s v="SI"/>
    <m/>
    <d v="1899-12-30T13:22:37"/>
    <s v="HONOR MODULO AREQUIPA"/>
    <s v="SCOTIABANK"/>
  </r>
  <r>
    <n v="1045649"/>
    <s v="VA"/>
    <s v="A"/>
    <d v="2026-04-02T00:00:00"/>
    <d v="2026-04-02T00:00:00"/>
    <m/>
    <n v="674"/>
    <s v="PS0001"/>
    <n v="1111"/>
    <n v="134436"/>
    <m/>
    <s v="483039******5882"/>
    <s v="Nac"/>
    <s v="COM"/>
    <x v="1"/>
    <n v="1000"/>
    <s v="Abonado"/>
    <n v="28.9"/>
    <n v="7.9"/>
    <n v="1.42"/>
    <n v="969.68"/>
    <n v="0"/>
    <m/>
    <n v="20260406"/>
    <m/>
    <s v="DEBITO"/>
    <s v="52P20548"/>
    <s v="IBK PRIVADA"/>
    <m/>
    <m/>
    <d v="1899-12-30T13:43:31"/>
    <s v="HONOR MODULO AREQUIPA"/>
    <s v="SCOTIABANK"/>
  </r>
  <r>
    <n v="1045649"/>
    <s v="VA"/>
    <s v="A"/>
    <d v="2026-04-02T00:00:00"/>
    <d v="2026-04-02T00:00:00"/>
    <m/>
    <n v="674"/>
    <s v="PS0001"/>
    <n v="1113"/>
    <n v="971091"/>
    <m/>
    <s v="414075******8545"/>
    <s v="Nac"/>
    <s v="COM"/>
    <x v="1"/>
    <n v="999"/>
    <s v="Abonado"/>
    <n v="28.87"/>
    <n v="3.89"/>
    <n v="0.7"/>
    <n v="969.43"/>
    <n v="0"/>
    <m/>
    <n v="20260406"/>
    <m/>
    <s v="CREDITO"/>
    <s v="52P20548"/>
    <s v="BBVA"/>
    <m/>
    <m/>
    <d v="1899-12-30T13:44:14"/>
    <s v="HONOR MODULO AREQUIPA"/>
    <s v="SCOTIABANK"/>
  </r>
  <r>
    <n v="1045649"/>
    <s v="VA"/>
    <s v="A"/>
    <d v="2026-04-02T00:00:00"/>
    <d v="2026-04-02T00:00:00"/>
    <m/>
    <n v="674"/>
    <s v="PS0001"/>
    <n v="1125"/>
    <n v="642569"/>
    <m/>
    <s v="455788******6857"/>
    <s v="Nac"/>
    <s v="COM"/>
    <x v="1"/>
    <n v="629"/>
    <s v="Abonado"/>
    <n v="18.18"/>
    <n v="8.1199999999999992"/>
    <n v="1.46"/>
    <n v="609.36"/>
    <n v="5144.88"/>
    <d v="2026-04-06T00:00:00"/>
    <n v="20260406"/>
    <m/>
    <s v="DEBITO"/>
    <s v="52P20548"/>
    <s v="BCP"/>
    <m/>
    <m/>
    <d v="1899-12-30T21:13:34"/>
    <s v="HONOR MODULO AREQUIPA"/>
    <s v="SCOTIABANK"/>
  </r>
  <r>
    <n v="1045649"/>
    <s v="VA"/>
    <s v="A"/>
    <d v="2026-04-03T00:00:00"/>
    <d v="2026-04-03T00:00:00"/>
    <m/>
    <n v="675"/>
    <n v="65656565"/>
    <n v="1131"/>
    <n v="304469"/>
    <m/>
    <s v="455788******6834"/>
    <s v="Nac"/>
    <s v="COM"/>
    <x v="2"/>
    <n v="149"/>
    <s v="Abonado"/>
    <n v="4.3"/>
    <n v="1.92"/>
    <n v="0.35"/>
    <n v="144.35"/>
    <n v="144.35"/>
    <d v="2026-04-06T00:00:00"/>
    <n v="20260406"/>
    <m/>
    <s v="DEBITO"/>
    <s v="52P20548"/>
    <s v="VISA LOC"/>
    <m/>
    <s v="Yape"/>
    <d v="1899-12-30T11:57:05"/>
    <s v="HONOR MODULO AREQUIPA"/>
    <s v="SCOTIABANK"/>
  </r>
  <r>
    <n v="1045649"/>
    <s v="VA"/>
    <s v="A"/>
    <d v="2026-04-04T00:00:00"/>
    <d v="2026-04-04T00:00:00"/>
    <m/>
    <n v="676"/>
    <s v="PS0001"/>
    <n v="1139"/>
    <n v="509113"/>
    <m/>
    <s v="455788******3381"/>
    <s v="Nac"/>
    <s v="COM"/>
    <x v="3"/>
    <n v="1699"/>
    <s v="Abonado"/>
    <n v="49.1"/>
    <n v="21.92"/>
    <n v="3.95"/>
    <n v="1645.95"/>
    <n v="0"/>
    <m/>
    <n v="20260406"/>
    <m/>
    <s v="DEBITO"/>
    <s v="52P20548"/>
    <s v="BCP"/>
    <m/>
    <m/>
    <d v="1899-12-30T10:18:24"/>
    <s v="HONOR MODULO AREQUIPA"/>
    <s v="SCOTIABANK"/>
  </r>
  <r>
    <n v="1045649"/>
    <s v="VA"/>
    <s v="A"/>
    <d v="2026-04-04T00:00:00"/>
    <d v="2026-04-04T00:00:00"/>
    <m/>
    <n v="676"/>
    <s v="PS0001"/>
    <n v="1142"/>
    <n v="196227"/>
    <m/>
    <s v="414791******5996"/>
    <s v="Nac"/>
    <s v="COM"/>
    <x v="3"/>
    <n v="659"/>
    <s v="Abonado"/>
    <n v="19.05"/>
    <n v="3.89"/>
    <n v="0.7"/>
    <n v="639.25"/>
    <n v="0"/>
    <m/>
    <n v="20260406"/>
    <m/>
    <s v="CREDITO"/>
    <s v="52P20548"/>
    <s v="BBVA"/>
    <m/>
    <m/>
    <d v="1899-12-30T10:59:13"/>
    <s v="HONOR MODULO AREQUIPA"/>
    <s v="SCOTIABANK"/>
  </r>
  <r>
    <n v="1045649"/>
    <s v="VA"/>
    <s v="A"/>
    <d v="2026-04-04T00:00:00"/>
    <d v="2026-04-04T00:00:00"/>
    <m/>
    <n v="676"/>
    <s v="PS0001"/>
    <n v="1144"/>
    <n v="481126"/>
    <m/>
    <s v="447410******4840"/>
    <s v="Nac"/>
    <s v="COM"/>
    <x v="3"/>
    <n v="3097"/>
    <s v="Abonado"/>
    <n v="89.5"/>
    <n v="18.27"/>
    <n v="3.29"/>
    <n v="3004.21"/>
    <n v="0"/>
    <m/>
    <n v="20260406"/>
    <m/>
    <s v="CREDITO"/>
    <s v="52P20548"/>
    <s v="BFALABELLA"/>
    <m/>
    <m/>
    <d v="1899-12-30T12:15:57"/>
    <s v="HONOR MODULO AREQUIPA"/>
    <s v="SCOTIABANK"/>
  </r>
  <r>
    <n v="1045649"/>
    <s v="VA"/>
    <s v="A"/>
    <d v="2026-04-04T00:00:00"/>
    <d v="2026-04-04T00:00:00"/>
    <m/>
    <n v="676"/>
    <s v="PS0001"/>
    <n v="1147"/>
    <n v="983088"/>
    <m/>
    <s v="455788******0605"/>
    <s v="Nac"/>
    <s v="COM"/>
    <x v="3"/>
    <n v="949"/>
    <s v="Abonado"/>
    <n v="27.43"/>
    <n v="12.25"/>
    <n v="2.21"/>
    <n v="919.36"/>
    <n v="0"/>
    <m/>
    <n v="20260406"/>
    <m/>
    <s v="DEBITO"/>
    <s v="52P20548"/>
    <s v="BCP"/>
    <m/>
    <m/>
    <d v="1899-12-30T14:39:55"/>
    <s v="HONOR MODULO AREQUIPA"/>
    <s v="SCOTIABANK"/>
  </r>
  <r>
    <n v="1045649"/>
    <s v="VA"/>
    <s v="A"/>
    <d v="2026-04-04T00:00:00"/>
    <d v="2026-04-04T00:00:00"/>
    <m/>
    <n v="676"/>
    <s v="PS0001"/>
    <n v="1150"/>
    <n v="192071"/>
    <m/>
    <s v="455788******6654"/>
    <s v="Nac"/>
    <s v="COM"/>
    <x v="3"/>
    <n v="3798"/>
    <s v="Abonado"/>
    <n v="109.76"/>
    <n v="48.99"/>
    <n v="8.82"/>
    <n v="3679.42"/>
    <n v="0"/>
    <m/>
    <n v="20260406"/>
    <m/>
    <s v="DEBITO"/>
    <s v="52P20548"/>
    <s v="VISA LOC"/>
    <m/>
    <m/>
    <d v="1899-12-30T16:29:54"/>
    <s v="HONOR MODULO AREQUIPA"/>
    <s v="SCOTIABANK"/>
  </r>
  <r>
    <n v="1045649"/>
    <s v="VA"/>
    <s v="A"/>
    <d v="2026-04-04T00:00:00"/>
    <d v="2026-04-04T00:00:00"/>
    <m/>
    <n v="676"/>
    <s v="PS0001"/>
    <n v="1153"/>
    <n v="347609"/>
    <m/>
    <s v="455788******1099"/>
    <s v="Nac"/>
    <s v="COM"/>
    <x v="3"/>
    <n v="89"/>
    <s v="Abonado"/>
    <n v="2.57"/>
    <n v="1.1499999999999999"/>
    <n v="0.21"/>
    <n v="86.22"/>
    <n v="9974.41"/>
    <d v="2026-04-06T00:00:00"/>
    <n v="20260406"/>
    <m/>
    <s v="DEBITO"/>
    <s v="52P20548"/>
    <s v="BCP"/>
    <m/>
    <m/>
    <d v="1899-12-30T18:10:25"/>
    <s v="HONOR MODULO AREQUIPA"/>
    <s v="SCOTIABANK"/>
  </r>
  <r>
    <n v="1045649"/>
    <s v="VA"/>
    <s v="A"/>
    <d v="2026-04-05T00:00:00"/>
    <d v="2026-04-05T00:00:00"/>
    <m/>
    <n v="677"/>
    <s v="PS0001"/>
    <n v="1158"/>
    <n v="775421"/>
    <m/>
    <s v="447410******3703"/>
    <s v="Nac"/>
    <s v="COM"/>
    <x v="4"/>
    <n v="89"/>
    <s v="Abonado"/>
    <n v="2.57"/>
    <n v="0.52"/>
    <n v="0.09"/>
    <n v="86.34"/>
    <n v="0"/>
    <m/>
    <n v="20260406"/>
    <m/>
    <s v="CREDITO"/>
    <s v="52P20548"/>
    <s v="BFALABELLA"/>
    <m/>
    <m/>
    <d v="1899-12-30T11:06:19"/>
    <s v="HONOR MODULO AREQUIPA"/>
    <s v="SCOTIABANK"/>
  </r>
  <r>
    <n v="1045649"/>
    <s v="VA"/>
    <s v="A"/>
    <d v="2026-04-05T00:00:00"/>
    <d v="2026-04-05T00:00:00"/>
    <m/>
    <n v="677"/>
    <s v="PS0001"/>
    <n v="1160"/>
    <n v="689138"/>
    <m/>
    <s v="455788******5386"/>
    <s v="Nac"/>
    <s v="COM"/>
    <x v="4"/>
    <n v="210"/>
    <s v="Abonado"/>
    <n v="6.07"/>
    <n v="2.71"/>
    <n v="0.49"/>
    <n v="203.44"/>
    <n v="0"/>
    <m/>
    <n v="20260406"/>
    <m/>
    <s v="DEBITO"/>
    <s v="52P20548"/>
    <s v="BCP"/>
    <m/>
    <m/>
    <d v="1899-12-30T15:47:30"/>
    <s v="HONOR MODULO AREQUIPA"/>
    <s v="SCOTIABANK"/>
  </r>
  <r>
    <n v="1045649"/>
    <s v="VA"/>
    <s v="A"/>
    <d v="2026-04-05T00:00:00"/>
    <d v="2026-04-05T00:00:00"/>
    <m/>
    <n v="677"/>
    <s v="PS0001"/>
    <n v="1162"/>
    <n v="155542"/>
    <m/>
    <s v="483039******8189"/>
    <s v="Nac"/>
    <s v="COM"/>
    <x v="4"/>
    <n v="1189"/>
    <s v="Abonado"/>
    <n v="34.36"/>
    <n v="9.39"/>
    <n v="1.69"/>
    <n v="1152.95"/>
    <n v="0"/>
    <m/>
    <n v="20260406"/>
    <m/>
    <s v="DEBITO"/>
    <s v="52P20548"/>
    <s v="IBK PRIVADA"/>
    <m/>
    <m/>
    <d v="1899-12-30T15:54:38"/>
    <s v="HONOR MODULO AREQUIPA"/>
    <s v="SCOTIABANK"/>
  </r>
  <r>
    <n v="1045649"/>
    <s v="VA"/>
    <s v="A"/>
    <d v="2026-04-05T00:00:00"/>
    <d v="2026-04-05T00:00:00"/>
    <m/>
    <n v="677"/>
    <s v="PS0001"/>
    <n v="1168"/>
    <n v="234671"/>
    <m/>
    <s v="455788******5390"/>
    <s v="Nac"/>
    <s v="COM"/>
    <x v="4"/>
    <n v="49"/>
    <s v="Abonado"/>
    <n v="1.42"/>
    <n v="0.64"/>
    <n v="0.12"/>
    <n v="47.46"/>
    <n v="1490.19"/>
    <d v="2026-04-06T00:00:00"/>
    <n v="20260406"/>
    <m/>
    <s v="DEBITO"/>
    <s v="52P20548"/>
    <s v="BCP"/>
    <m/>
    <m/>
    <d v="1899-12-30T21:09:45"/>
    <s v="HONOR MODULO AREQUIPA"/>
    <s v="SCOTIABANK"/>
  </r>
  <r>
    <n v="1045649"/>
    <s v="VH"/>
    <s v="A"/>
    <d v="2026-04-05T00:00:00"/>
    <d v="2026-04-05T00:00:00"/>
    <m/>
    <n v="677"/>
    <s v="PS0001"/>
    <n v="1166"/>
    <s v="6D5101"/>
    <m/>
    <s v="457339******2611"/>
    <s v="Nac"/>
    <s v="COM"/>
    <x v="4"/>
    <n v="629"/>
    <s v="Abonado"/>
    <n v="18.18"/>
    <n v="8.1199999999999992"/>
    <n v="1.46"/>
    <n v="609.36"/>
    <n v="609.36"/>
    <d v="2026-04-06T00:00:00"/>
    <n v="20260406"/>
    <m/>
    <s v="DEBITO"/>
    <s v="52P20548"/>
    <s v="SIP MC"/>
    <m/>
    <m/>
    <d v="1899-12-30T20:35:15"/>
    <s v="HONOR MODULO AREQUIPA"/>
    <s v="SCOTIABANK"/>
  </r>
  <r>
    <n v="1045649"/>
    <s v="VA"/>
    <s v="A"/>
    <d v="2026-04-06T00:00:00"/>
    <d v="2026-04-06T00:00:00"/>
    <m/>
    <n v="678"/>
    <s v="PS0001"/>
    <n v="1173"/>
    <n v="161412"/>
    <m/>
    <s v="455788******2207"/>
    <s v="Nac"/>
    <s v="COM"/>
    <x v="5"/>
    <n v="89"/>
    <s v="Abonado"/>
    <n v="2.57"/>
    <n v="1.1499999999999999"/>
    <n v="0.21"/>
    <n v="86.22"/>
    <n v="0"/>
    <m/>
    <n v="20260407"/>
    <m/>
    <s v="DEBITO"/>
    <s v="52P20548"/>
    <s v="BCP"/>
    <m/>
    <m/>
    <d v="1899-12-30T14:26:59"/>
    <s v="HONOR MODULO AREQUIPA"/>
    <s v="SCOTIABANK"/>
  </r>
  <r>
    <n v="1045649"/>
    <s v="VA"/>
    <s v="A"/>
    <d v="2026-04-06T00:00:00"/>
    <d v="2026-04-06T00:00:00"/>
    <m/>
    <n v="678"/>
    <s v="PS0001"/>
    <n v="1175"/>
    <n v="621268"/>
    <m/>
    <s v="455788******0728"/>
    <s v="Nac"/>
    <s v="COM"/>
    <x v="5"/>
    <n v="230"/>
    <s v="Abonado"/>
    <n v="6.65"/>
    <n v="2.97"/>
    <n v="0.53"/>
    <n v="222.82"/>
    <n v="0"/>
    <m/>
    <n v="20260407"/>
    <m/>
    <s v="DEBITO"/>
    <s v="52P20548"/>
    <s v="BCP"/>
    <m/>
    <m/>
    <d v="1899-12-30T18:54:30"/>
    <s v="HONOR MODULO AREQUIPA"/>
    <s v="SCOTIABANK"/>
  </r>
  <r>
    <n v="1045649"/>
    <s v="VA"/>
    <s v="A"/>
    <d v="2026-04-06T00:00:00"/>
    <d v="2026-04-06T00:00:00"/>
    <m/>
    <n v="678"/>
    <s v="PS0001"/>
    <n v="1177"/>
    <n v="185717"/>
    <m/>
    <s v="483039******8189"/>
    <s v="Nac"/>
    <s v="COM"/>
    <x v="5"/>
    <n v="919"/>
    <s v="Abonado"/>
    <n v="26.56"/>
    <n v="7.26"/>
    <n v="1.31"/>
    <n v="891.13"/>
    <n v="0"/>
    <m/>
    <n v="20260407"/>
    <m/>
    <s v="DEBITO"/>
    <s v="52P20548"/>
    <s v="IBK PRIVADA"/>
    <m/>
    <m/>
    <d v="1899-12-30T18:56:14"/>
    <s v="HONOR MODULO AREQUIPA"/>
    <s v="SCOTIABANK"/>
  </r>
  <r>
    <n v="1045649"/>
    <s v="VA"/>
    <s v="A"/>
    <d v="2026-04-06T00:00:00"/>
    <d v="2026-04-06T00:00:00"/>
    <m/>
    <n v="678"/>
    <n v="65656565"/>
    <n v="1179"/>
    <n v="19220"/>
    <m/>
    <s v="455788******2197"/>
    <s v="Nac"/>
    <s v="COM"/>
    <x v="5"/>
    <n v="459"/>
    <s v="Abonado"/>
    <n v="13.26"/>
    <n v="5.92"/>
    <n v="1.07"/>
    <n v="444.67"/>
    <n v="0"/>
    <m/>
    <n v="20260407"/>
    <m/>
    <s v="DEBITO"/>
    <s v="52P20548"/>
    <s v="BCP"/>
    <m/>
    <s v="Yape"/>
    <d v="1899-12-30T20:57:42"/>
    <s v="HONOR MODULO AREQUIPA"/>
    <s v="SCOTIABANK"/>
  </r>
  <r>
    <n v="1045649"/>
    <s v="VA"/>
    <s v="A"/>
    <d v="2026-04-06T00:00:00"/>
    <d v="2026-04-06T00:00:00"/>
    <m/>
    <n v="678"/>
    <s v="PS0001"/>
    <n v="1183"/>
    <n v="8400"/>
    <m/>
    <s v="463402******5664"/>
    <s v="Nac"/>
    <s v="COM"/>
    <x v="5"/>
    <n v="1149"/>
    <s v="Abonado"/>
    <n v="33.21"/>
    <n v="9.08"/>
    <n v="1.63"/>
    <n v="1114.1600000000001"/>
    <n v="2759"/>
    <d v="2026-04-07T00:00:00"/>
    <n v="20260407"/>
    <m/>
    <s v="CREDITO"/>
    <s v="52P20548"/>
    <s v="BCP"/>
    <m/>
    <m/>
    <d v="1899-12-30T21:09:28"/>
    <s v="HONOR MODULO AREQUIPA"/>
    <s v="SCOTIABANK"/>
  </r>
  <r>
    <n v="1045649"/>
    <s v="VA"/>
    <s v="A"/>
    <d v="2026-04-07T00:00:00"/>
    <d v="2026-04-07T00:00:00"/>
    <m/>
    <n v="679"/>
    <s v="PS0001"/>
    <n v="1189"/>
    <n v="80068"/>
    <m/>
    <s v="454775******3452"/>
    <s v="Nac"/>
    <s v="COM"/>
    <x v="6"/>
    <n v="580"/>
    <s v="Abonado"/>
    <n v="16.760000000000002"/>
    <n v="4.58"/>
    <n v="0.82"/>
    <n v="562.41999999999996"/>
    <n v="0"/>
    <m/>
    <n v="20260408"/>
    <m/>
    <s v="CREDITO"/>
    <s v="52P20548"/>
    <s v="IBK PRIVADA"/>
    <m/>
    <m/>
    <d v="1899-12-30T11:07:52"/>
    <s v="HONOR MODULO AREQUIPA"/>
    <s v="SCOTIABANK"/>
  </r>
  <r>
    <n v="1045649"/>
    <s v="VA"/>
    <s v="A"/>
    <d v="2026-04-07T00:00:00"/>
    <d v="2026-04-07T00:00:00"/>
    <m/>
    <n v="679"/>
    <s v="PS0001"/>
    <n v="1191"/>
    <n v="5953"/>
    <m/>
    <s v="463401******7822"/>
    <s v="Nac"/>
    <s v="COM"/>
    <x v="6"/>
    <n v="119"/>
    <s v="Abonado"/>
    <n v="3.44"/>
    <n v="0.94"/>
    <n v="0.17"/>
    <n v="115.39"/>
    <n v="0"/>
    <m/>
    <n v="20260408"/>
    <m/>
    <s v="CREDITO"/>
    <s v="52P20548"/>
    <s v="BCP"/>
    <m/>
    <m/>
    <d v="1899-12-30T11:10:34"/>
    <s v="HONOR MODULO AREQUIPA"/>
    <s v="SCOTIABANK"/>
  </r>
  <r>
    <n v="1045649"/>
    <s v="VA"/>
    <s v="A"/>
    <d v="2026-04-07T00:00:00"/>
    <d v="2026-04-07T00:00:00"/>
    <m/>
    <n v="679"/>
    <s v="PS0001"/>
    <n v="1193"/>
    <n v="469018"/>
    <m/>
    <s v="455788******3454"/>
    <s v="Nac"/>
    <s v="COM"/>
    <x v="6"/>
    <n v="189"/>
    <s v="Abonado"/>
    <n v="5.46"/>
    <n v="2.44"/>
    <n v="0.44"/>
    <n v="183.1"/>
    <n v="860.91"/>
    <d v="2026-04-08T00:00:00"/>
    <n v="20260408"/>
    <m/>
    <s v="DEBITO"/>
    <s v="52P20548"/>
    <s v="BCP"/>
    <m/>
    <m/>
    <d v="1899-12-30T21:21:21"/>
    <s v="HONOR MODULO AREQUIPA"/>
    <s v="SCOTIABANK"/>
  </r>
  <r>
    <n v="1045649"/>
    <s v="VA"/>
    <s v="A"/>
    <d v="2026-04-08T00:00:00"/>
    <d v="2026-04-08T00:00:00"/>
    <m/>
    <n v="681"/>
    <s v="PS0001"/>
    <n v="1203"/>
    <n v="35645"/>
    <m/>
    <s v="455788******3483"/>
    <s v="Nac"/>
    <s v="COM"/>
    <x v="7"/>
    <n v="129"/>
    <s v="Abonado"/>
    <n v="3.73"/>
    <n v="1.67"/>
    <n v="0.3"/>
    <n v="124.97"/>
    <n v="0"/>
    <m/>
    <n v="20260409"/>
    <m/>
    <s v="DEBITO"/>
    <s v="52P20548"/>
    <s v="BCP"/>
    <m/>
    <m/>
    <d v="1899-12-30T10:47:03"/>
    <s v="HONOR MODULO AREQUIPA"/>
    <s v="SCOTIABANK"/>
  </r>
  <r>
    <n v="1045649"/>
    <s v="VA"/>
    <s v="A"/>
    <d v="2026-04-08T00:00:00"/>
    <d v="2026-04-08T00:00:00"/>
    <m/>
    <n v="681"/>
    <s v="PS0001"/>
    <n v="1206"/>
    <n v="905366"/>
    <m/>
    <s v="455788******6649"/>
    <s v="Nac"/>
    <s v="COM"/>
    <x v="7"/>
    <n v="179"/>
    <s v="Abonado"/>
    <n v="5.17"/>
    <n v="2.31"/>
    <n v="0.42"/>
    <n v="173.41"/>
    <n v="0"/>
    <m/>
    <n v="20260409"/>
    <m/>
    <s v="DEBITO"/>
    <s v="52P20548"/>
    <s v="BCP"/>
    <m/>
    <m/>
    <d v="1899-12-30T19:52:10"/>
    <s v="HONOR MODULO AREQUIPA"/>
    <s v="SCOTIABANK"/>
  </r>
  <r>
    <n v="1045649"/>
    <s v="VA"/>
    <s v="A"/>
    <d v="2026-04-08T00:00:00"/>
    <d v="2026-04-08T00:00:00"/>
    <m/>
    <n v="681"/>
    <n v="65656565"/>
    <n v="1208"/>
    <n v="4395"/>
    <m/>
    <s v="455788******7902"/>
    <s v="Nac"/>
    <s v="COM"/>
    <x v="7"/>
    <n v="47.25"/>
    <s v="Abonado"/>
    <n v="1.36"/>
    <n v="0.6"/>
    <n v="0.11"/>
    <n v="45.78"/>
    <n v="0"/>
    <m/>
    <n v="20260409"/>
    <m/>
    <s v="DEBITO"/>
    <s v="52P20548"/>
    <s v="BCP"/>
    <m/>
    <s v="Yape"/>
    <d v="1899-12-30T20:49:43"/>
    <s v="HONOR MODULO AREQUIPA"/>
    <s v="SCOTIABANK"/>
  </r>
  <r>
    <n v="1045649"/>
    <s v="VA"/>
    <s v="A"/>
    <d v="2026-04-08T00:00:00"/>
    <d v="2026-04-07T00:00:00"/>
    <m/>
    <n v="680"/>
    <s v="PS0001"/>
    <n v="1198"/>
    <n v="1126"/>
    <n v="4"/>
    <s v="463401******6087"/>
    <s v="Nac"/>
    <s v="COM"/>
    <x v="6"/>
    <n v="1399"/>
    <s v="Abonado"/>
    <n v="40.43"/>
    <n v="11.05"/>
    <n v="1.99"/>
    <n v="1356.58"/>
    <n v="1700.74"/>
    <d v="2026-04-09T00:00:00"/>
    <n v="20260409"/>
    <s v="Pendiente del 07/04"/>
    <s v="CREDITO"/>
    <s v="52P20548"/>
    <s v="BCP"/>
    <s v="NO"/>
    <m/>
    <d v="1899-12-30T22:06:16"/>
    <s v="HONOR MODULO AREQUIPA"/>
    <s v="SCOTIABANK"/>
  </r>
  <r>
    <n v="1045649"/>
    <s v="VA"/>
    <s v="A"/>
    <d v="2026-04-09T00:00:00"/>
    <d v="2026-04-09T00:00:00"/>
    <m/>
    <n v="682"/>
    <s v="PS0001"/>
    <n v="1215"/>
    <n v="866408"/>
    <m/>
    <s v="455788******8558"/>
    <s v="Nac"/>
    <s v="COM"/>
    <x v="8"/>
    <n v="1149"/>
    <s v="Abonado"/>
    <n v="33.21"/>
    <n v="14.83"/>
    <n v="2.67"/>
    <n v="1113.1199999999999"/>
    <n v="0"/>
    <m/>
    <n v="20260410"/>
    <m/>
    <s v="DEBITO"/>
    <s v="52P20548"/>
    <s v="BCP"/>
    <m/>
    <m/>
    <d v="1899-12-30T10:42:04"/>
    <s v="HONOR MODULO AREQUIPA"/>
    <s v="SCOTIABANK"/>
  </r>
  <r>
    <n v="1045649"/>
    <s v="VA"/>
    <s v="A"/>
    <d v="2026-04-09T00:00:00"/>
    <d v="2026-04-09T00:00:00"/>
    <m/>
    <n v="682"/>
    <s v="PS0001"/>
    <n v="1217"/>
    <n v="413876"/>
    <m/>
    <s v="477289******0529"/>
    <s v="Nac"/>
    <s v="COM"/>
    <x v="8"/>
    <n v="629"/>
    <s v="Abonado"/>
    <n v="18.18"/>
    <n v="2.4500000000000002"/>
    <n v="0.44"/>
    <n v="610.38"/>
    <n v="1723.5"/>
    <d v="2026-04-10T00:00:00"/>
    <n v="20260410"/>
    <m/>
    <s v="CREDITO"/>
    <s v="52P20548"/>
    <s v="IBK PRIVADA"/>
    <m/>
    <m/>
    <d v="1899-12-30T16:41:30"/>
    <s v="HONOR MODULO AREQUIPA"/>
    <s v="SCOTIABANK"/>
  </r>
  <r>
    <n v="1045649"/>
    <s v="VA"/>
    <s v="A"/>
    <d v="2026-04-11T00:00:00"/>
    <d v="2026-04-11T00:00:00"/>
    <m/>
    <n v="683"/>
    <s v="PS0001"/>
    <n v="1223"/>
    <n v="185767"/>
    <m/>
    <s v="477290******5918"/>
    <s v="Nac"/>
    <s v="COM"/>
    <x v="9"/>
    <n v="688"/>
    <s v="Abonado"/>
    <n v="19.88"/>
    <n v="5.43"/>
    <n v="0.98"/>
    <n v="667.14"/>
    <n v="0"/>
    <m/>
    <n v="20260413"/>
    <m/>
    <s v="CREDITO"/>
    <s v="52P20548"/>
    <s v="IBK PRIVADA"/>
    <m/>
    <m/>
    <d v="1899-12-30T11:18:49"/>
    <s v="HONOR MODULO AREQUIPA"/>
    <s v="SCOTIABANK"/>
  </r>
  <r>
    <n v="1045649"/>
    <s v="VA"/>
    <s v="A"/>
    <d v="2026-04-11T00:00:00"/>
    <d v="2026-04-11T00:00:00"/>
    <m/>
    <n v="683"/>
    <n v="65656565"/>
    <n v="1225"/>
    <n v="565779"/>
    <m/>
    <s v="421355******9795"/>
    <s v="Nac"/>
    <s v="COM"/>
    <x v="9"/>
    <n v="450"/>
    <s v="Abonado"/>
    <n v="13"/>
    <n v="5.8"/>
    <n v="1.04"/>
    <n v="435.96"/>
    <n v="0"/>
    <m/>
    <n v="20260413"/>
    <m/>
    <s v="DEBITO"/>
    <s v="52P20548"/>
    <s v="IBK PRIVADA"/>
    <m/>
    <s v="IBK Plin"/>
    <d v="1899-12-30T12:47:09"/>
    <s v="HONOR MODULO AREQUIPA"/>
    <s v="SCOTIABANK"/>
  </r>
  <r>
    <n v="1045649"/>
    <s v="VA"/>
    <s v="A"/>
    <d v="2026-04-11T00:00:00"/>
    <d v="2026-04-11T00:00:00"/>
    <m/>
    <n v="683"/>
    <s v="PS0001"/>
    <n v="1228"/>
    <n v="204493"/>
    <m/>
    <s v="426153******4769"/>
    <s v="Nac"/>
    <s v="COM"/>
    <x v="9"/>
    <n v="1099"/>
    <s v="Abonado"/>
    <n v="31.76"/>
    <n v="14.18"/>
    <n v="2.5499999999999998"/>
    <n v="1064.69"/>
    <n v="0"/>
    <m/>
    <n v="20260413"/>
    <m/>
    <s v="DEBITO"/>
    <s v="52P20548"/>
    <s v="CAJA AREQUIP"/>
    <m/>
    <m/>
    <d v="1899-12-30T19:10:17"/>
    <s v="HONOR MODULO AREQUIPA"/>
    <s v="SCOTIABANK"/>
  </r>
  <r>
    <n v="1045649"/>
    <s v="VA"/>
    <s v="A"/>
    <d v="2026-04-11T00:00:00"/>
    <d v="2026-04-11T00:00:00"/>
    <m/>
    <n v="683"/>
    <s v="PS0001"/>
    <n v="1231"/>
    <n v="478473"/>
    <m/>
    <s v="455788******9306"/>
    <s v="Nac"/>
    <s v="COM"/>
    <x v="9"/>
    <n v="298"/>
    <s v="Abonado"/>
    <n v="8.61"/>
    <n v="3.84"/>
    <n v="0.69"/>
    <n v="288.7"/>
    <n v="0"/>
    <m/>
    <n v="20260413"/>
    <m/>
    <s v="DEBITO"/>
    <s v="52P20548"/>
    <s v="BCP"/>
    <m/>
    <m/>
    <d v="1899-12-30T20:46:24"/>
    <s v="HONOR MODULO AREQUIPA"/>
    <s v="SCOTIABANK"/>
  </r>
  <r>
    <n v="1045649"/>
    <s v="VA"/>
    <s v="A"/>
    <d v="2026-04-11T00:00:00"/>
    <d v="2026-04-11T00:00:00"/>
    <m/>
    <n v="684"/>
    <s v="PS0001"/>
    <n v="1239"/>
    <n v="9477"/>
    <n v="5"/>
    <s v="434925******1803"/>
    <s v="Nac"/>
    <s v="COM"/>
    <x v="10"/>
    <n v="629"/>
    <s v="Abonado"/>
    <n v="18.18"/>
    <n v="4.97"/>
    <n v="0.89"/>
    <n v="609.92999999999995"/>
    <n v="0"/>
    <m/>
    <n v="20260413"/>
    <m/>
    <s v="CREDITO"/>
    <s v="52P20548"/>
    <s v="BCP"/>
    <s v="NO"/>
    <m/>
    <d v="1899-12-30T10:58:20"/>
    <s v="HONOR MODULO AREQUIPA"/>
    <s v="SCOTIABANK"/>
  </r>
  <r>
    <n v="1045649"/>
    <s v="VA"/>
    <s v="A"/>
    <d v="2026-04-11T00:00:00"/>
    <d v="2026-04-11T00:00:00"/>
    <m/>
    <n v="684"/>
    <n v="65656565"/>
    <n v="1245"/>
    <n v="481752"/>
    <m/>
    <s v="455788******3467"/>
    <s v="Nac"/>
    <s v="COM"/>
    <x v="10"/>
    <n v="139.9"/>
    <s v="Abonado"/>
    <n v="4.04"/>
    <n v="1.8"/>
    <n v="0.32"/>
    <n v="135.54"/>
    <n v="0"/>
    <m/>
    <n v="20260413"/>
    <m/>
    <s v="DEBITO"/>
    <s v="52P20548"/>
    <s v="BCP"/>
    <m/>
    <s v="Yape"/>
    <d v="1899-12-30T17:01:46"/>
    <s v="HONOR MODULO AREQUIPA"/>
    <s v="SCOTIABANK"/>
  </r>
  <r>
    <n v="1045649"/>
    <s v="VA"/>
    <s v="A"/>
    <d v="2026-04-11T00:00:00"/>
    <d v="2026-04-11T00:00:00"/>
    <m/>
    <n v="684"/>
    <s v="PS0001"/>
    <n v="1251"/>
    <n v="572329"/>
    <m/>
    <s v="455788******1535"/>
    <s v="Nac"/>
    <s v="COM"/>
    <x v="10"/>
    <n v="173"/>
    <s v="Abonado"/>
    <n v="5"/>
    <n v="2.23"/>
    <n v="0.4"/>
    <n v="167.6"/>
    <n v="0"/>
    <m/>
    <n v="20260413"/>
    <m/>
    <s v="DEBITO"/>
    <s v="52P20548"/>
    <s v="BCP"/>
    <m/>
    <m/>
    <d v="1899-12-30T18:45:13"/>
    <s v="HONOR MODULO AREQUIPA"/>
    <s v="SCOTIABANK"/>
  </r>
  <r>
    <n v="1045649"/>
    <s v="VA"/>
    <s v="A"/>
    <d v="2026-04-11T00:00:00"/>
    <d v="2026-04-11T00:00:00"/>
    <m/>
    <n v="684"/>
    <s v="PS0001"/>
    <n v="1254"/>
    <n v="184828"/>
    <m/>
    <s v="483039******0986"/>
    <s v="Nac"/>
    <s v="COM"/>
    <x v="10"/>
    <n v="976"/>
    <s v="Abonado"/>
    <n v="28.21"/>
    <n v="7.71"/>
    <n v="1.39"/>
    <n v="946.4"/>
    <n v="0"/>
    <m/>
    <n v="20260413"/>
    <m/>
    <s v="DEBITO"/>
    <s v="52P20548"/>
    <s v="IBK PRIVADA"/>
    <m/>
    <m/>
    <d v="1899-12-30T18:47:26"/>
    <s v="HONOR MODULO AREQUIPA"/>
    <s v="SCOTIABANK"/>
  </r>
  <r>
    <n v="1045649"/>
    <s v="VA"/>
    <s v="A"/>
    <d v="2026-04-11T00:00:00"/>
    <d v="2026-04-11T00:00:00"/>
    <m/>
    <n v="684"/>
    <s v="PS0001"/>
    <n v="1256"/>
    <n v="62468"/>
    <m/>
    <s v="455788******1512"/>
    <s v="Nac"/>
    <s v="COM"/>
    <x v="10"/>
    <n v="1399"/>
    <s v="Abonado"/>
    <n v="40.43"/>
    <n v="18.05"/>
    <n v="3.25"/>
    <n v="1355.32"/>
    <n v="5671.28"/>
    <d v="2026-04-13T00:00:00"/>
    <n v="20260413"/>
    <m/>
    <s v="DEBITO"/>
    <s v="52P20548"/>
    <s v="BCP"/>
    <m/>
    <m/>
    <d v="1899-12-30T19:10:11"/>
    <s v="HONOR MODULO AREQUIPA"/>
    <s v="SCOTIABANK"/>
  </r>
  <r>
    <n v="1045649"/>
    <s v="VA"/>
    <s v="A"/>
    <d v="2026-04-12T00:00:00"/>
    <d v="2026-04-12T00:00:00"/>
    <m/>
    <n v="685"/>
    <s v="PS0001"/>
    <n v="1266"/>
    <n v="794518"/>
    <m/>
    <s v="455170******5584"/>
    <s v="Nac"/>
    <s v="COM"/>
    <x v="11"/>
    <n v="1799"/>
    <s v="Abonado"/>
    <n v="51.99"/>
    <n v="23.21"/>
    <n v="4.18"/>
    <n v="1742.83"/>
    <n v="0"/>
    <m/>
    <n v="20260413"/>
    <m/>
    <s v="DEBITO"/>
    <s v="52P20548"/>
    <s v="BBVA"/>
    <m/>
    <m/>
    <d v="1899-12-30T11:23:46"/>
    <s v="HONOR MODULO AREQUIPA"/>
    <s v="SCOTIABANK"/>
  </r>
  <r>
    <n v="1045649"/>
    <s v="VA"/>
    <s v="A"/>
    <d v="2026-04-12T00:00:00"/>
    <d v="2026-04-12T00:00:00"/>
    <m/>
    <n v="685"/>
    <s v="PS0001"/>
    <n v="1268"/>
    <n v="819301"/>
    <m/>
    <s v="455103******5471"/>
    <s v="Nac"/>
    <s v="COM"/>
    <x v="11"/>
    <n v="1799"/>
    <s v="Abonado"/>
    <n v="51.99"/>
    <n v="23.21"/>
    <n v="4.18"/>
    <n v="1742.83"/>
    <n v="0"/>
    <m/>
    <n v="20260413"/>
    <m/>
    <s v="DEBITO"/>
    <s v="52P20548"/>
    <s v="BBVA"/>
    <m/>
    <m/>
    <d v="1899-12-30T11:31:32"/>
    <s v="HONOR MODULO AREQUIPA"/>
    <s v="SCOTIABANK"/>
  </r>
  <r>
    <n v="1045649"/>
    <s v="VA"/>
    <s v="A"/>
    <d v="2026-04-12T00:00:00"/>
    <d v="2026-04-12T00:00:00"/>
    <m/>
    <n v="685"/>
    <s v="PS0001"/>
    <n v="1270"/>
    <n v="986614"/>
    <m/>
    <s v="438466******5861"/>
    <s v="Nac"/>
    <s v="COM"/>
    <x v="11"/>
    <n v="1008"/>
    <s v="Abonado"/>
    <n v="29.13"/>
    <n v="5.95"/>
    <n v="1.07"/>
    <n v="977.8"/>
    <n v="0"/>
    <m/>
    <n v="20260413"/>
    <m/>
    <s v="CREDITO"/>
    <s v="52P20548"/>
    <s v="VISA LOC"/>
    <m/>
    <m/>
    <d v="1899-12-30T12:22:02"/>
    <s v="HONOR MODULO AREQUIPA"/>
    <s v="SCOTIABANK"/>
  </r>
  <r>
    <n v="1045649"/>
    <s v="VA"/>
    <s v="A"/>
    <d v="2026-04-12T00:00:00"/>
    <d v="2026-04-12T00:00:00"/>
    <m/>
    <n v="685"/>
    <s v="PS0001"/>
    <n v="1272"/>
    <n v="6266"/>
    <n v="10"/>
    <s v="447410******5554"/>
    <s v="Nac"/>
    <s v="COM"/>
    <x v="11"/>
    <n v="1248"/>
    <s v="Abonado"/>
    <n v="36.07"/>
    <n v="7.37"/>
    <n v="1.33"/>
    <n v="1210.5999999999999"/>
    <n v="0"/>
    <m/>
    <n v="20260413"/>
    <m/>
    <s v="CREDITO"/>
    <s v="52P20548"/>
    <s v="BFALABELLA"/>
    <s v="NO"/>
    <m/>
    <d v="1899-12-30T16:32:00"/>
    <s v="HONOR MODULO AREQUIPA"/>
    <s v="SCOTIABANK"/>
  </r>
  <r>
    <n v="1045649"/>
    <s v="VA"/>
    <s v="A"/>
    <d v="2026-04-12T00:00:00"/>
    <d v="2026-04-12T00:00:00"/>
    <m/>
    <n v="685"/>
    <s v="PS0001"/>
    <n v="1274"/>
    <n v="934393"/>
    <m/>
    <s v="455788******8607"/>
    <s v="Nac"/>
    <s v="COM"/>
    <x v="11"/>
    <n v="499"/>
    <s v="Abonado"/>
    <n v="14.42"/>
    <n v="6.44"/>
    <n v="1.1599999999999999"/>
    <n v="483.42"/>
    <n v="6157.48"/>
    <d v="2026-04-13T00:00:00"/>
    <n v="20260413"/>
    <m/>
    <s v="DEBITO"/>
    <s v="52P20548"/>
    <s v="BCP"/>
    <m/>
    <m/>
    <d v="1899-12-30T17:05:51"/>
    <s v="HONOR MODULO AREQUIPA"/>
    <s v="SCOTIABANK"/>
  </r>
  <r>
    <n v="1045649"/>
    <s v="VA"/>
    <s v="A"/>
    <d v="2026-04-13T00:00:00"/>
    <d v="2026-04-13T00:00:00"/>
    <m/>
    <n v="686"/>
    <s v="PS0001"/>
    <n v="1279"/>
    <n v="162385"/>
    <m/>
    <s v="447409******2698"/>
    <s v="Nac"/>
    <s v="COM"/>
    <x v="12"/>
    <n v="1799"/>
    <s v="Abonado"/>
    <n v="51.99"/>
    <n v="14.21"/>
    <n v="2.56"/>
    <n v="1744.45"/>
    <n v="0"/>
    <m/>
    <n v="20260414"/>
    <m/>
    <s v="CREDITO"/>
    <s v="52P20548"/>
    <s v="BFALABELLA"/>
    <m/>
    <m/>
    <d v="1899-12-30T10:20:11"/>
    <s v="HONOR MODULO AREQUIPA"/>
    <s v="SCOTIABANK"/>
  </r>
  <r>
    <n v="1045649"/>
    <s v="VA"/>
    <s v="A"/>
    <d v="2026-04-13T00:00:00"/>
    <d v="2026-04-13T00:00:00"/>
    <m/>
    <n v="686"/>
    <s v="PS0001"/>
    <n v="1281"/>
    <n v="756256"/>
    <m/>
    <s v="455788******4290"/>
    <s v="Nac"/>
    <s v="COM"/>
    <x v="12"/>
    <n v="1999"/>
    <s v="Abonado"/>
    <n v="57.77"/>
    <n v="25.79"/>
    <n v="4.6399999999999997"/>
    <n v="1936.59"/>
    <n v="0"/>
    <m/>
    <n v="20260414"/>
    <m/>
    <s v="DEBITO"/>
    <s v="52P20548"/>
    <s v="BCP"/>
    <m/>
    <m/>
    <d v="1899-12-30T10:39:55"/>
    <s v="HONOR MODULO AREQUIPA"/>
    <s v="SCOTIABANK"/>
  </r>
  <r>
    <n v="1045649"/>
    <s v="VA"/>
    <s v="A"/>
    <d v="2026-04-13T00:00:00"/>
    <d v="2026-04-13T00:00:00"/>
    <m/>
    <n v="686"/>
    <s v="PS0001"/>
    <n v="1284"/>
    <n v="700229"/>
    <m/>
    <s v="428597******3525"/>
    <s v="Nac"/>
    <s v="COM"/>
    <x v="12"/>
    <n v="688"/>
    <s v="Abonado"/>
    <n v="19.88"/>
    <n v="5.43"/>
    <n v="0.98"/>
    <n v="667.14"/>
    <n v="0"/>
    <m/>
    <n v="20260414"/>
    <m/>
    <s v="DEBITO"/>
    <s v="52P20548"/>
    <s v="BBVA"/>
    <m/>
    <m/>
    <d v="1899-12-30T17:13:09"/>
    <s v="HONOR MODULO AREQUIPA"/>
    <s v="SCOTIABANK"/>
  </r>
  <r>
    <n v="1045649"/>
    <s v="VA"/>
    <s v="A"/>
    <d v="2026-04-13T00:00:00"/>
    <d v="2026-04-13T00:00:00"/>
    <m/>
    <n v="686"/>
    <s v="PS0001"/>
    <n v="1288"/>
    <n v="276635"/>
    <m/>
    <s v="455170******9810"/>
    <s v="Nac"/>
    <s v="COM"/>
    <x v="12"/>
    <n v="1000"/>
    <s v="Abonado"/>
    <n v="28.9"/>
    <n v="12.9"/>
    <n v="2.3199999999999998"/>
    <n v="968.78"/>
    <n v="0"/>
    <m/>
    <n v="20260414"/>
    <m/>
    <s v="DEBITO"/>
    <s v="52P20548"/>
    <s v="BBVA"/>
    <m/>
    <m/>
    <d v="1899-12-30T19:44:51"/>
    <s v="HONOR MODULO AREQUIPA"/>
    <s v="SCOTIABANK"/>
  </r>
  <r>
    <n v="1045649"/>
    <s v="VA"/>
    <s v="A"/>
    <d v="2026-04-13T00:00:00"/>
    <d v="2026-04-13T00:00:00"/>
    <m/>
    <n v="686"/>
    <s v="PS0001"/>
    <n v="1290"/>
    <n v="194622"/>
    <m/>
    <s v="483039******8189"/>
    <s v="Nac"/>
    <s v="COM"/>
    <x v="12"/>
    <n v="799"/>
    <s v="Abonado"/>
    <n v="23.09"/>
    <n v="6.31"/>
    <n v="1.1399999999999999"/>
    <n v="774.77"/>
    <n v="0"/>
    <m/>
    <n v="20260414"/>
    <m/>
    <s v="DEBITO"/>
    <s v="52P20548"/>
    <s v="IBK PRIVADA"/>
    <m/>
    <m/>
    <d v="1899-12-30T19:45:20"/>
    <s v="HONOR MODULO AREQUIPA"/>
    <s v="SCOTIABANK"/>
  </r>
  <r>
    <n v="1045649"/>
    <s v="VA"/>
    <s v="A"/>
    <d v="2026-04-13T00:00:00"/>
    <d v="2026-04-13T00:00:00"/>
    <m/>
    <n v="686"/>
    <s v="PS0001"/>
    <n v="1292"/>
    <n v="280803"/>
    <m/>
    <s v="455170******9810"/>
    <s v="Nac"/>
    <s v="COM"/>
    <x v="12"/>
    <n v="89"/>
    <s v="Abonado"/>
    <n v="2.57"/>
    <n v="1.1499999999999999"/>
    <n v="0.21"/>
    <n v="86.22"/>
    <n v="6177.95"/>
    <d v="2026-04-14T00:00:00"/>
    <n v="20260414"/>
    <m/>
    <s v="DEBITO"/>
    <s v="52P20548"/>
    <s v="BBVA"/>
    <m/>
    <m/>
    <d v="1899-12-30T19:45:58"/>
    <s v="HONOR MODULO AREQUIPA"/>
    <s v="SCOTIABANK"/>
  </r>
  <r>
    <n v="1045649"/>
    <s v="VA"/>
    <s v="A"/>
    <d v="2026-04-14T00:00:00"/>
    <d v="2026-04-14T00:00:00"/>
    <m/>
    <n v="687"/>
    <s v="PS0001"/>
    <n v="1298"/>
    <n v="645709"/>
    <n v="2"/>
    <s v="414075******5948"/>
    <s v="Nac"/>
    <s v="COM"/>
    <x v="13"/>
    <n v="299"/>
    <s v="Abonado"/>
    <n v="13.87"/>
    <n v="1.1599999999999999"/>
    <n v="0.21"/>
    <n v="284.92"/>
    <n v="0"/>
    <m/>
    <n v="20260415"/>
    <m/>
    <s v="CREDITO"/>
    <s v="52P20548"/>
    <s v="BBVA"/>
    <s v="SI"/>
    <m/>
    <d v="1899-12-30T11:33:58"/>
    <s v="HONOR MODULO AREQUIPA"/>
    <s v="SCOTIABANK"/>
  </r>
  <r>
    <n v="1045649"/>
    <s v="VA"/>
    <s v="A"/>
    <d v="2026-04-14T00:00:00"/>
    <d v="2026-04-14T00:00:00"/>
    <m/>
    <n v="687"/>
    <s v="PS0001"/>
    <n v="1300"/>
    <n v="423197"/>
    <m/>
    <s v="455788******4356"/>
    <s v="Nac"/>
    <s v="COM"/>
    <x v="13"/>
    <n v="1699"/>
    <s v="Abonado"/>
    <n v="49.1"/>
    <n v="21.92"/>
    <n v="3.95"/>
    <n v="1645.95"/>
    <n v="0"/>
    <m/>
    <n v="20260415"/>
    <m/>
    <s v="DEBITO"/>
    <s v="52P20548"/>
    <s v="BCP"/>
    <m/>
    <m/>
    <d v="1899-12-30T12:01:02"/>
    <s v="HONOR MODULO AREQUIPA"/>
    <s v="SCOTIABANK"/>
  </r>
  <r>
    <n v="1045649"/>
    <s v="VA"/>
    <s v="A"/>
    <d v="2026-04-14T00:00:00"/>
    <d v="2026-04-14T00:00:00"/>
    <m/>
    <n v="687"/>
    <n v="65656565"/>
    <n v="1302"/>
    <n v="554387"/>
    <m/>
    <s v="455788******2508"/>
    <s v="Nac"/>
    <s v="COM"/>
    <x v="13"/>
    <n v="89"/>
    <s v="Abonado"/>
    <n v="2.57"/>
    <n v="1.1499999999999999"/>
    <n v="0.21"/>
    <n v="86.22"/>
    <n v="0"/>
    <m/>
    <n v="20260415"/>
    <m/>
    <s v="DEBITO"/>
    <s v="52P20548"/>
    <s v="BCP"/>
    <m/>
    <s v="Yape"/>
    <d v="1899-12-30T13:15:55"/>
    <s v="HONOR MODULO AREQUIPA"/>
    <s v="SCOTIABANK"/>
  </r>
  <r>
    <n v="1045649"/>
    <s v="VA"/>
    <s v="A"/>
    <d v="2026-04-14T00:00:00"/>
    <d v="2026-04-14T00:00:00"/>
    <m/>
    <n v="687"/>
    <s v="PS0001"/>
    <n v="1305"/>
    <n v="3750"/>
    <m/>
    <s v="463402******1821"/>
    <s v="Nac"/>
    <s v="COM"/>
    <x v="13"/>
    <n v="688"/>
    <s v="Abonado"/>
    <n v="19.88"/>
    <n v="5.43"/>
    <n v="0.98"/>
    <n v="667.14"/>
    <n v="2684.23"/>
    <d v="2026-04-15T00:00:00"/>
    <n v="20260415"/>
    <m/>
    <s v="CREDITO"/>
    <s v="52P20548"/>
    <s v="BCP"/>
    <m/>
    <m/>
    <d v="1899-12-30T19:26:56"/>
    <s v="HONOR MODULO AREQUIPA"/>
    <s v="SCOTIABANK"/>
  </r>
  <r>
    <n v="1045649"/>
    <s v="VA"/>
    <s v="A"/>
    <d v="2026-04-15T00:00:00"/>
    <d v="2026-04-15T00:00:00"/>
    <m/>
    <n v="688"/>
    <s v="PS0001"/>
    <n v="1310"/>
    <n v="605630"/>
    <m/>
    <s v="455788******3679"/>
    <s v="Nac"/>
    <s v="COM"/>
    <x v="14"/>
    <n v="1799"/>
    <s v="Abonado"/>
    <n v="51.99"/>
    <n v="23.21"/>
    <n v="4.18"/>
    <n v="1742.83"/>
    <n v="0"/>
    <m/>
    <n v="20260416"/>
    <m/>
    <s v="DEBITO"/>
    <s v="52P20548"/>
    <s v="BCP"/>
    <m/>
    <m/>
    <d v="1899-12-30T12:12:30"/>
    <s v="HONOR MODULO AREQUIPA"/>
    <s v="SCOTIABANK"/>
  </r>
  <r>
    <n v="1045649"/>
    <s v="VA"/>
    <s v="A"/>
    <d v="2026-04-15T00:00:00"/>
    <d v="2026-04-15T00:00:00"/>
    <m/>
    <n v="688"/>
    <n v="65656565"/>
    <n v="1312"/>
    <n v="837823"/>
    <m/>
    <s v="455788******2559"/>
    <s v="Nac"/>
    <s v="COM"/>
    <x v="14"/>
    <n v="179.9"/>
    <s v="Abonado"/>
    <n v="5.19"/>
    <n v="2.31"/>
    <n v="0.42"/>
    <n v="174.29"/>
    <n v="0"/>
    <m/>
    <n v="20260416"/>
    <m/>
    <s v="DEBITO"/>
    <s v="52P20548"/>
    <s v="BCP"/>
    <m/>
    <s v="Yape"/>
    <d v="1899-12-30T19:38:18"/>
    <s v="HONOR MODULO AREQUIPA"/>
    <s v="SCOTIABANK"/>
  </r>
  <r>
    <n v="1045649"/>
    <s v="VA"/>
    <s v="A"/>
    <d v="2026-04-15T00:00:00"/>
    <d v="2026-04-15T00:00:00"/>
    <m/>
    <n v="688"/>
    <s v="PS0001"/>
    <n v="1315"/>
    <n v="8930"/>
    <m/>
    <s v="455788******9843"/>
    <s v="Nac"/>
    <s v="COM"/>
    <x v="14"/>
    <n v="69"/>
    <s v="Abonado"/>
    <n v="1.99"/>
    <n v="0.89"/>
    <n v="0.16"/>
    <n v="66.849999999999994"/>
    <n v="1983.97"/>
    <d v="2026-04-16T00:00:00"/>
    <n v="20260416"/>
    <m/>
    <s v="DEBITO"/>
    <s v="52P20548"/>
    <s v="BCP"/>
    <m/>
    <m/>
    <d v="1899-12-30T21:20:13"/>
    <s v="HONOR MODULO AREQUIPA"/>
    <s v="SCOTIABANK"/>
  </r>
  <r>
    <n v="1045649"/>
    <s v="VA"/>
    <s v="A"/>
    <d v="2026-04-16T00:00:00"/>
    <d v="2026-04-16T00:00:00"/>
    <m/>
    <n v="689"/>
    <s v="PS0001"/>
    <n v="1320"/>
    <n v="117039"/>
    <m/>
    <s v="455170******8481"/>
    <s v="Nac"/>
    <s v="COM"/>
    <x v="15"/>
    <n v="69"/>
    <s v="Abonado"/>
    <n v="1.99"/>
    <n v="0.89"/>
    <n v="0.16"/>
    <n v="66.849999999999994"/>
    <n v="0"/>
    <m/>
    <n v="20260417"/>
    <m/>
    <s v="DEBITO"/>
    <s v="52P20548"/>
    <s v="BBVA"/>
    <m/>
    <m/>
    <d v="1899-12-30T10:45:13"/>
    <s v="HONOR MODULO AREQUIPA"/>
    <s v="SCOTIABANK"/>
  </r>
  <r>
    <n v="1045649"/>
    <s v="VA"/>
    <s v="A"/>
    <d v="2026-04-16T00:00:00"/>
    <d v="2026-04-16T00:00:00"/>
    <m/>
    <n v="689"/>
    <s v="PS0001"/>
    <n v="1322"/>
    <n v="110752"/>
    <m/>
    <s v="455788******9452"/>
    <s v="Nac"/>
    <s v="COM"/>
    <x v="15"/>
    <n v="1699"/>
    <s v="Abonado"/>
    <n v="49.1"/>
    <n v="21.92"/>
    <n v="3.95"/>
    <n v="1645.95"/>
    <n v="0"/>
    <m/>
    <n v="20260417"/>
    <m/>
    <s v="DEBITO"/>
    <s v="52P20548"/>
    <s v="BCP"/>
    <m/>
    <m/>
    <d v="1899-12-30T14:56:22"/>
    <s v="HONOR MODULO AREQUIPA"/>
    <s v="SCOTIABANK"/>
  </r>
  <r>
    <n v="1045649"/>
    <s v="VA"/>
    <s v="A"/>
    <d v="2026-04-16T00:00:00"/>
    <d v="2026-04-16T00:00:00"/>
    <m/>
    <n v="689"/>
    <s v="PS0001"/>
    <n v="1324"/>
    <n v="32947"/>
    <m/>
    <s v="422224******4192"/>
    <s v="Nac"/>
    <s v="COM"/>
    <x v="15"/>
    <n v="89"/>
    <s v="Abonado"/>
    <n v="2.57"/>
    <n v="0.52"/>
    <n v="0.09"/>
    <n v="86.34"/>
    <n v="0"/>
    <m/>
    <n v="20260417"/>
    <m/>
    <s v="CREDITO"/>
    <s v="52P20548"/>
    <s v="IBK PRIVADA"/>
    <m/>
    <m/>
    <d v="1899-12-30T15:03:21"/>
    <s v="HONOR MODULO AREQUIPA"/>
    <s v="SCOTIABANK"/>
  </r>
  <r>
    <n v="1045649"/>
    <s v="VA"/>
    <s v="A"/>
    <d v="2026-04-16T00:00:00"/>
    <d v="2026-04-16T00:00:00"/>
    <m/>
    <n v="689"/>
    <s v="PS0001"/>
    <n v="1327"/>
    <n v="394256"/>
    <n v="3"/>
    <s v="491909******4880"/>
    <s v="Nac"/>
    <s v="COM"/>
    <x v="15"/>
    <n v="1699"/>
    <s v="Abonado"/>
    <n v="78.83"/>
    <n v="13.42"/>
    <n v="2.42"/>
    <n v="1617.75"/>
    <n v="0"/>
    <m/>
    <n v="20260417"/>
    <m/>
    <s v="CREDITO"/>
    <s v="52P20548"/>
    <s v="BBVA"/>
    <s v="SI"/>
    <m/>
    <d v="1899-12-30T17:04:46"/>
    <s v="HONOR MODULO AREQUIPA"/>
    <s v="SCOTIABANK"/>
  </r>
  <r>
    <n v="1045649"/>
    <s v="VA"/>
    <s v="A"/>
    <d v="2026-04-16T00:00:00"/>
    <d v="2026-04-16T00:00:00"/>
    <m/>
    <n v="689"/>
    <s v="PS0001"/>
    <n v="1330"/>
    <n v="899666"/>
    <m/>
    <s v="455788******7070"/>
    <s v="Nac"/>
    <s v="COM"/>
    <x v="15"/>
    <n v="149"/>
    <s v="Abonado"/>
    <n v="4.3099999999999996"/>
    <n v="1.93"/>
    <n v="0.35"/>
    <n v="144.34"/>
    <n v="3561.23"/>
    <d v="2026-04-17T00:00:00"/>
    <n v="20260417"/>
    <m/>
    <s v="DEBITO"/>
    <s v="52P20548"/>
    <s v="BCP"/>
    <m/>
    <m/>
    <d v="1899-12-30T17:44:57"/>
    <s v="HONOR MODULO AREQUIPA"/>
    <s v="SCOTIABANK"/>
  </r>
  <r>
    <n v="1045649"/>
    <s v="MC"/>
    <s v="A"/>
    <d v="2026-04-18T00:00:00"/>
    <d v="2026-04-18T00:00:00"/>
    <m/>
    <n v="690"/>
    <s v="PS0001"/>
    <n v="1346"/>
    <n v="117800"/>
    <m/>
    <s v="511842******9615"/>
    <s v="Nac"/>
    <s v="COM"/>
    <x v="16"/>
    <n v="189"/>
    <s v="Abonado"/>
    <n v="5.46"/>
    <n v="2.15"/>
    <n v="0.39"/>
    <n v="183.15"/>
    <n v="183.15"/>
    <d v="2026-04-20T00:00:00"/>
    <n v="20260420"/>
    <m/>
    <s v="DEBITO"/>
    <s v="52P20548"/>
    <s v="SCOTIA DEBIT"/>
    <m/>
    <m/>
    <d v="1899-12-30T18:28:14"/>
    <s v="HONOR MODULO AREQUIPA"/>
    <s v="SCOTIABANK"/>
  </r>
  <r>
    <n v="1045649"/>
    <s v="VA"/>
    <s v="A"/>
    <d v="2026-04-18T00:00:00"/>
    <d v="2026-04-18T00:00:00"/>
    <m/>
    <n v="690"/>
    <s v="PS0001"/>
    <n v="1337"/>
    <n v="8338"/>
    <m/>
    <s v="445330******6823"/>
    <s v="Nac"/>
    <s v="COM"/>
    <x v="16"/>
    <n v="459"/>
    <s v="Abonado"/>
    <n v="13.27"/>
    <n v="2.71"/>
    <n v="0.49"/>
    <n v="445.24"/>
    <n v="0"/>
    <m/>
    <n v="20260420"/>
    <m/>
    <s v="CREDITO"/>
    <s v="52P20548"/>
    <s v="BCP"/>
    <m/>
    <m/>
    <d v="1899-12-30T11:07:56"/>
    <s v="HONOR MODULO AREQUIPA"/>
    <s v="SCOTIABANK"/>
  </r>
  <r>
    <n v="1045649"/>
    <s v="VA"/>
    <s v="A"/>
    <d v="2026-04-18T00:00:00"/>
    <d v="2026-04-18T00:00:00"/>
    <m/>
    <n v="690"/>
    <s v="PS0001"/>
    <n v="1341"/>
    <n v="44001"/>
    <m/>
    <s v="411539******6084"/>
    <s v="Nac"/>
    <s v="COM"/>
    <x v="16"/>
    <n v="1248"/>
    <s v="Abonado"/>
    <n v="36.07"/>
    <n v="16.100000000000001"/>
    <n v="2.9"/>
    <n v="1209.03"/>
    <n v="0"/>
    <m/>
    <n v="20260420"/>
    <m/>
    <s v="DEBITO"/>
    <s v="52P20548"/>
    <s v="VISA LOC"/>
    <m/>
    <m/>
    <d v="1899-12-30T16:13:47"/>
    <s v="HONOR MODULO AREQUIPA"/>
    <s v="SCOTIABANK"/>
  </r>
  <r>
    <n v="1045649"/>
    <s v="VA"/>
    <s v="A"/>
    <d v="2026-04-18T00:00:00"/>
    <d v="2026-04-18T00:00:00"/>
    <m/>
    <n v="690"/>
    <s v="PS0001"/>
    <n v="1343"/>
    <n v="1928"/>
    <m/>
    <s v="463402******9387"/>
    <s v="Nac"/>
    <s v="COM"/>
    <x v="16"/>
    <n v="1999"/>
    <s v="Abonado"/>
    <n v="57.77"/>
    <n v="15.79"/>
    <n v="2.84"/>
    <n v="1938.39"/>
    <n v="3592.66"/>
    <d v="2026-04-20T00:00:00"/>
    <n v="20260420"/>
    <m/>
    <s v="CREDITO"/>
    <s v="52P20548"/>
    <s v="BCP"/>
    <m/>
    <m/>
    <d v="1899-12-30T16:27:35"/>
    <s v="HONOR MODULO AREQUIPA"/>
    <s v="SCOTIABANK"/>
  </r>
  <r>
    <n v="1045649"/>
    <s v="VH"/>
    <s v="A"/>
    <d v="2026-04-18T00:00:00"/>
    <d v="2026-04-18T00:00:00"/>
    <m/>
    <n v="690"/>
    <s v="PS0001"/>
    <n v="1339"/>
    <s v="87C6D6"/>
    <m/>
    <s v="457339******8459"/>
    <s v="Nac"/>
    <s v="COM"/>
    <x v="16"/>
    <n v="629"/>
    <s v="Abonado"/>
    <n v="18.18"/>
    <n v="8.1199999999999992"/>
    <n v="1.46"/>
    <n v="609.36"/>
    <n v="609.36"/>
    <d v="2026-04-20T00:00:00"/>
    <n v="20260420"/>
    <m/>
    <s v="DEBITO"/>
    <s v="52P20548"/>
    <s v="SIP MC"/>
    <m/>
    <m/>
    <d v="1899-12-30T14:12:39"/>
    <s v="HONOR MODULO AREQUIPA"/>
    <s v="SCOTIABANK"/>
  </r>
  <r>
    <n v="1045649"/>
    <s v="VA"/>
    <s v="A"/>
    <d v="2026-04-19T00:00:00"/>
    <d v="2026-04-19T00:00:00"/>
    <m/>
    <n v="691"/>
    <s v="PS0001"/>
    <n v="1355"/>
    <n v="191198"/>
    <m/>
    <s v="455788******5296"/>
    <s v="Nac"/>
    <s v="COM"/>
    <x v="17"/>
    <n v="179.9"/>
    <s v="Abonado"/>
    <n v="5.2"/>
    <n v="2.3199999999999998"/>
    <n v="0.42"/>
    <n v="174.28"/>
    <n v="0"/>
    <m/>
    <n v="20260420"/>
    <m/>
    <s v="DEBITO"/>
    <s v="52P20548"/>
    <s v="BCP"/>
    <m/>
    <m/>
    <d v="1899-12-30T10:59:09"/>
    <s v="HONOR MODULO AREQUIPA"/>
    <s v="SCOTIABANK"/>
  </r>
  <r>
    <n v="1045649"/>
    <s v="VA"/>
    <s v="A"/>
    <d v="2026-04-19T00:00:00"/>
    <d v="2026-04-19T00:00:00"/>
    <m/>
    <n v="691"/>
    <n v="65656565"/>
    <n v="1359"/>
    <n v="151551"/>
    <m/>
    <s v="455788******5723"/>
    <s v="Nac"/>
    <s v="COM"/>
    <x v="17"/>
    <n v="62.9"/>
    <s v="Abonado"/>
    <n v="1.81"/>
    <n v="0.8"/>
    <n v="0.14000000000000001"/>
    <n v="60.95"/>
    <n v="0"/>
    <m/>
    <n v="20260420"/>
    <m/>
    <s v="DEBITO"/>
    <s v="52P20548"/>
    <s v="VISA LOC"/>
    <m/>
    <s v="Yape"/>
    <d v="1899-12-30T16:55:27"/>
    <s v="HONOR MODULO AREQUIPA"/>
    <s v="SCOTIABANK"/>
  </r>
  <r>
    <n v="1045649"/>
    <s v="VA"/>
    <s v="A"/>
    <d v="2026-04-19T00:00:00"/>
    <d v="2026-04-19T00:00:00"/>
    <m/>
    <n v="691"/>
    <s v="PS0001"/>
    <n v="1363"/>
    <n v="259797"/>
    <m/>
    <s v="455788******0514"/>
    <s v="Nac"/>
    <s v="COM"/>
    <x v="17"/>
    <n v="3199"/>
    <s v="Abonado"/>
    <n v="92.45"/>
    <n v="41.27"/>
    <n v="7.43"/>
    <n v="3099.12"/>
    <n v="0"/>
    <m/>
    <n v="20260420"/>
    <m/>
    <s v="DEBITO"/>
    <s v="52P20548"/>
    <s v="BCP"/>
    <m/>
    <m/>
    <d v="1899-12-30T18:07:16"/>
    <s v="HONOR MODULO AREQUIPA"/>
    <s v="SCOTIABANK"/>
  </r>
  <r>
    <n v="1045649"/>
    <s v="VA"/>
    <s v="A"/>
    <d v="2026-04-19T00:00:00"/>
    <d v="2026-04-19T00:00:00"/>
    <m/>
    <n v="691"/>
    <s v="PS0001"/>
    <n v="1367"/>
    <n v="923930"/>
    <m/>
    <s v="455788******7166"/>
    <s v="Nac"/>
    <s v="COM"/>
    <x v="17"/>
    <n v="1000"/>
    <s v="Abonado"/>
    <n v="28.9"/>
    <n v="12.9"/>
    <n v="2.3199999999999998"/>
    <n v="968.78"/>
    <n v="0"/>
    <m/>
    <n v="20260420"/>
    <m/>
    <s v="DEBITO"/>
    <s v="52P20548"/>
    <s v="VISA LOC"/>
    <m/>
    <m/>
    <d v="1899-12-30T18:40:54"/>
    <s v="HONOR MODULO AREQUIPA"/>
    <s v="SCOTIABANK"/>
  </r>
  <r>
    <n v="1045649"/>
    <s v="VA"/>
    <s v="A"/>
    <d v="2026-04-19T00:00:00"/>
    <d v="2026-04-19T00:00:00"/>
    <m/>
    <n v="691"/>
    <s v="PS0001"/>
    <n v="1369"/>
    <n v="15387"/>
    <n v="3"/>
    <s v="447409******2004"/>
    <s v="Nac"/>
    <s v="COM"/>
    <x v="17"/>
    <n v="799"/>
    <s v="Abonado"/>
    <n v="23.09"/>
    <n v="6.31"/>
    <n v="1.1399999999999999"/>
    <n v="774.77"/>
    <n v="0"/>
    <m/>
    <n v="20260420"/>
    <m/>
    <s v="CREDITO"/>
    <s v="52P20548"/>
    <s v="BFALABELLA"/>
    <s v="NO"/>
    <m/>
    <d v="1899-12-30T18:41:49"/>
    <s v="HONOR MODULO AREQUIPA"/>
    <s v="SCOTIABANK"/>
  </r>
  <r>
    <n v="1045649"/>
    <s v="VA"/>
    <s v="A"/>
    <d v="2026-04-19T00:00:00"/>
    <d v="2026-04-19T00:00:00"/>
    <m/>
    <n v="691"/>
    <s v="PS0001"/>
    <n v="1371"/>
    <n v="69723"/>
    <n v="2"/>
    <s v="447409******1889"/>
    <s v="Nac"/>
    <s v="COM"/>
    <x v="17"/>
    <n v="359"/>
    <s v="Abonado"/>
    <n v="10.38"/>
    <n v="2.84"/>
    <n v="0.51"/>
    <n v="348.11"/>
    <n v="5426.01"/>
    <d v="2026-04-20T00:00:00"/>
    <n v="20260420"/>
    <m/>
    <s v="CREDITO"/>
    <s v="52P20548"/>
    <s v="BFALABELLA"/>
    <s v="NO"/>
    <m/>
    <d v="1899-12-30T20:51:09"/>
    <s v="HONOR MODULO AREQUIPA"/>
    <s v="SCOTIABANK"/>
  </r>
  <r>
    <n v="1045649"/>
    <s v="VH"/>
    <s v="A"/>
    <d v="2026-04-19T00:00:00"/>
    <d v="2026-04-19T00:00:00"/>
    <m/>
    <n v="691"/>
    <s v="PS0001"/>
    <n v="1357"/>
    <s v="29C772"/>
    <m/>
    <s v="457339******0709"/>
    <s v="Nac"/>
    <s v="COM"/>
    <x v="17"/>
    <n v="659"/>
    <s v="Abonado"/>
    <n v="19.05"/>
    <n v="8.51"/>
    <n v="1.53"/>
    <n v="638.41999999999996"/>
    <n v="638.41999999999996"/>
    <d v="2026-04-20T00:00:00"/>
    <n v="20260420"/>
    <m/>
    <s v="DEBITO"/>
    <s v="52P20548"/>
    <s v="SIP MC"/>
    <m/>
    <m/>
    <d v="1899-12-30T14:57:19"/>
    <s v="HONOR MODULO AREQUIPA"/>
    <s v="SCOTIABANK"/>
  </r>
  <r>
    <n v="1045649"/>
    <s v="VA"/>
    <s v="A"/>
    <d v="2026-04-20T00:00:00"/>
    <d v="2026-04-20T00:00:00"/>
    <m/>
    <n v="692"/>
    <n v="65656565"/>
    <n v="1376"/>
    <n v="890388"/>
    <m/>
    <s v="455788******6381"/>
    <s v="Nac"/>
    <s v="COM"/>
    <x v="18"/>
    <n v="9"/>
    <s v="Abonado"/>
    <n v="0.26"/>
    <n v="0.12"/>
    <n v="0.02"/>
    <n v="8.7200000000000006"/>
    <n v="0"/>
    <m/>
    <n v="20260421"/>
    <m/>
    <s v="DEBITO"/>
    <s v="52P20548"/>
    <s v="VISA LOC"/>
    <m/>
    <s v="Yape"/>
    <d v="1899-12-30T12:22:01"/>
    <s v="HONOR MODULO AREQUIPA"/>
    <s v="SCOTIABANK"/>
  </r>
  <r>
    <n v="1045649"/>
    <s v="VA"/>
    <s v="A"/>
    <d v="2026-04-20T00:00:00"/>
    <d v="2026-04-20T00:00:00"/>
    <m/>
    <n v="692"/>
    <s v="PS0001"/>
    <n v="1379"/>
    <n v="832484"/>
    <m/>
    <s v="491909******0563"/>
    <s v="Nac"/>
    <s v="COM"/>
    <x v="18"/>
    <n v="629"/>
    <s v="Abonado"/>
    <n v="18.18"/>
    <n v="4.97"/>
    <n v="0.89"/>
    <n v="609.92999999999995"/>
    <n v="0"/>
    <m/>
    <n v="20260421"/>
    <m/>
    <s v="CREDITO"/>
    <s v="52P20548"/>
    <s v="BBVA"/>
    <m/>
    <m/>
    <d v="1899-12-30T12:29:34"/>
    <s v="HONOR MODULO AREQUIPA"/>
    <s v="SCOTIABANK"/>
  </r>
  <r>
    <n v="1045649"/>
    <s v="VA"/>
    <s v="A"/>
    <d v="2026-04-20T00:00:00"/>
    <d v="2026-04-20T00:00:00"/>
    <m/>
    <n v="692"/>
    <s v="PS0001"/>
    <n v="1386"/>
    <n v="219132"/>
    <m/>
    <s v="428582******4931"/>
    <s v="Nac"/>
    <s v="COM"/>
    <x v="18"/>
    <n v="1749"/>
    <s v="Abonado"/>
    <n v="50.55"/>
    <n v="22.57"/>
    <n v="4.0599999999999996"/>
    <n v="1694.39"/>
    <n v="0"/>
    <m/>
    <n v="20260421"/>
    <m/>
    <s v="DEBITO"/>
    <s v="52P20548"/>
    <s v="SCOTIABANK"/>
    <m/>
    <m/>
    <d v="1899-12-30T15:57:07"/>
    <s v="HONOR MODULO AREQUIPA"/>
    <s v="SCOTIABANK"/>
  </r>
  <r>
    <n v="1045649"/>
    <s v="VA"/>
    <s v="A"/>
    <d v="2026-04-20T00:00:00"/>
    <d v="2026-04-20T00:00:00"/>
    <m/>
    <n v="692"/>
    <s v="PS0001"/>
    <n v="1392"/>
    <n v="622431"/>
    <m/>
    <s v="455170******5939"/>
    <s v="Nac"/>
    <s v="COM"/>
    <x v="18"/>
    <n v="19.899999999999999"/>
    <s v="Abonado"/>
    <n v="0.57999999999999996"/>
    <n v="0.26"/>
    <n v="0.05"/>
    <n v="19.27"/>
    <n v="0"/>
    <m/>
    <n v="20260421"/>
    <m/>
    <s v="DEBITO"/>
    <s v="52P20548"/>
    <s v="BBVA"/>
    <m/>
    <m/>
    <d v="1899-12-30T20:49:05"/>
    <s v="HONOR MODULO AREQUIPA"/>
    <s v="SCOTIABANK"/>
  </r>
  <r>
    <n v="1045649"/>
    <s v="VA"/>
    <s v="A"/>
    <d v="2026-04-20T00:00:00"/>
    <d v="2026-04-20T00:00:00"/>
    <m/>
    <n v="692"/>
    <s v="PS0001"/>
    <n v="1394"/>
    <n v="887884"/>
    <m/>
    <s v="455788******4891"/>
    <s v="Nac"/>
    <s v="COM"/>
    <x v="18"/>
    <n v="629"/>
    <s v="Abonado"/>
    <n v="18.18"/>
    <n v="8.1199999999999992"/>
    <n v="1.46"/>
    <n v="609.36"/>
    <n v="2941.67"/>
    <d v="2026-04-21T00:00:00"/>
    <n v="20260421"/>
    <m/>
    <s v="DEBITO"/>
    <s v="52P20548"/>
    <s v="BCP"/>
    <m/>
    <m/>
    <d v="1899-12-30T20:53:39"/>
    <s v="HONOR MODULO AREQUIPA"/>
    <s v="SCOTIABAN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96DC4B-1BB0-49BA-8853-F6FAFD22511C}" name="TablaDinámica9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J1:AK21" firstHeaderRow="1" firstDataRow="1" firstDataCol="1"/>
  <pivotFields count="33"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 sortType="ascending">
      <items count="70">
        <item m="1" x="45"/>
        <item m="1" x="32"/>
        <item m="1" x="19"/>
        <item m="1" x="57"/>
        <item m="1" x="44"/>
        <item m="1" x="31"/>
        <item m="1" x="68"/>
        <item m="1" x="56"/>
        <item m="1" x="43"/>
        <item m="1" x="30"/>
        <item m="1" x="67"/>
        <item m="1" x="55"/>
        <item m="1" x="42"/>
        <item m="1" x="29"/>
        <item m="1" x="66"/>
        <item m="1" x="54"/>
        <item m="1" x="41"/>
        <item m="1" x="28"/>
        <item m="1" x="65"/>
        <item m="1" x="39"/>
        <item m="1" x="26"/>
        <item m="1" x="63"/>
        <item m="1" x="51"/>
        <item m="1" x="37"/>
        <item m="1" x="24"/>
        <item m="1" x="61"/>
        <item m="1" x="49"/>
        <item m="1" x="53"/>
        <item m="1" x="40"/>
        <item m="1" x="27"/>
        <item m="1" x="64"/>
        <item m="1" x="52"/>
        <item m="1" x="38"/>
        <item m="1" x="25"/>
        <item m="1" x="62"/>
        <item m="1" x="50"/>
        <item m="1" x="36"/>
        <item m="1" x="23"/>
        <item m="1" x="60"/>
        <item m="1" x="48"/>
        <item m="1" x="35"/>
        <item m="1" x="22"/>
        <item m="1" x="59"/>
        <item m="1" x="47"/>
        <item m="1" x="34"/>
        <item m="1" x="21"/>
        <item m="1" x="58"/>
        <item m="1" x="46"/>
        <item m="1" x="33"/>
        <item m="1"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1" showAll="0"/>
    <pivotField showAll="0"/>
    <pivotField showAll="0"/>
  </pivotFields>
  <rowFields count="1">
    <field x="14"/>
  </rowFields>
  <rowItems count="20"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 t="grand">
      <x/>
    </i>
  </rowItems>
  <colItems count="1">
    <i/>
  </colItems>
  <dataFields count="1">
    <dataField name="Suma de Importe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9E3BB-E73E-4D7E-BE88-B6FF45F005F5}" name="TablaDinámica3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B1:AC5" firstHeaderRow="1" firstDataRow="1" firstDataCol="1"/>
  <pivotFields count="23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4">
    <i>
      <x/>
    </i>
    <i>
      <x v="66"/>
    </i>
    <i>
      <x v="78"/>
    </i>
    <i t="grand">
      <x/>
    </i>
  </rowItems>
  <colItems count="1">
    <i/>
  </colItems>
  <dataFields count="1">
    <dataField name="Suma de Importe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E4A2F-A747-4F3E-8CEB-66F95DE26B3F}" name="TablaDinámica9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B1:AC4" firstHeaderRow="1" firstDataRow="1" firstDataCol="1"/>
  <pivotFields count="25"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numFmtId="14" showAll="0">
      <items count="7">
        <item m="1" x="5"/>
        <item m="1" x="4"/>
        <item m="1" x="2"/>
        <item x="1"/>
        <item m="1" x="3"/>
        <item x="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showAll="0"/>
  </pivotFields>
  <rowFields count="1">
    <field x="13"/>
  </rowFields>
  <rowItems count="3">
    <i>
      <x v="3"/>
    </i>
    <i>
      <x v="5"/>
    </i>
    <i t="grand">
      <x/>
    </i>
  </rowItems>
  <colItems count="1">
    <i/>
  </colItems>
  <dataFields count="1">
    <dataField name="Suma de Importe del consumo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27F3-02BF-469E-B43E-434907D03136}">
  <dimension ref="A1:AD32"/>
  <sheetViews>
    <sheetView showGridLines="0" zoomScale="80" zoomScaleNormal="80" workbookViewId="0">
      <selection activeCell="C39" sqref="C39"/>
    </sheetView>
  </sheetViews>
  <sheetFormatPr baseColWidth="10" defaultRowHeight="15" x14ac:dyDescent="0.25"/>
  <cols>
    <col min="3" max="3" width="28.85546875" customWidth="1"/>
    <col min="8" max="27" width="11.42578125" style="44"/>
  </cols>
  <sheetData>
    <row r="1" spans="1:30" s="1" customFormat="1" ht="60" x14ac:dyDescent="0.25">
      <c r="A1" s="222" t="s">
        <v>0</v>
      </c>
      <c r="B1" s="222" t="s">
        <v>1</v>
      </c>
      <c r="C1" s="222" t="s">
        <v>2</v>
      </c>
      <c r="D1" s="223" t="s">
        <v>94</v>
      </c>
      <c r="E1" s="223" t="s">
        <v>3</v>
      </c>
      <c r="F1" s="223" t="s">
        <v>4</v>
      </c>
      <c r="G1" s="223" t="s">
        <v>91</v>
      </c>
      <c r="H1" s="223" t="s">
        <v>73</v>
      </c>
      <c r="I1" s="223" t="s">
        <v>92</v>
      </c>
      <c r="J1" s="223" t="s">
        <v>7</v>
      </c>
      <c r="K1" s="223" t="s">
        <v>8</v>
      </c>
      <c r="L1" s="223" t="s">
        <v>9</v>
      </c>
      <c r="M1" s="223" t="s">
        <v>10</v>
      </c>
      <c r="N1" s="223" t="s">
        <v>11</v>
      </c>
      <c r="O1" s="223" t="s">
        <v>12</v>
      </c>
      <c r="P1" s="223" t="s">
        <v>13</v>
      </c>
      <c r="Q1" s="223" t="s">
        <v>14</v>
      </c>
      <c r="R1" s="223" t="s">
        <v>15</v>
      </c>
      <c r="S1" s="223" t="s">
        <v>16</v>
      </c>
      <c r="T1" s="223" t="s">
        <v>17</v>
      </c>
      <c r="U1" s="223" t="s">
        <v>18</v>
      </c>
      <c r="V1" s="223" t="s">
        <v>19</v>
      </c>
      <c r="W1" s="223" t="s">
        <v>21</v>
      </c>
      <c r="X1" s="223" t="s">
        <v>74</v>
      </c>
      <c r="Y1" s="223" t="s">
        <v>20</v>
      </c>
      <c r="Z1" s="223" t="s">
        <v>23</v>
      </c>
      <c r="AA1" s="223" t="s">
        <v>22</v>
      </c>
      <c r="AB1" s="181"/>
      <c r="AC1" s="181"/>
      <c r="AD1" s="181"/>
    </row>
    <row r="2" spans="1:30" x14ac:dyDescent="0.25">
      <c r="A2" s="2">
        <v>46113</v>
      </c>
      <c r="B2" t="s">
        <v>174</v>
      </c>
      <c r="C2" t="s">
        <v>175</v>
      </c>
      <c r="D2" s="44">
        <v>5591.9</v>
      </c>
      <c r="E2" s="44">
        <v>0</v>
      </c>
      <c r="F2" s="224">
        <v>0</v>
      </c>
      <c r="G2" s="44">
        <v>5591.9</v>
      </c>
      <c r="H2" s="44">
        <v>0</v>
      </c>
      <c r="I2" s="44">
        <v>0</v>
      </c>
      <c r="J2" s="44">
        <v>0</v>
      </c>
      <c r="K2" s="44">
        <v>0</v>
      </c>
      <c r="L2" s="44">
        <v>0</v>
      </c>
      <c r="M2" s="44">
        <v>0</v>
      </c>
      <c r="N2" s="44">
        <v>0</v>
      </c>
      <c r="O2" s="44">
        <v>0</v>
      </c>
      <c r="P2" s="44">
        <v>0</v>
      </c>
      <c r="Q2" s="44">
        <v>0</v>
      </c>
      <c r="R2" s="44">
        <v>0</v>
      </c>
      <c r="S2" s="44">
        <v>0</v>
      </c>
      <c r="T2" s="44">
        <v>0</v>
      </c>
      <c r="U2" s="44">
        <v>0</v>
      </c>
      <c r="V2" s="44">
        <v>0</v>
      </c>
      <c r="W2" s="44">
        <v>0</v>
      </c>
      <c r="X2" s="44">
        <v>0</v>
      </c>
      <c r="Y2" s="44">
        <v>0</v>
      </c>
      <c r="Z2" s="44">
        <v>0</v>
      </c>
      <c r="AA2" s="44">
        <v>11183.8</v>
      </c>
    </row>
    <row r="3" spans="1:30" x14ac:dyDescent="0.25">
      <c r="A3" s="2">
        <v>46114</v>
      </c>
      <c r="B3" t="s">
        <v>174</v>
      </c>
      <c r="C3" t="s">
        <v>175</v>
      </c>
      <c r="D3" s="44">
        <v>6723</v>
      </c>
      <c r="E3" s="44">
        <v>0</v>
      </c>
      <c r="F3" s="224">
        <v>1098</v>
      </c>
      <c r="G3" s="44">
        <v>5325</v>
      </c>
      <c r="H3" s="44">
        <v>0</v>
      </c>
      <c r="I3" s="44">
        <v>0</v>
      </c>
      <c r="J3" s="44">
        <v>0</v>
      </c>
      <c r="K3" s="44">
        <v>0</v>
      </c>
      <c r="L3" s="44">
        <v>0</v>
      </c>
      <c r="M3" s="44">
        <v>0</v>
      </c>
      <c r="N3" s="44">
        <v>0</v>
      </c>
      <c r="O3" s="44">
        <v>0</v>
      </c>
      <c r="P3" s="44">
        <v>0</v>
      </c>
      <c r="Q3" s="44">
        <v>0</v>
      </c>
      <c r="R3" s="44">
        <v>0</v>
      </c>
      <c r="S3" s="44">
        <v>0</v>
      </c>
      <c r="T3" s="44">
        <v>0</v>
      </c>
      <c r="U3" s="44">
        <v>0</v>
      </c>
      <c r="V3" s="44">
        <v>300</v>
      </c>
      <c r="W3" s="44">
        <v>0</v>
      </c>
      <c r="X3" s="44">
        <v>0</v>
      </c>
      <c r="Y3" s="44">
        <v>0</v>
      </c>
      <c r="Z3" s="44">
        <v>0</v>
      </c>
      <c r="AA3" s="44">
        <v>12348</v>
      </c>
    </row>
    <row r="4" spans="1:30" x14ac:dyDescent="0.25">
      <c r="A4" s="2">
        <v>46115</v>
      </c>
      <c r="B4" t="s">
        <v>174</v>
      </c>
      <c r="C4" t="s">
        <v>175</v>
      </c>
      <c r="D4" s="44">
        <v>608</v>
      </c>
      <c r="E4" s="44">
        <v>0</v>
      </c>
      <c r="F4" s="224">
        <v>459</v>
      </c>
      <c r="G4" s="44">
        <v>149</v>
      </c>
      <c r="H4" s="44">
        <v>0</v>
      </c>
      <c r="I4" s="44">
        <v>0</v>
      </c>
      <c r="J4" s="44">
        <v>0</v>
      </c>
      <c r="K4" s="44">
        <v>0</v>
      </c>
      <c r="L4" s="44">
        <v>0</v>
      </c>
      <c r="M4" s="44">
        <v>0</v>
      </c>
      <c r="N4" s="44">
        <v>0</v>
      </c>
      <c r="O4" s="44">
        <v>0</v>
      </c>
      <c r="P4" s="44">
        <v>0</v>
      </c>
      <c r="Q4" s="44">
        <v>0</v>
      </c>
      <c r="R4" s="44">
        <v>0</v>
      </c>
      <c r="S4" s="44">
        <v>0</v>
      </c>
      <c r="T4" s="44">
        <v>0</v>
      </c>
      <c r="U4" s="44">
        <v>0</v>
      </c>
      <c r="V4" s="44">
        <v>0</v>
      </c>
      <c r="W4" s="44">
        <v>0</v>
      </c>
      <c r="X4" s="44">
        <v>0</v>
      </c>
      <c r="Y4" s="44">
        <v>0</v>
      </c>
      <c r="Z4" s="44">
        <v>0</v>
      </c>
      <c r="AA4" s="44">
        <v>757</v>
      </c>
    </row>
    <row r="5" spans="1:30" x14ac:dyDescent="0.25">
      <c r="A5" s="2">
        <v>46116</v>
      </c>
      <c r="B5" t="s">
        <v>174</v>
      </c>
      <c r="C5" t="s">
        <v>175</v>
      </c>
      <c r="D5" s="44">
        <v>10380</v>
      </c>
      <c r="E5" s="44">
        <v>0</v>
      </c>
      <c r="F5" s="224">
        <v>89</v>
      </c>
      <c r="G5" s="44">
        <v>10291</v>
      </c>
      <c r="H5" s="44">
        <v>0</v>
      </c>
      <c r="I5" s="44">
        <v>0</v>
      </c>
      <c r="J5" s="44">
        <v>0</v>
      </c>
      <c r="K5" s="44">
        <v>0</v>
      </c>
      <c r="L5" s="44">
        <v>0</v>
      </c>
      <c r="M5" s="44">
        <v>0</v>
      </c>
      <c r="N5" s="44">
        <v>0</v>
      </c>
      <c r="O5" s="44">
        <v>0</v>
      </c>
      <c r="P5" s="44">
        <v>0</v>
      </c>
      <c r="Q5" s="44">
        <v>0</v>
      </c>
      <c r="R5" s="44">
        <v>0</v>
      </c>
      <c r="S5" s="44">
        <v>0</v>
      </c>
      <c r="T5" s="44">
        <v>0</v>
      </c>
      <c r="U5" s="44">
        <v>0</v>
      </c>
      <c r="V5" s="44">
        <v>0</v>
      </c>
      <c r="W5" s="44">
        <v>0</v>
      </c>
      <c r="X5" s="44">
        <v>0</v>
      </c>
      <c r="Y5" s="44">
        <v>0</v>
      </c>
      <c r="Z5" s="44">
        <v>0</v>
      </c>
      <c r="AA5" s="44">
        <v>20671</v>
      </c>
    </row>
    <row r="6" spans="1:30" s="20" customFormat="1" x14ac:dyDescent="0.25">
      <c r="A6" s="2">
        <v>46117</v>
      </c>
      <c r="B6" t="s">
        <v>174</v>
      </c>
      <c r="C6" t="s">
        <v>175</v>
      </c>
      <c r="D6" s="44">
        <v>3166</v>
      </c>
      <c r="E6" s="44">
        <v>0</v>
      </c>
      <c r="F6" s="224">
        <v>1000</v>
      </c>
      <c r="G6" s="44">
        <v>2166</v>
      </c>
      <c r="H6" s="44">
        <v>0</v>
      </c>
      <c r="I6" s="44">
        <v>0</v>
      </c>
      <c r="J6" s="44">
        <v>0</v>
      </c>
      <c r="K6" s="44">
        <v>0</v>
      </c>
      <c r="L6" s="44">
        <v>0</v>
      </c>
      <c r="M6" s="44">
        <v>0</v>
      </c>
      <c r="N6" s="44">
        <v>0</v>
      </c>
      <c r="O6" s="44">
        <v>0</v>
      </c>
      <c r="P6" s="44">
        <v>0</v>
      </c>
      <c r="Q6" s="44">
        <v>0</v>
      </c>
      <c r="R6" s="44">
        <v>0</v>
      </c>
      <c r="S6" s="44">
        <v>0</v>
      </c>
      <c r="T6" s="44">
        <v>0</v>
      </c>
      <c r="U6" s="44">
        <v>0</v>
      </c>
      <c r="V6" s="44">
        <v>0</v>
      </c>
      <c r="W6" s="44">
        <v>0</v>
      </c>
      <c r="X6" s="44">
        <v>0</v>
      </c>
      <c r="Y6" s="44">
        <v>0</v>
      </c>
      <c r="Z6" s="44">
        <v>0</v>
      </c>
      <c r="AA6" s="44">
        <v>5332</v>
      </c>
      <c r="AB6"/>
      <c r="AC6"/>
      <c r="AD6"/>
    </row>
    <row r="7" spans="1:30" s="20" customFormat="1" x14ac:dyDescent="0.25">
      <c r="A7" s="2">
        <v>46118</v>
      </c>
      <c r="B7" t="s">
        <v>174</v>
      </c>
      <c r="C7" t="s">
        <v>175</v>
      </c>
      <c r="D7" s="44">
        <v>3475</v>
      </c>
      <c r="E7" s="44">
        <v>0</v>
      </c>
      <c r="F7" s="224">
        <v>629</v>
      </c>
      <c r="G7" s="44">
        <v>2846</v>
      </c>
      <c r="H7" s="44">
        <v>0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44">
        <v>0</v>
      </c>
      <c r="Q7" s="44">
        <v>0</v>
      </c>
      <c r="R7" s="44">
        <v>0</v>
      </c>
      <c r="S7" s="44">
        <v>0</v>
      </c>
      <c r="T7" s="44">
        <v>0</v>
      </c>
      <c r="U7" s="44">
        <v>0</v>
      </c>
      <c r="V7" s="44">
        <v>0</v>
      </c>
      <c r="W7" s="44">
        <v>0</v>
      </c>
      <c r="X7" s="44">
        <v>0</v>
      </c>
      <c r="Y7" s="44">
        <v>0</v>
      </c>
      <c r="Z7" s="44">
        <v>0</v>
      </c>
      <c r="AA7" s="44">
        <v>6321</v>
      </c>
      <c r="AB7"/>
      <c r="AC7"/>
      <c r="AD7"/>
    </row>
    <row r="8" spans="1:30" s="20" customFormat="1" x14ac:dyDescent="0.25">
      <c r="A8" s="2">
        <v>46119</v>
      </c>
      <c r="B8" t="s">
        <v>174</v>
      </c>
      <c r="C8" t="s">
        <v>175</v>
      </c>
      <c r="D8" s="44">
        <v>3366</v>
      </c>
      <c r="E8" s="44">
        <v>0</v>
      </c>
      <c r="F8" s="224">
        <v>1079</v>
      </c>
      <c r="G8" s="44">
        <v>2287</v>
      </c>
      <c r="H8" s="44">
        <v>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44">
        <v>0</v>
      </c>
      <c r="Q8" s="44">
        <v>0</v>
      </c>
      <c r="R8" s="44">
        <v>0</v>
      </c>
      <c r="S8" s="44">
        <v>0</v>
      </c>
      <c r="T8" s="44">
        <v>0</v>
      </c>
      <c r="U8" s="44">
        <v>0</v>
      </c>
      <c r="V8" s="44">
        <v>0</v>
      </c>
      <c r="W8" s="44">
        <v>0</v>
      </c>
      <c r="X8" s="44">
        <v>0</v>
      </c>
      <c r="Y8" s="44">
        <v>0</v>
      </c>
      <c r="Z8" s="44">
        <v>0</v>
      </c>
      <c r="AA8" s="44">
        <v>5653</v>
      </c>
      <c r="AB8"/>
      <c r="AC8"/>
      <c r="AD8"/>
    </row>
    <row r="9" spans="1:30" s="20" customFormat="1" x14ac:dyDescent="0.25">
      <c r="A9" s="2">
        <v>46120</v>
      </c>
      <c r="B9" t="s">
        <v>174</v>
      </c>
      <c r="C9" t="s">
        <v>175</v>
      </c>
      <c r="D9" s="44">
        <v>1524</v>
      </c>
      <c r="E9" s="44">
        <v>0</v>
      </c>
      <c r="F9" s="224">
        <v>1027</v>
      </c>
      <c r="G9" s="44">
        <v>355.25</v>
      </c>
      <c r="H9" s="44">
        <v>0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44">
        <v>0</v>
      </c>
      <c r="Q9" s="44">
        <v>0</v>
      </c>
      <c r="R9" s="44">
        <v>0</v>
      </c>
      <c r="S9" s="44">
        <v>0</v>
      </c>
      <c r="T9" s="44">
        <v>0</v>
      </c>
      <c r="U9" s="44">
        <v>0</v>
      </c>
      <c r="V9" s="44">
        <v>141.75</v>
      </c>
      <c r="W9" s="44">
        <v>0</v>
      </c>
      <c r="X9" s="44">
        <v>0</v>
      </c>
      <c r="Y9" s="44">
        <v>0</v>
      </c>
      <c r="Z9" s="44">
        <v>0</v>
      </c>
      <c r="AA9" s="44">
        <v>2021</v>
      </c>
      <c r="AB9"/>
      <c r="AC9"/>
      <c r="AD9"/>
    </row>
    <row r="10" spans="1:30" x14ac:dyDescent="0.25">
      <c r="A10" s="2">
        <v>46121</v>
      </c>
      <c r="B10" t="s">
        <v>174</v>
      </c>
      <c r="C10" t="s">
        <v>175</v>
      </c>
      <c r="D10" s="44">
        <v>2727</v>
      </c>
      <c r="E10" s="44">
        <v>0</v>
      </c>
      <c r="F10" s="224">
        <v>949</v>
      </c>
      <c r="G10" s="44">
        <v>1778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44">
        <v>0</v>
      </c>
      <c r="Q10" s="44">
        <v>0</v>
      </c>
      <c r="R10" s="44">
        <v>0</v>
      </c>
      <c r="S10" s="44">
        <v>0</v>
      </c>
      <c r="T10" s="44">
        <v>0</v>
      </c>
      <c r="U10" s="44">
        <v>0</v>
      </c>
      <c r="V10" s="44">
        <v>0</v>
      </c>
      <c r="W10" s="44">
        <v>0</v>
      </c>
      <c r="X10" s="44">
        <v>0</v>
      </c>
      <c r="Y10" s="44">
        <v>0</v>
      </c>
      <c r="Z10" s="44">
        <v>0</v>
      </c>
      <c r="AA10" s="44">
        <v>4505</v>
      </c>
    </row>
    <row r="11" spans="1:30" x14ac:dyDescent="0.25">
      <c r="A11" s="2">
        <v>46122</v>
      </c>
      <c r="B11" t="s">
        <v>174</v>
      </c>
      <c r="C11" t="s">
        <v>175</v>
      </c>
      <c r="D11" s="44">
        <v>4259</v>
      </c>
      <c r="E11" s="44">
        <v>0</v>
      </c>
      <c r="F11" s="224">
        <v>1424</v>
      </c>
      <c r="G11" s="44">
        <v>2535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4">
        <v>0</v>
      </c>
      <c r="S11" s="44">
        <v>0</v>
      </c>
      <c r="T11" s="44">
        <v>0</v>
      </c>
      <c r="U11" s="44">
        <v>0</v>
      </c>
      <c r="V11" s="44">
        <v>300</v>
      </c>
      <c r="W11" s="44">
        <v>0</v>
      </c>
      <c r="X11" s="44">
        <v>0</v>
      </c>
      <c r="Y11" s="44">
        <v>0</v>
      </c>
      <c r="Z11" s="44">
        <v>0</v>
      </c>
      <c r="AA11" s="44">
        <v>7094</v>
      </c>
    </row>
    <row r="12" spans="1:30" x14ac:dyDescent="0.25">
      <c r="A12" s="2">
        <v>46123</v>
      </c>
      <c r="B12" t="s">
        <v>174</v>
      </c>
      <c r="C12" t="s">
        <v>175</v>
      </c>
      <c r="D12" s="44">
        <v>5963</v>
      </c>
      <c r="E12" s="44">
        <v>0</v>
      </c>
      <c r="F12" s="44">
        <v>1238</v>
      </c>
      <c r="G12" s="44">
        <v>3316.9</v>
      </c>
      <c r="H12" s="44">
        <v>0</v>
      </c>
      <c r="I12" s="44">
        <v>149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44">
        <v>0</v>
      </c>
      <c r="P12" s="44">
        <v>0</v>
      </c>
      <c r="Q12" s="44">
        <v>0</v>
      </c>
      <c r="R12" s="44">
        <v>0</v>
      </c>
      <c r="S12" s="44">
        <v>0</v>
      </c>
      <c r="T12" s="44">
        <v>0</v>
      </c>
      <c r="U12" s="44">
        <v>0</v>
      </c>
      <c r="V12" s="44">
        <v>1259.0999999999999</v>
      </c>
      <c r="W12" s="44">
        <v>0</v>
      </c>
      <c r="X12" s="44">
        <v>0</v>
      </c>
      <c r="Y12" s="44">
        <v>0</v>
      </c>
      <c r="Z12" s="44">
        <v>0</v>
      </c>
      <c r="AA12" s="44">
        <v>10688</v>
      </c>
    </row>
    <row r="13" spans="1:30" x14ac:dyDescent="0.25">
      <c r="A13" s="2">
        <v>46124</v>
      </c>
      <c r="B13" t="s">
        <v>174</v>
      </c>
      <c r="C13" t="s">
        <v>175</v>
      </c>
      <c r="D13" s="44">
        <v>7632</v>
      </c>
      <c r="E13" s="44">
        <v>0</v>
      </c>
      <c r="F13" s="44">
        <v>1279</v>
      </c>
      <c r="G13" s="44">
        <v>6353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4">
        <v>0</v>
      </c>
      <c r="N13" s="44">
        <v>0</v>
      </c>
      <c r="O13" s="44">
        <v>0</v>
      </c>
      <c r="P13" s="44">
        <v>0</v>
      </c>
      <c r="Q13" s="44">
        <v>0</v>
      </c>
      <c r="R13" s="44">
        <v>0</v>
      </c>
      <c r="S13" s="44">
        <v>0</v>
      </c>
      <c r="T13" s="44">
        <v>0</v>
      </c>
      <c r="U13" s="44">
        <v>0</v>
      </c>
      <c r="V13" s="44">
        <v>0</v>
      </c>
      <c r="W13" s="44">
        <v>0</v>
      </c>
      <c r="X13" s="44">
        <v>0</v>
      </c>
      <c r="Y13" s="44">
        <v>0</v>
      </c>
      <c r="Z13" s="44">
        <v>0</v>
      </c>
      <c r="AA13" s="44">
        <v>13985</v>
      </c>
    </row>
    <row r="14" spans="1:30" x14ac:dyDescent="0.25">
      <c r="A14" s="2">
        <v>46125</v>
      </c>
      <c r="B14" t="s">
        <v>174</v>
      </c>
      <c r="C14" t="s">
        <v>175</v>
      </c>
      <c r="D14" s="44">
        <v>6903</v>
      </c>
      <c r="E14" s="44">
        <v>0</v>
      </c>
      <c r="F14" s="44">
        <v>229</v>
      </c>
      <c r="G14" s="44">
        <v>6374</v>
      </c>
      <c r="H14" s="44">
        <v>0</v>
      </c>
      <c r="I14" s="44">
        <v>0</v>
      </c>
      <c r="J14" s="44">
        <v>0</v>
      </c>
      <c r="K14" s="44">
        <v>0</v>
      </c>
      <c r="L14" s="44">
        <v>0</v>
      </c>
      <c r="M14" s="44">
        <v>0</v>
      </c>
      <c r="N14" s="44">
        <v>0</v>
      </c>
      <c r="O14" s="44">
        <v>0</v>
      </c>
      <c r="P14" s="44">
        <v>0</v>
      </c>
      <c r="Q14" s="44">
        <v>0</v>
      </c>
      <c r="R14" s="44">
        <v>0</v>
      </c>
      <c r="S14" s="44">
        <v>0</v>
      </c>
      <c r="T14" s="44">
        <v>0</v>
      </c>
      <c r="U14" s="44">
        <v>0</v>
      </c>
      <c r="V14" s="44">
        <v>300</v>
      </c>
      <c r="W14" s="44">
        <v>0</v>
      </c>
      <c r="X14" s="44">
        <v>0</v>
      </c>
      <c r="Y14" s="44">
        <v>0</v>
      </c>
      <c r="Z14" s="44">
        <v>0</v>
      </c>
      <c r="AA14" s="44">
        <v>13577</v>
      </c>
    </row>
    <row r="15" spans="1:30" s="20" customFormat="1" x14ac:dyDescent="0.25">
      <c r="A15" s="2">
        <v>46126</v>
      </c>
      <c r="B15" t="s">
        <v>174</v>
      </c>
      <c r="C15" t="s">
        <v>175</v>
      </c>
      <c r="D15" s="44">
        <v>2775</v>
      </c>
      <c r="E15" s="44">
        <v>0</v>
      </c>
      <c r="F15" s="44">
        <v>0</v>
      </c>
      <c r="G15" s="44">
        <v>2775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  <c r="T15" s="44">
        <v>0</v>
      </c>
      <c r="U15" s="44">
        <v>0</v>
      </c>
      <c r="V15" s="44">
        <v>0</v>
      </c>
      <c r="W15" s="44">
        <v>0</v>
      </c>
      <c r="X15" s="44">
        <v>0</v>
      </c>
      <c r="Y15" s="44">
        <v>0</v>
      </c>
      <c r="Z15" s="44">
        <v>0</v>
      </c>
      <c r="AA15" s="44">
        <v>5550</v>
      </c>
    </row>
    <row r="16" spans="1:30" s="20" customFormat="1" x14ac:dyDescent="0.25">
      <c r="A16" s="2">
        <v>46127</v>
      </c>
      <c r="B16" t="s">
        <v>174</v>
      </c>
      <c r="C16" t="s">
        <v>175</v>
      </c>
      <c r="D16" s="44">
        <v>4196</v>
      </c>
      <c r="E16" s="44">
        <v>0</v>
      </c>
      <c r="F16" s="44">
        <v>52.9</v>
      </c>
      <c r="G16" s="44">
        <v>2047.9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</v>
      </c>
      <c r="Q16" s="44">
        <v>0</v>
      </c>
      <c r="R16" s="44">
        <v>0</v>
      </c>
      <c r="S16" s="44">
        <v>0</v>
      </c>
      <c r="T16" s="44">
        <v>0</v>
      </c>
      <c r="U16" s="44">
        <v>0</v>
      </c>
      <c r="V16" s="44">
        <v>2095.1999999999998</v>
      </c>
      <c r="W16" s="44">
        <v>0</v>
      </c>
      <c r="X16" s="44">
        <v>0</v>
      </c>
      <c r="Y16" s="44">
        <v>0</v>
      </c>
      <c r="Z16" s="44">
        <v>0</v>
      </c>
      <c r="AA16" s="44">
        <v>8339.1</v>
      </c>
    </row>
    <row r="17" spans="1:27" x14ac:dyDescent="0.25">
      <c r="A17" s="2">
        <v>46128</v>
      </c>
      <c r="B17" t="s">
        <v>174</v>
      </c>
      <c r="C17" t="s">
        <v>175</v>
      </c>
      <c r="D17" s="44">
        <v>4334</v>
      </c>
      <c r="E17" s="44">
        <v>0</v>
      </c>
      <c r="F17" s="44">
        <v>125.8</v>
      </c>
      <c r="G17" s="44">
        <v>3705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503.2</v>
      </c>
      <c r="W17" s="44">
        <v>0</v>
      </c>
      <c r="X17" s="44">
        <v>0</v>
      </c>
      <c r="Y17" s="44">
        <v>0</v>
      </c>
      <c r="Z17" s="44">
        <v>0</v>
      </c>
      <c r="AA17" s="44">
        <v>8542.2000000000007</v>
      </c>
    </row>
    <row r="18" spans="1:27" x14ac:dyDescent="0.25">
      <c r="A18" s="2">
        <v>46129</v>
      </c>
      <c r="B18" t="s">
        <v>174</v>
      </c>
      <c r="C18" t="s">
        <v>175</v>
      </c>
      <c r="D18" s="44">
        <v>1127</v>
      </c>
      <c r="E18" s="44">
        <v>0</v>
      </c>
      <c r="F18" s="44">
        <v>164.8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503.2</v>
      </c>
      <c r="W18" s="44">
        <v>0</v>
      </c>
      <c r="X18" s="44">
        <v>459</v>
      </c>
      <c r="Y18" s="44">
        <v>0</v>
      </c>
      <c r="Z18" s="44">
        <v>0</v>
      </c>
      <c r="AA18" s="44">
        <v>2089.1999999999998</v>
      </c>
    </row>
    <row r="19" spans="1:27" x14ac:dyDescent="0.25">
      <c r="A19" s="2">
        <v>46130</v>
      </c>
      <c r="B19" t="s">
        <v>174</v>
      </c>
      <c r="C19" t="s">
        <v>175</v>
      </c>
      <c r="D19" s="44">
        <v>5473</v>
      </c>
      <c r="E19" s="44">
        <v>0</v>
      </c>
      <c r="F19" s="44">
        <v>949</v>
      </c>
      <c r="G19" s="44">
        <v>4524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9997</v>
      </c>
    </row>
    <row r="20" spans="1:27" x14ac:dyDescent="0.25">
      <c r="A20" s="2">
        <v>46131</v>
      </c>
      <c r="B20" t="s">
        <v>174</v>
      </c>
      <c r="C20" t="s">
        <v>175</v>
      </c>
      <c r="D20" s="44">
        <v>10900</v>
      </c>
      <c r="E20" s="44">
        <v>0</v>
      </c>
      <c r="F20" s="44">
        <v>645.79999999999995</v>
      </c>
      <c r="G20" s="44">
        <v>6258.8</v>
      </c>
      <c r="H20" s="44">
        <v>0</v>
      </c>
      <c r="I20" s="44">
        <v>0</v>
      </c>
      <c r="J20" s="44">
        <v>0</v>
      </c>
      <c r="K20" s="44">
        <v>0</v>
      </c>
      <c r="L20" s="44">
        <v>0</v>
      </c>
      <c r="M20" s="44">
        <v>0</v>
      </c>
      <c r="N20" s="44">
        <v>0</v>
      </c>
      <c r="O20" s="44">
        <v>0</v>
      </c>
      <c r="P20" s="44">
        <v>0</v>
      </c>
      <c r="Q20" s="44">
        <v>0</v>
      </c>
      <c r="R20" s="44">
        <v>0</v>
      </c>
      <c r="S20" s="44">
        <v>0</v>
      </c>
      <c r="T20" s="44">
        <v>0</v>
      </c>
      <c r="U20" s="44">
        <v>0</v>
      </c>
      <c r="V20" s="44">
        <v>3995.4</v>
      </c>
      <c r="W20" s="44">
        <v>0</v>
      </c>
      <c r="X20" s="44">
        <v>0</v>
      </c>
      <c r="Y20" s="44">
        <v>0</v>
      </c>
      <c r="Z20" s="44">
        <v>0</v>
      </c>
      <c r="AA20" s="44">
        <v>21154.2</v>
      </c>
    </row>
    <row r="21" spans="1:27" x14ac:dyDescent="0.25">
      <c r="A21" s="2">
        <v>46132</v>
      </c>
      <c r="B21" t="s">
        <v>174</v>
      </c>
      <c r="C21" t="s">
        <v>175</v>
      </c>
      <c r="D21" s="44">
        <v>7832.9</v>
      </c>
      <c r="E21" s="44">
        <v>0</v>
      </c>
      <c r="F21" s="44">
        <v>3222.9</v>
      </c>
      <c r="G21" s="44">
        <v>3035.9</v>
      </c>
      <c r="H21" s="44">
        <v>0</v>
      </c>
      <c r="I21" s="44">
        <v>0</v>
      </c>
      <c r="J21" s="44">
        <v>0</v>
      </c>
      <c r="K21" s="44">
        <v>0</v>
      </c>
      <c r="L21" s="44">
        <v>0</v>
      </c>
      <c r="M21" s="44">
        <v>0</v>
      </c>
      <c r="N21" s="44">
        <v>0</v>
      </c>
      <c r="O21" s="44">
        <v>0</v>
      </c>
      <c r="P21" s="44">
        <v>0</v>
      </c>
      <c r="Q21" s="44">
        <v>0</v>
      </c>
      <c r="R21" s="44">
        <v>0</v>
      </c>
      <c r="S21" s="44">
        <v>0</v>
      </c>
      <c r="T21" s="44">
        <v>0</v>
      </c>
      <c r="U21" s="44">
        <v>0</v>
      </c>
      <c r="V21" s="44">
        <v>1574.1</v>
      </c>
      <c r="W21" s="44">
        <v>0</v>
      </c>
      <c r="X21" s="44">
        <v>0</v>
      </c>
      <c r="Y21" s="44">
        <v>0</v>
      </c>
      <c r="Z21" s="44">
        <v>0</v>
      </c>
      <c r="AA21" s="44">
        <v>12442.9</v>
      </c>
    </row>
    <row r="22" spans="1:27" x14ac:dyDescent="0.25">
      <c r="A22" s="2">
        <v>46133</v>
      </c>
      <c r="B22" t="s">
        <v>174</v>
      </c>
      <c r="C22" t="s">
        <v>175</v>
      </c>
      <c r="D22" s="44">
        <v>5115</v>
      </c>
      <c r="E22" s="44">
        <v>0</v>
      </c>
      <c r="F22" s="44">
        <v>0</v>
      </c>
      <c r="G22" s="44">
        <v>4216</v>
      </c>
      <c r="H22" s="44">
        <v>899</v>
      </c>
      <c r="I22" s="44">
        <v>0</v>
      </c>
      <c r="J22" s="44">
        <v>0</v>
      </c>
      <c r="K22" s="44">
        <v>0</v>
      </c>
      <c r="L22" s="44">
        <v>0</v>
      </c>
      <c r="M22" s="44">
        <v>0</v>
      </c>
      <c r="N22" s="44">
        <v>0</v>
      </c>
      <c r="O22" s="44">
        <v>0</v>
      </c>
      <c r="P22" s="44">
        <v>0</v>
      </c>
      <c r="Q22" s="44">
        <v>0</v>
      </c>
      <c r="R22" s="44">
        <v>0</v>
      </c>
      <c r="S22" s="44">
        <v>0</v>
      </c>
      <c r="T22" s="44">
        <v>0</v>
      </c>
      <c r="U22" s="44">
        <v>0</v>
      </c>
      <c r="V22" s="44">
        <v>0</v>
      </c>
      <c r="W22" s="44">
        <v>0</v>
      </c>
      <c r="X22" s="44">
        <v>0</v>
      </c>
      <c r="Y22" s="44">
        <v>0</v>
      </c>
      <c r="Z22" s="44">
        <v>0</v>
      </c>
      <c r="AA22" s="44">
        <v>10230</v>
      </c>
    </row>
    <row r="23" spans="1:27" x14ac:dyDescent="0.25">
      <c r="A23" s="2">
        <v>46134</v>
      </c>
      <c r="B23" t="s">
        <v>174</v>
      </c>
      <c r="C23" t="s">
        <v>175</v>
      </c>
      <c r="D23" s="44">
        <v>5740.9</v>
      </c>
      <c r="E23" s="44">
        <v>0</v>
      </c>
      <c r="F23" s="44">
        <v>478.9</v>
      </c>
      <c r="G23" s="44">
        <v>3494.5</v>
      </c>
      <c r="H23" s="44">
        <v>0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44">
        <v>1499</v>
      </c>
      <c r="Q23" s="44">
        <v>0</v>
      </c>
      <c r="R23" s="44">
        <v>0</v>
      </c>
      <c r="S23" s="44">
        <v>0</v>
      </c>
      <c r="T23" s="44">
        <v>0</v>
      </c>
      <c r="U23" s="44">
        <v>0</v>
      </c>
      <c r="V23" s="44">
        <v>268.5</v>
      </c>
      <c r="W23" s="44">
        <v>0</v>
      </c>
      <c r="X23" s="44">
        <v>0</v>
      </c>
      <c r="Y23" s="44">
        <v>0</v>
      </c>
      <c r="Z23" s="44">
        <v>0</v>
      </c>
      <c r="AA23" s="44">
        <v>11002.9</v>
      </c>
    </row>
    <row r="24" spans="1:27" x14ac:dyDescent="0.25">
      <c r="A24" s="2">
        <v>46135</v>
      </c>
      <c r="B24" t="s">
        <v>174</v>
      </c>
      <c r="C24" t="s">
        <v>175</v>
      </c>
      <c r="D24" s="44">
        <v>4425</v>
      </c>
      <c r="E24" s="44">
        <v>0</v>
      </c>
      <c r="F24" s="44">
        <v>459</v>
      </c>
      <c r="G24" s="44">
        <v>2867</v>
      </c>
      <c r="H24" s="44">
        <v>1099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44">
        <v>0</v>
      </c>
      <c r="P24" s="44">
        <v>0</v>
      </c>
      <c r="Q24" s="44">
        <v>0</v>
      </c>
      <c r="R24" s="44">
        <v>0</v>
      </c>
      <c r="S24" s="44">
        <v>0</v>
      </c>
      <c r="T24" s="44">
        <v>0</v>
      </c>
      <c r="U24" s="44">
        <v>0</v>
      </c>
      <c r="V24" s="44">
        <v>0</v>
      </c>
      <c r="W24" s="44">
        <v>0</v>
      </c>
      <c r="X24" s="44">
        <v>0</v>
      </c>
      <c r="Y24" s="44">
        <v>0</v>
      </c>
      <c r="Z24" s="44">
        <v>0</v>
      </c>
      <c r="AA24" s="44">
        <v>8391</v>
      </c>
    </row>
    <row r="25" spans="1:27" x14ac:dyDescent="0.25">
      <c r="A25" s="2">
        <v>46136</v>
      </c>
      <c r="B25" t="s">
        <v>174</v>
      </c>
      <c r="C25" t="s">
        <v>175</v>
      </c>
      <c r="D25" s="44">
        <v>3122</v>
      </c>
      <c r="E25" s="44">
        <v>0</v>
      </c>
      <c r="F25" s="44">
        <v>158</v>
      </c>
      <c r="G25" s="44">
        <v>1614.9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1349.1</v>
      </c>
      <c r="W25" s="44">
        <v>0</v>
      </c>
      <c r="X25" s="44">
        <v>0</v>
      </c>
      <c r="Y25" s="44">
        <v>0</v>
      </c>
      <c r="Z25" s="44">
        <v>0</v>
      </c>
      <c r="AA25" s="44">
        <v>6086</v>
      </c>
    </row>
    <row r="26" spans="1:27" x14ac:dyDescent="0.25">
      <c r="A26" s="2">
        <v>46137</v>
      </c>
      <c r="B26" t="s">
        <v>174</v>
      </c>
      <c r="C26" t="s">
        <v>175</v>
      </c>
      <c r="D26" s="44">
        <v>6321.9</v>
      </c>
      <c r="E26" s="44">
        <v>0</v>
      </c>
      <c r="F26" s="44">
        <v>2636</v>
      </c>
      <c r="G26" s="44">
        <v>3685.9</v>
      </c>
      <c r="H26" s="44">
        <v>0</v>
      </c>
      <c r="I26" s="44">
        <v>0</v>
      </c>
      <c r="J26" s="44">
        <v>0</v>
      </c>
      <c r="K26" s="44">
        <v>0</v>
      </c>
      <c r="L26" s="44">
        <v>0</v>
      </c>
      <c r="M26" s="44">
        <v>0</v>
      </c>
      <c r="N26" s="44">
        <v>0</v>
      </c>
      <c r="O26" s="44">
        <v>0</v>
      </c>
      <c r="P26" s="44">
        <v>0</v>
      </c>
      <c r="Q26" s="44">
        <v>0</v>
      </c>
      <c r="R26" s="44">
        <v>0</v>
      </c>
      <c r="S26" s="44">
        <v>0</v>
      </c>
      <c r="T26" s="44">
        <v>0</v>
      </c>
      <c r="U26" s="44">
        <v>0</v>
      </c>
      <c r="V26" s="44">
        <v>0</v>
      </c>
      <c r="W26" s="44">
        <v>0</v>
      </c>
      <c r="X26" s="44">
        <v>0</v>
      </c>
      <c r="Y26" s="44">
        <v>0</v>
      </c>
      <c r="Z26" s="44">
        <v>0</v>
      </c>
      <c r="AA26" s="44">
        <v>10007.799999999999</v>
      </c>
    </row>
    <row r="27" spans="1:27" x14ac:dyDescent="0.25">
      <c r="A27" s="2">
        <v>46138</v>
      </c>
      <c r="B27" t="s">
        <v>174</v>
      </c>
      <c r="C27" t="s">
        <v>175</v>
      </c>
      <c r="D27" s="44">
        <v>13708</v>
      </c>
      <c r="E27" s="44">
        <v>0</v>
      </c>
      <c r="F27" s="44">
        <v>1079.5</v>
      </c>
      <c r="G27" s="44">
        <v>5593.9</v>
      </c>
      <c r="H27" s="44">
        <v>4497</v>
      </c>
      <c r="I27" s="44">
        <v>0</v>
      </c>
      <c r="J27" s="44">
        <v>0</v>
      </c>
      <c r="K27" s="44">
        <v>0</v>
      </c>
      <c r="L27" s="44">
        <v>0</v>
      </c>
      <c r="M27" s="44">
        <v>0</v>
      </c>
      <c r="N27" s="44">
        <v>0</v>
      </c>
      <c r="O27" s="44">
        <v>0</v>
      </c>
      <c r="P27" s="44">
        <v>0</v>
      </c>
      <c r="Q27" s="44">
        <v>0</v>
      </c>
      <c r="R27" s="44">
        <v>0</v>
      </c>
      <c r="S27" s="44">
        <v>0</v>
      </c>
      <c r="T27" s="44">
        <v>0</v>
      </c>
      <c r="U27" s="44">
        <v>0</v>
      </c>
      <c r="V27" s="44">
        <v>2537.6</v>
      </c>
      <c r="W27" s="44">
        <v>0</v>
      </c>
      <c r="X27" s="44">
        <v>0</v>
      </c>
      <c r="Y27" s="44">
        <v>0</v>
      </c>
      <c r="Z27" s="44">
        <v>0</v>
      </c>
      <c r="AA27" s="44">
        <v>26336.5</v>
      </c>
    </row>
    <row r="28" spans="1:27" x14ac:dyDescent="0.25">
      <c r="A28" s="2">
        <v>46139</v>
      </c>
      <c r="B28" t="s">
        <v>174</v>
      </c>
      <c r="C28" t="s">
        <v>175</v>
      </c>
      <c r="D28" s="44">
        <v>9147.9</v>
      </c>
      <c r="E28" s="44">
        <v>0</v>
      </c>
      <c r="F28" s="44">
        <v>2447.8000000000002</v>
      </c>
      <c r="G28" s="44">
        <v>4901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44">
        <v>0</v>
      </c>
      <c r="N28" s="44">
        <v>0</v>
      </c>
      <c r="O28" s="44">
        <v>0</v>
      </c>
      <c r="P28" s="44">
        <v>0</v>
      </c>
      <c r="Q28" s="44">
        <v>0</v>
      </c>
      <c r="R28" s="44">
        <v>0</v>
      </c>
      <c r="S28" s="44">
        <v>0</v>
      </c>
      <c r="T28" s="44">
        <v>0</v>
      </c>
      <c r="U28" s="44">
        <v>0</v>
      </c>
      <c r="V28" s="44">
        <v>1799.1</v>
      </c>
      <c r="W28" s="44">
        <v>0</v>
      </c>
      <c r="X28" s="44">
        <v>0</v>
      </c>
      <c r="Y28" s="44">
        <v>0</v>
      </c>
      <c r="Z28" s="44">
        <v>0</v>
      </c>
      <c r="AA28" s="44">
        <v>15848</v>
      </c>
    </row>
    <row r="29" spans="1:27" x14ac:dyDescent="0.25">
      <c r="A29" s="2">
        <v>46140</v>
      </c>
      <c r="B29" t="s">
        <v>174</v>
      </c>
      <c r="C29" t="s">
        <v>175</v>
      </c>
      <c r="D29" s="44">
        <v>2072.9</v>
      </c>
      <c r="E29" s="44">
        <v>0</v>
      </c>
      <c r="F29" s="44">
        <v>925.9</v>
      </c>
      <c r="G29" s="44">
        <v>1147</v>
      </c>
      <c r="H29" s="44">
        <v>0</v>
      </c>
      <c r="I29" s="44">
        <v>0</v>
      </c>
      <c r="J29" s="44">
        <v>0</v>
      </c>
      <c r="K29" s="44">
        <v>0</v>
      </c>
      <c r="L29" s="44">
        <v>0</v>
      </c>
      <c r="M29" s="44">
        <v>0</v>
      </c>
      <c r="N29" s="44">
        <v>0</v>
      </c>
      <c r="O29" s="44">
        <v>0</v>
      </c>
      <c r="P29" s="44">
        <v>0</v>
      </c>
      <c r="Q29" s="44">
        <v>0</v>
      </c>
      <c r="R29" s="44">
        <v>0</v>
      </c>
      <c r="S29" s="44">
        <v>0</v>
      </c>
      <c r="T29" s="44">
        <v>0</v>
      </c>
      <c r="U29" s="44">
        <v>0</v>
      </c>
      <c r="V29" s="44">
        <v>0</v>
      </c>
      <c r="W29" s="44">
        <v>0</v>
      </c>
      <c r="X29" s="44">
        <v>0</v>
      </c>
      <c r="Y29" s="44">
        <v>0</v>
      </c>
      <c r="Z29" s="44">
        <v>0</v>
      </c>
      <c r="AA29" s="44">
        <v>3219.9</v>
      </c>
    </row>
    <row r="30" spans="1:27" x14ac:dyDescent="0.25">
      <c r="A30" s="2">
        <v>46141</v>
      </c>
      <c r="B30" t="s">
        <v>174</v>
      </c>
      <c r="C30" t="s">
        <v>175</v>
      </c>
      <c r="D30" s="44">
        <v>4372</v>
      </c>
      <c r="E30" s="44">
        <v>0</v>
      </c>
      <c r="F30" s="44">
        <v>598</v>
      </c>
      <c r="G30" s="44">
        <v>3216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558</v>
      </c>
      <c r="Y30" s="44">
        <v>0</v>
      </c>
      <c r="Z30" s="44">
        <v>0</v>
      </c>
      <c r="AA30" s="44">
        <v>8146</v>
      </c>
    </row>
    <row r="31" spans="1:27" x14ac:dyDescent="0.25">
      <c r="A31" s="2">
        <v>46142</v>
      </c>
      <c r="B31" t="s">
        <v>174</v>
      </c>
      <c r="C31" t="s">
        <v>175</v>
      </c>
      <c r="D31" s="44">
        <v>3445</v>
      </c>
      <c r="E31" s="44">
        <v>0</v>
      </c>
      <c r="F31" s="44">
        <v>515</v>
      </c>
      <c r="G31" s="44">
        <v>1130.9000000000001</v>
      </c>
      <c r="H31" s="44">
        <v>0</v>
      </c>
      <c r="I31" s="44">
        <v>0</v>
      </c>
      <c r="J31" s="44">
        <v>0</v>
      </c>
      <c r="K31" s="44">
        <v>0</v>
      </c>
      <c r="L31" s="44">
        <v>0</v>
      </c>
      <c r="M31" s="44">
        <v>0</v>
      </c>
      <c r="N31" s="44">
        <v>0</v>
      </c>
      <c r="O31" s="44">
        <v>0</v>
      </c>
      <c r="P31" s="44">
        <v>0</v>
      </c>
      <c r="Q31" s="44">
        <v>0</v>
      </c>
      <c r="R31" s="44">
        <v>0</v>
      </c>
      <c r="S31" s="44">
        <v>0</v>
      </c>
      <c r="T31" s="44">
        <v>0</v>
      </c>
      <c r="U31" s="44">
        <v>0</v>
      </c>
      <c r="V31" s="44">
        <v>1799.1</v>
      </c>
      <c r="W31" s="44">
        <v>0</v>
      </c>
      <c r="X31" s="44">
        <v>0</v>
      </c>
      <c r="Y31" s="44">
        <v>0</v>
      </c>
      <c r="Z31" s="44">
        <v>0</v>
      </c>
      <c r="AA31" s="44">
        <v>6375</v>
      </c>
    </row>
    <row r="32" spans="1:27" x14ac:dyDescent="0.25">
      <c r="A32" s="2"/>
      <c r="D32" s="44"/>
      <c r="E32" s="44"/>
      <c r="F32" s="44"/>
      <c r="G32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D8A4-8EBA-4ACF-B864-98A111ACFED7}">
  <sheetPr>
    <tabColor rgb="FFFF0000"/>
  </sheetPr>
  <dimension ref="A1:AD59"/>
  <sheetViews>
    <sheetView showGridLines="0" zoomScale="80" zoomScaleNormal="80" workbookViewId="0">
      <pane xSplit="1" topLeftCell="B1" activePane="topRight" state="frozen"/>
      <selection pane="topRight" activeCell="M4" sqref="M4"/>
    </sheetView>
  </sheetViews>
  <sheetFormatPr baseColWidth="10" defaultRowHeight="15" x14ac:dyDescent="0.25"/>
  <cols>
    <col min="3" max="3" width="22" bestFit="1" customWidth="1"/>
    <col min="5" max="5" width="8.140625" style="44" bestFit="1" customWidth="1"/>
    <col min="6" max="6" width="11.42578125" style="44"/>
    <col min="7" max="7" width="19.140625" style="24" bestFit="1" customWidth="1"/>
    <col min="8" max="8" width="11.42578125" style="44"/>
    <col min="9" max="9" width="11.42578125" style="24"/>
    <col min="10" max="10" width="11.42578125" style="44"/>
    <col min="11" max="11" width="11.42578125" style="24"/>
    <col min="12" max="12" width="11.42578125" style="44"/>
    <col min="13" max="13" width="11.42578125" style="24"/>
    <col min="14" max="28" width="11.42578125" style="44" customWidth="1"/>
    <col min="29" max="30" width="11.42578125" style="44"/>
  </cols>
  <sheetData>
    <row r="1" spans="1:30" ht="30" x14ac:dyDescent="0.25">
      <c r="A1" s="3" t="s">
        <v>0</v>
      </c>
      <c r="B1" s="3" t="s">
        <v>1</v>
      </c>
      <c r="C1" s="3" t="s">
        <v>2</v>
      </c>
      <c r="D1" s="4" t="s">
        <v>27</v>
      </c>
      <c r="E1" s="96" t="s">
        <v>3</v>
      </c>
      <c r="F1" s="96" t="s">
        <v>4</v>
      </c>
      <c r="G1" s="22" t="s">
        <v>25</v>
      </c>
      <c r="H1" s="96" t="s">
        <v>5</v>
      </c>
      <c r="I1" s="22" t="s">
        <v>25</v>
      </c>
      <c r="J1" s="97" t="s">
        <v>24</v>
      </c>
      <c r="K1" s="22" t="s">
        <v>25</v>
      </c>
      <c r="L1" s="96" t="s">
        <v>6</v>
      </c>
      <c r="M1" s="22" t="s">
        <v>25</v>
      </c>
      <c r="N1" s="96" t="s">
        <v>7</v>
      </c>
      <c r="O1" s="96" t="s">
        <v>8</v>
      </c>
      <c r="P1" s="96" t="s">
        <v>9</v>
      </c>
      <c r="Q1" s="96" t="s">
        <v>10</v>
      </c>
      <c r="R1" s="96" t="s">
        <v>11</v>
      </c>
      <c r="S1" s="96" t="s">
        <v>12</v>
      </c>
      <c r="T1" s="96" t="s">
        <v>13</v>
      </c>
      <c r="U1" s="96" t="s">
        <v>14</v>
      </c>
      <c r="V1" s="96" t="s">
        <v>15</v>
      </c>
      <c r="W1" s="96" t="s">
        <v>16</v>
      </c>
      <c r="X1" s="96" t="s">
        <v>17</v>
      </c>
      <c r="Y1" s="96" t="s">
        <v>18</v>
      </c>
      <c r="Z1" s="96" t="s">
        <v>19</v>
      </c>
      <c r="AA1" s="96" t="s">
        <v>20</v>
      </c>
      <c r="AB1" s="96" t="s">
        <v>21</v>
      </c>
      <c r="AC1" s="96" t="s">
        <v>22</v>
      </c>
      <c r="AD1" s="97" t="s">
        <v>29</v>
      </c>
    </row>
    <row r="2" spans="1:30" x14ac:dyDescent="0.25">
      <c r="A2" s="2">
        <f>+SAP!A2</f>
        <v>46113</v>
      </c>
      <c r="B2" s="2" t="str">
        <f>+SAP!B2</f>
        <v>HARM.01</v>
      </c>
      <c r="C2" s="2" t="str">
        <f>+SAP!C2</f>
        <v>MODULO HONOR AREQUIPA</v>
      </c>
      <c r="D2" s="6">
        <f>+SAP!D2</f>
        <v>5591.9</v>
      </c>
      <c r="E2" s="44">
        <f>+SAP!E2</f>
        <v>0</v>
      </c>
      <c r="F2" s="44">
        <f>+SAP!F2</f>
        <v>0</v>
      </c>
      <c r="G2" s="23">
        <f>+F2-EFECTIVO!C9</f>
        <v>0</v>
      </c>
      <c r="H2" s="44">
        <f>+SAP!G2</f>
        <v>5591.9</v>
      </c>
      <c r="I2" s="23">
        <f>+H2-MC!AP2</f>
        <v>0</v>
      </c>
      <c r="J2" s="44">
        <f>+SAP!H2</f>
        <v>0</v>
      </c>
      <c r="K2" s="23">
        <f>+J2-AMEX!AG2</f>
        <v>0</v>
      </c>
      <c r="L2" s="44">
        <f>+SAP!I2</f>
        <v>0</v>
      </c>
      <c r="M2" s="23">
        <f>+L2-DINNERS!AG2</f>
        <v>0</v>
      </c>
      <c r="N2" s="44">
        <f>+SAP!J2</f>
        <v>0</v>
      </c>
      <c r="O2" s="44">
        <f>+SAP!K2</f>
        <v>0</v>
      </c>
      <c r="P2" s="44">
        <f>+SAP!L2</f>
        <v>0</v>
      </c>
      <c r="Q2" s="44">
        <f>+SAP!M2</f>
        <v>0</v>
      </c>
      <c r="R2" s="44">
        <f>+SAP!N2</f>
        <v>0</v>
      </c>
      <c r="S2" s="44">
        <f>+SAP!O2</f>
        <v>0</v>
      </c>
      <c r="T2" s="44">
        <f>+SAP!P2</f>
        <v>0</v>
      </c>
      <c r="U2" s="44">
        <f>+SAP!Q2</f>
        <v>0</v>
      </c>
      <c r="V2" s="44">
        <f>+SAP!R2</f>
        <v>0</v>
      </c>
      <c r="W2" s="44">
        <f>+SAP!S2</f>
        <v>0</v>
      </c>
      <c r="X2" s="44">
        <f>+SAP!T2</f>
        <v>0</v>
      </c>
      <c r="Y2" s="44">
        <f>+SAP!U2</f>
        <v>0</v>
      </c>
      <c r="Z2" s="44">
        <f>+SAP!V2</f>
        <v>0</v>
      </c>
      <c r="AA2" s="44">
        <f>+SAP!W2</f>
        <v>0</v>
      </c>
      <c r="AB2" s="44">
        <f>+SAP!X2</f>
        <v>0</v>
      </c>
      <c r="AC2" s="44">
        <f>+SAP!Y2</f>
        <v>0</v>
      </c>
      <c r="AD2" s="44">
        <f>+SAP!Z2</f>
        <v>0</v>
      </c>
    </row>
    <row r="3" spans="1:30" x14ac:dyDescent="0.25">
      <c r="A3" s="2">
        <f>+SAP!A3</f>
        <v>46114</v>
      </c>
      <c r="B3" s="2" t="str">
        <f>+SAP!B3</f>
        <v>HARM.01</v>
      </c>
      <c r="C3" s="2" t="str">
        <f>+SAP!C3</f>
        <v>MODULO HONOR AREQUIPA</v>
      </c>
      <c r="D3" s="6">
        <f>+SAP!D3</f>
        <v>6723</v>
      </c>
      <c r="E3" s="44">
        <f>+SAP!E3</f>
        <v>0</v>
      </c>
      <c r="F3" s="44">
        <f>+SAP!F3</f>
        <v>1098</v>
      </c>
      <c r="G3" s="23">
        <f>+F3-EFECTIVO!C10</f>
        <v>0</v>
      </c>
      <c r="H3" s="44">
        <f>+SAP!G3</f>
        <v>5325</v>
      </c>
      <c r="I3" s="23">
        <f>+H3-MC!AP3</f>
        <v>0</v>
      </c>
      <c r="J3" s="44">
        <f>+SAP!H3</f>
        <v>0</v>
      </c>
      <c r="K3" s="23">
        <f>+J3-AMEX!AG3</f>
        <v>0</v>
      </c>
      <c r="L3" s="44">
        <f>+SAP!I3</f>
        <v>0</v>
      </c>
      <c r="M3" s="23">
        <f>+L3-DINNERS!AG3</f>
        <v>0</v>
      </c>
      <c r="N3" s="44">
        <f>+SAP!J3</f>
        <v>0</v>
      </c>
      <c r="O3" s="44">
        <f>+SAP!K3</f>
        <v>0</v>
      </c>
      <c r="P3" s="44">
        <f>+SAP!L3</f>
        <v>0</v>
      </c>
      <c r="Q3" s="44">
        <f>+SAP!M3</f>
        <v>0</v>
      </c>
      <c r="R3" s="44">
        <f>+SAP!N3</f>
        <v>0</v>
      </c>
      <c r="S3" s="44">
        <f>+SAP!O3</f>
        <v>0</v>
      </c>
      <c r="T3" s="44">
        <f>+SAP!P3</f>
        <v>0</v>
      </c>
      <c r="U3" s="44">
        <f>+SAP!Q3</f>
        <v>0</v>
      </c>
      <c r="V3" s="44">
        <f>+SAP!R3</f>
        <v>0</v>
      </c>
      <c r="W3" s="44">
        <f>+SAP!S3</f>
        <v>0</v>
      </c>
      <c r="X3" s="44">
        <f>+SAP!T3</f>
        <v>0</v>
      </c>
      <c r="Y3" s="44">
        <f>+SAP!U3</f>
        <v>0</v>
      </c>
      <c r="Z3" s="44">
        <f>+SAP!V3</f>
        <v>300</v>
      </c>
      <c r="AA3" s="44">
        <f>+SAP!W3</f>
        <v>0</v>
      </c>
      <c r="AB3" s="44">
        <f>+SAP!X3</f>
        <v>0</v>
      </c>
      <c r="AC3" s="44">
        <f>+SAP!Y3</f>
        <v>0</v>
      </c>
      <c r="AD3" s="44">
        <f>+SAP!Z3</f>
        <v>0</v>
      </c>
    </row>
    <row r="4" spans="1:30" x14ac:dyDescent="0.25">
      <c r="A4" s="2">
        <f>+SAP!A4</f>
        <v>46115</v>
      </c>
      <c r="B4" s="2" t="str">
        <f>+SAP!B4</f>
        <v>HARM.01</v>
      </c>
      <c r="C4" s="2" t="str">
        <f>+SAP!C4</f>
        <v>MODULO HONOR AREQUIPA</v>
      </c>
      <c r="D4" s="6">
        <f>+SAP!D4</f>
        <v>608</v>
      </c>
      <c r="E4" s="44">
        <f>+SAP!E4</f>
        <v>0</v>
      </c>
      <c r="F4" s="44">
        <f>+SAP!F4</f>
        <v>459</v>
      </c>
      <c r="G4" s="23">
        <f>+F4-EFECTIVO!C11</f>
        <v>0</v>
      </c>
      <c r="H4" s="44">
        <f>+SAP!G4</f>
        <v>149</v>
      </c>
      <c r="I4" s="23">
        <f>+H4-MC!AP4</f>
        <v>0</v>
      </c>
      <c r="J4" s="44">
        <f>+SAP!H4</f>
        <v>0</v>
      </c>
      <c r="K4" s="23">
        <f>+J4-AMEX!AG4</f>
        <v>0</v>
      </c>
      <c r="L4" s="44">
        <f>+SAP!I4</f>
        <v>0</v>
      </c>
      <c r="M4" s="23">
        <f>+L4-DINNERS!AG4</f>
        <v>0</v>
      </c>
      <c r="N4" s="44">
        <f>+SAP!J4</f>
        <v>0</v>
      </c>
      <c r="O4" s="44">
        <f>+SAP!K4</f>
        <v>0</v>
      </c>
      <c r="P4" s="44">
        <f>+SAP!L4</f>
        <v>0</v>
      </c>
      <c r="Q4" s="44">
        <f>+SAP!M4</f>
        <v>0</v>
      </c>
      <c r="R4" s="44">
        <f>+SAP!N4</f>
        <v>0</v>
      </c>
      <c r="S4" s="44">
        <f>+SAP!O4</f>
        <v>0</v>
      </c>
      <c r="T4" s="44">
        <f>+SAP!P4</f>
        <v>0</v>
      </c>
      <c r="U4" s="44">
        <f>+SAP!Q4</f>
        <v>0</v>
      </c>
      <c r="V4" s="44">
        <f>+SAP!R4</f>
        <v>0</v>
      </c>
      <c r="W4" s="44">
        <f>+SAP!S4</f>
        <v>0</v>
      </c>
      <c r="X4" s="44">
        <f>+SAP!T4</f>
        <v>0</v>
      </c>
      <c r="Y4" s="44">
        <f>+SAP!U4</f>
        <v>0</v>
      </c>
      <c r="Z4" s="44">
        <f>+SAP!V4</f>
        <v>0</v>
      </c>
      <c r="AA4" s="44">
        <f>+SAP!W4</f>
        <v>0</v>
      </c>
      <c r="AB4" s="44">
        <f>+SAP!X4</f>
        <v>0</v>
      </c>
      <c r="AC4" s="44">
        <f>+SAP!Y4</f>
        <v>0</v>
      </c>
      <c r="AD4" s="44">
        <f>+SAP!Z4</f>
        <v>0</v>
      </c>
    </row>
    <row r="5" spans="1:30" x14ac:dyDescent="0.25">
      <c r="A5" s="2">
        <f>+SAP!A5</f>
        <v>46116</v>
      </c>
      <c r="B5" s="2" t="str">
        <f>+SAP!B5</f>
        <v>HARM.01</v>
      </c>
      <c r="C5" s="2" t="str">
        <f>+SAP!C5</f>
        <v>MODULO HONOR AREQUIPA</v>
      </c>
      <c r="D5" s="6">
        <f>+SAP!D5</f>
        <v>10380</v>
      </c>
      <c r="E5" s="44">
        <f>+SAP!E5</f>
        <v>0</v>
      </c>
      <c r="F5" s="44">
        <f>+SAP!F5</f>
        <v>89</v>
      </c>
      <c r="G5" s="23">
        <f>+F5-EFECTIVO!C12</f>
        <v>0</v>
      </c>
      <c r="H5" s="44">
        <f>+SAP!G5</f>
        <v>10291</v>
      </c>
      <c r="I5" s="23">
        <f>+H5-MC!AP5</f>
        <v>0</v>
      </c>
      <c r="J5" s="44">
        <f>+SAP!H5</f>
        <v>0</v>
      </c>
      <c r="K5" s="23">
        <f>+J5-AMEX!AG5</f>
        <v>0</v>
      </c>
      <c r="L5" s="44">
        <f>+SAP!I5</f>
        <v>0</v>
      </c>
      <c r="M5" s="23">
        <f>+L5-DINNERS!AG5</f>
        <v>0</v>
      </c>
      <c r="N5" s="44">
        <f>+SAP!J5</f>
        <v>0</v>
      </c>
      <c r="O5" s="44">
        <f>+SAP!K5</f>
        <v>0</v>
      </c>
      <c r="P5" s="44">
        <f>+SAP!L5</f>
        <v>0</v>
      </c>
      <c r="Q5" s="44">
        <f>+SAP!M5</f>
        <v>0</v>
      </c>
      <c r="R5" s="44">
        <f>+SAP!N5</f>
        <v>0</v>
      </c>
      <c r="S5" s="44">
        <f>+SAP!O5</f>
        <v>0</v>
      </c>
      <c r="T5" s="44">
        <f>+SAP!P5</f>
        <v>0</v>
      </c>
      <c r="U5" s="44">
        <f>+SAP!Q5</f>
        <v>0</v>
      </c>
      <c r="V5" s="44">
        <f>+SAP!R5</f>
        <v>0</v>
      </c>
      <c r="W5" s="44">
        <f>+SAP!S5</f>
        <v>0</v>
      </c>
      <c r="X5" s="44">
        <f>+SAP!T5</f>
        <v>0</v>
      </c>
      <c r="Y5" s="44">
        <f>+SAP!U5</f>
        <v>0</v>
      </c>
      <c r="Z5" s="44">
        <f>+SAP!V5</f>
        <v>0</v>
      </c>
      <c r="AA5" s="44">
        <f>+SAP!W5</f>
        <v>0</v>
      </c>
      <c r="AB5" s="44">
        <f>+SAP!X5</f>
        <v>0</v>
      </c>
      <c r="AC5" s="44">
        <f>+SAP!Y5</f>
        <v>0</v>
      </c>
      <c r="AD5" s="44">
        <f>+SAP!Z5</f>
        <v>0</v>
      </c>
    </row>
    <row r="6" spans="1:30" x14ac:dyDescent="0.25">
      <c r="A6" s="2">
        <f>+SAP!A6</f>
        <v>46117</v>
      </c>
      <c r="B6" s="2" t="str">
        <f>+SAP!B6</f>
        <v>HARM.01</v>
      </c>
      <c r="C6" s="2" t="str">
        <f>+SAP!C6</f>
        <v>MODULO HONOR AREQUIPA</v>
      </c>
      <c r="D6" s="6">
        <f>+SAP!D6</f>
        <v>3166</v>
      </c>
      <c r="E6" s="44">
        <f>+SAP!E6</f>
        <v>0</v>
      </c>
      <c r="F6" s="44">
        <f>+SAP!F6</f>
        <v>1000</v>
      </c>
      <c r="G6" s="23">
        <f>+F6-EFECTIVO!C13</f>
        <v>0</v>
      </c>
      <c r="H6" s="44">
        <f>+SAP!G6</f>
        <v>2166</v>
      </c>
      <c r="I6" s="23">
        <f>+H6-MC!AP6</f>
        <v>0</v>
      </c>
      <c r="J6" s="44">
        <f>+SAP!H6</f>
        <v>0</v>
      </c>
      <c r="K6" s="23">
        <f>+J6-AMEX!AG6</f>
        <v>0</v>
      </c>
      <c r="L6" s="44">
        <f>+SAP!I6</f>
        <v>0</v>
      </c>
      <c r="M6" s="23">
        <f>+L6-DINNERS!AG6</f>
        <v>0</v>
      </c>
      <c r="N6" s="44">
        <f>+SAP!J6</f>
        <v>0</v>
      </c>
      <c r="O6" s="44">
        <f>+SAP!K6</f>
        <v>0</v>
      </c>
      <c r="P6" s="44">
        <f>+SAP!L6</f>
        <v>0</v>
      </c>
      <c r="Q6" s="44">
        <f>+SAP!M6</f>
        <v>0</v>
      </c>
      <c r="R6" s="44">
        <f>+SAP!N6</f>
        <v>0</v>
      </c>
      <c r="S6" s="44">
        <f>+SAP!O6</f>
        <v>0</v>
      </c>
      <c r="T6" s="44">
        <f>+SAP!P6</f>
        <v>0</v>
      </c>
      <c r="U6" s="44">
        <f>+SAP!Q6</f>
        <v>0</v>
      </c>
      <c r="V6" s="44">
        <f>+SAP!R6</f>
        <v>0</v>
      </c>
      <c r="W6" s="44">
        <f>+SAP!S6</f>
        <v>0</v>
      </c>
      <c r="X6" s="44">
        <f>+SAP!T6</f>
        <v>0</v>
      </c>
      <c r="Y6" s="44">
        <f>+SAP!U6</f>
        <v>0</v>
      </c>
      <c r="Z6" s="44">
        <f>+SAP!V6</f>
        <v>0</v>
      </c>
      <c r="AA6" s="44">
        <f>+SAP!W6</f>
        <v>0</v>
      </c>
      <c r="AB6" s="44">
        <f>+SAP!X6</f>
        <v>0</v>
      </c>
      <c r="AC6" s="44">
        <f>+SAP!Y6</f>
        <v>0</v>
      </c>
      <c r="AD6" s="44">
        <f>+SAP!Z6</f>
        <v>0</v>
      </c>
    </row>
    <row r="7" spans="1:30" x14ac:dyDescent="0.25">
      <c r="A7" s="2">
        <f>+SAP!A7</f>
        <v>46118</v>
      </c>
      <c r="B7" s="2" t="str">
        <f>+SAP!B7</f>
        <v>HARM.01</v>
      </c>
      <c r="C7" s="2" t="str">
        <f>+SAP!C7</f>
        <v>MODULO HONOR AREQUIPA</v>
      </c>
      <c r="D7" s="6">
        <f>+SAP!D7</f>
        <v>3475</v>
      </c>
      <c r="E7" s="44">
        <f>+SAP!E7</f>
        <v>0</v>
      </c>
      <c r="F7" s="44">
        <f>+SAP!F7</f>
        <v>629</v>
      </c>
      <c r="G7" s="23">
        <f>+F7-EFECTIVO!C14</f>
        <v>0</v>
      </c>
      <c r="H7" s="44">
        <f>+SAP!G7</f>
        <v>2846</v>
      </c>
      <c r="I7" s="23">
        <f>+H7-MC!AP7</f>
        <v>0</v>
      </c>
      <c r="J7" s="44">
        <f>+SAP!H7</f>
        <v>0</v>
      </c>
      <c r="K7" s="23">
        <f>+J7-AMEX!AG7</f>
        <v>0</v>
      </c>
      <c r="L7" s="44">
        <f>+SAP!I7</f>
        <v>0</v>
      </c>
      <c r="M7" s="23">
        <f>+L7-DINNERS!AG7</f>
        <v>0</v>
      </c>
      <c r="N7" s="44">
        <f>+SAP!J7</f>
        <v>0</v>
      </c>
      <c r="O7" s="44">
        <f>+SAP!K7</f>
        <v>0</v>
      </c>
      <c r="P7" s="44">
        <f>+SAP!L7</f>
        <v>0</v>
      </c>
      <c r="Q7" s="44">
        <f>+SAP!M7</f>
        <v>0</v>
      </c>
      <c r="R7" s="44">
        <f>+SAP!N7</f>
        <v>0</v>
      </c>
      <c r="S7" s="44">
        <f>+SAP!O7</f>
        <v>0</v>
      </c>
      <c r="T7" s="44">
        <f>+SAP!P7</f>
        <v>0</v>
      </c>
      <c r="U7" s="44">
        <f>+SAP!Q7</f>
        <v>0</v>
      </c>
      <c r="V7" s="44">
        <f>+SAP!R7</f>
        <v>0</v>
      </c>
      <c r="W7" s="44">
        <f>+SAP!S7</f>
        <v>0</v>
      </c>
      <c r="X7" s="44">
        <f>+SAP!T7</f>
        <v>0</v>
      </c>
      <c r="Y7" s="44">
        <f>+SAP!U7</f>
        <v>0</v>
      </c>
      <c r="Z7" s="44">
        <f>+SAP!V7</f>
        <v>0</v>
      </c>
      <c r="AA7" s="44">
        <f>+SAP!W7</f>
        <v>0</v>
      </c>
      <c r="AB7" s="44">
        <f>+SAP!X7</f>
        <v>0</v>
      </c>
      <c r="AC7" s="44">
        <f>+SAP!Y7</f>
        <v>0</v>
      </c>
      <c r="AD7" s="44">
        <f>+SAP!Z7</f>
        <v>0</v>
      </c>
    </row>
    <row r="8" spans="1:30" x14ac:dyDescent="0.25">
      <c r="A8" s="2">
        <f>+SAP!A8</f>
        <v>46119</v>
      </c>
      <c r="B8" s="2" t="str">
        <f>+SAP!B8</f>
        <v>HARM.01</v>
      </c>
      <c r="C8" s="2" t="str">
        <f>+SAP!C8</f>
        <v>MODULO HONOR AREQUIPA</v>
      </c>
      <c r="D8" s="6">
        <f>+SAP!D8</f>
        <v>3366</v>
      </c>
      <c r="E8" s="44">
        <f>+SAP!E8</f>
        <v>0</v>
      </c>
      <c r="F8" s="44">
        <f>+SAP!F8</f>
        <v>1079</v>
      </c>
      <c r="G8" s="23">
        <f>+F8-EFECTIVO!C15</f>
        <v>0</v>
      </c>
      <c r="H8" s="44">
        <f>+SAP!G8</f>
        <v>2287</v>
      </c>
      <c r="I8" s="23">
        <f>+H8-MC!AP8</f>
        <v>0</v>
      </c>
      <c r="J8" s="44">
        <f>+SAP!H8</f>
        <v>0</v>
      </c>
      <c r="K8" s="23">
        <f>+J8-AMEX!AG8</f>
        <v>0</v>
      </c>
      <c r="L8" s="44">
        <f>+SAP!I8</f>
        <v>0</v>
      </c>
      <c r="M8" s="23">
        <f>+L8-DINNERS!AG8</f>
        <v>0</v>
      </c>
      <c r="N8" s="44">
        <f>+SAP!J8</f>
        <v>0</v>
      </c>
      <c r="O8" s="44">
        <f>+SAP!K8</f>
        <v>0</v>
      </c>
      <c r="P8" s="44">
        <f>+SAP!L8</f>
        <v>0</v>
      </c>
      <c r="Q8" s="44">
        <f>+SAP!M8</f>
        <v>0</v>
      </c>
      <c r="R8" s="44">
        <f>+SAP!N8</f>
        <v>0</v>
      </c>
      <c r="S8" s="44">
        <f>+SAP!O8</f>
        <v>0</v>
      </c>
      <c r="T8" s="44">
        <f>+SAP!P8</f>
        <v>0</v>
      </c>
      <c r="U8" s="44">
        <f>+SAP!Q8</f>
        <v>0</v>
      </c>
      <c r="V8" s="44">
        <f>+SAP!R8</f>
        <v>0</v>
      </c>
      <c r="W8" s="44">
        <f>+SAP!S8</f>
        <v>0</v>
      </c>
      <c r="X8" s="44">
        <f>+SAP!T8</f>
        <v>0</v>
      </c>
      <c r="Y8" s="44">
        <f>+SAP!U8</f>
        <v>0</v>
      </c>
      <c r="Z8" s="44">
        <f>+SAP!V8</f>
        <v>0</v>
      </c>
      <c r="AA8" s="44">
        <f>+SAP!W8</f>
        <v>0</v>
      </c>
      <c r="AB8" s="44">
        <f>+SAP!X8</f>
        <v>0</v>
      </c>
      <c r="AC8" s="44">
        <f>+SAP!Y8</f>
        <v>0</v>
      </c>
      <c r="AD8" s="44">
        <f>+SAP!Z8</f>
        <v>0</v>
      </c>
    </row>
    <row r="9" spans="1:30" x14ac:dyDescent="0.25">
      <c r="A9" s="2">
        <f>+SAP!A9</f>
        <v>46120</v>
      </c>
      <c r="B9" s="2" t="str">
        <f>+SAP!B9</f>
        <v>HARM.01</v>
      </c>
      <c r="C9" s="2" t="str">
        <f>+SAP!C9</f>
        <v>MODULO HONOR AREQUIPA</v>
      </c>
      <c r="D9" s="6">
        <f>+SAP!D9</f>
        <v>1524</v>
      </c>
      <c r="E9" s="44">
        <f>+SAP!E9</f>
        <v>0</v>
      </c>
      <c r="F9" s="44">
        <f>+SAP!F9</f>
        <v>1027</v>
      </c>
      <c r="G9" s="23">
        <f>+F9-EFECTIVO!C16</f>
        <v>0</v>
      </c>
      <c r="H9" s="44">
        <f>+SAP!G9</f>
        <v>355.25</v>
      </c>
      <c r="I9" s="23">
        <f>+H9-MC!AP9</f>
        <v>0</v>
      </c>
      <c r="J9" s="44">
        <f>+SAP!H9</f>
        <v>0</v>
      </c>
      <c r="K9" s="23">
        <f>+J9-AMEX!AG9</f>
        <v>0</v>
      </c>
      <c r="L9" s="44">
        <f>+SAP!I9</f>
        <v>0</v>
      </c>
      <c r="M9" s="23">
        <f>+L9-DINNERS!AG9</f>
        <v>0</v>
      </c>
      <c r="N9" s="44">
        <f>+SAP!J9</f>
        <v>0</v>
      </c>
      <c r="O9" s="44">
        <f>+SAP!K9</f>
        <v>0</v>
      </c>
      <c r="P9" s="44">
        <f>+SAP!L9</f>
        <v>0</v>
      </c>
      <c r="Q9" s="44">
        <f>+SAP!M9</f>
        <v>0</v>
      </c>
      <c r="R9" s="44">
        <f>+SAP!N9</f>
        <v>0</v>
      </c>
      <c r="S9" s="44">
        <f>+SAP!O9</f>
        <v>0</v>
      </c>
      <c r="T9" s="44">
        <f>+SAP!P9</f>
        <v>0</v>
      </c>
      <c r="U9" s="44">
        <f>+SAP!Q9</f>
        <v>0</v>
      </c>
      <c r="V9" s="44">
        <f>+SAP!R9</f>
        <v>0</v>
      </c>
      <c r="W9" s="44">
        <f>+SAP!S9</f>
        <v>0</v>
      </c>
      <c r="X9" s="44">
        <f>+SAP!T9</f>
        <v>0</v>
      </c>
      <c r="Y9" s="44">
        <f>+SAP!U9</f>
        <v>0</v>
      </c>
      <c r="Z9" s="44">
        <f>+SAP!V9</f>
        <v>141.75</v>
      </c>
      <c r="AA9" s="44">
        <f>+SAP!W9</f>
        <v>0</v>
      </c>
      <c r="AB9" s="44">
        <f>+SAP!X9</f>
        <v>0</v>
      </c>
      <c r="AC9" s="44">
        <f>+SAP!Y9</f>
        <v>0</v>
      </c>
      <c r="AD9" s="44">
        <f>+SAP!Z9</f>
        <v>0</v>
      </c>
    </row>
    <row r="10" spans="1:30" x14ac:dyDescent="0.25">
      <c r="A10" s="2">
        <f>+SAP!A10</f>
        <v>46121</v>
      </c>
      <c r="B10" s="2" t="str">
        <f>+SAP!B10</f>
        <v>HARM.01</v>
      </c>
      <c r="C10" s="2" t="str">
        <f>+SAP!C10</f>
        <v>MODULO HONOR AREQUIPA</v>
      </c>
      <c r="D10" s="6">
        <f>+SAP!D10</f>
        <v>2727</v>
      </c>
      <c r="E10" s="44">
        <f>+SAP!E10</f>
        <v>0</v>
      </c>
      <c r="F10" s="44">
        <f>+SAP!F10</f>
        <v>949</v>
      </c>
      <c r="G10" s="23">
        <f>+F10-EFECTIVO!C17</f>
        <v>0</v>
      </c>
      <c r="H10" s="44">
        <f>+SAP!G10</f>
        <v>1778</v>
      </c>
      <c r="I10" s="23">
        <f>+H10-MC!AP10</f>
        <v>0</v>
      </c>
      <c r="J10" s="44">
        <f>+SAP!H10</f>
        <v>0</v>
      </c>
      <c r="K10" s="23">
        <f>+J10-AMEX!AG10</f>
        <v>0</v>
      </c>
      <c r="L10" s="44">
        <f>+SAP!I10</f>
        <v>0</v>
      </c>
      <c r="M10" s="23">
        <f>+L10-DINNERS!AG10</f>
        <v>0</v>
      </c>
      <c r="N10" s="44">
        <f>+SAP!J10</f>
        <v>0</v>
      </c>
      <c r="O10" s="44">
        <f>+SAP!K10</f>
        <v>0</v>
      </c>
      <c r="P10" s="44">
        <f>+SAP!L10</f>
        <v>0</v>
      </c>
      <c r="Q10" s="44">
        <f>+SAP!M10</f>
        <v>0</v>
      </c>
      <c r="R10" s="44">
        <f>+SAP!N10</f>
        <v>0</v>
      </c>
      <c r="S10" s="44">
        <f>+SAP!O10</f>
        <v>0</v>
      </c>
      <c r="T10" s="44">
        <f>+SAP!P10</f>
        <v>0</v>
      </c>
      <c r="U10" s="44">
        <f>+SAP!Q10</f>
        <v>0</v>
      </c>
      <c r="V10" s="44">
        <f>+SAP!R10</f>
        <v>0</v>
      </c>
      <c r="W10" s="44">
        <f>+SAP!S10</f>
        <v>0</v>
      </c>
      <c r="X10" s="44">
        <f>+SAP!T10</f>
        <v>0</v>
      </c>
      <c r="Y10" s="44">
        <f>+SAP!U10</f>
        <v>0</v>
      </c>
      <c r="Z10" s="44">
        <f>+SAP!V10</f>
        <v>0</v>
      </c>
      <c r="AA10" s="44">
        <f>+SAP!W10</f>
        <v>0</v>
      </c>
      <c r="AB10" s="44">
        <f>+SAP!X10</f>
        <v>0</v>
      </c>
      <c r="AC10" s="44">
        <f>+SAP!Y10</f>
        <v>0</v>
      </c>
      <c r="AD10" s="44">
        <f>+SAP!Z10</f>
        <v>0</v>
      </c>
    </row>
    <row r="11" spans="1:30" x14ac:dyDescent="0.25">
      <c r="A11" s="2">
        <f>+SAP!A11</f>
        <v>46122</v>
      </c>
      <c r="B11" s="2" t="str">
        <f>+SAP!B11</f>
        <v>HARM.01</v>
      </c>
      <c r="C11" s="2" t="str">
        <f>+SAP!C11</f>
        <v>MODULO HONOR AREQUIPA</v>
      </c>
      <c r="D11" s="6">
        <f>+SAP!D11</f>
        <v>4259</v>
      </c>
      <c r="E11" s="44">
        <f>+SAP!E11</f>
        <v>0</v>
      </c>
      <c r="F11" s="44">
        <f>+SAP!F11</f>
        <v>1424</v>
      </c>
      <c r="G11" s="23">
        <f>+F11-EFECTIVO!C18</f>
        <v>0</v>
      </c>
      <c r="H11" s="44">
        <f>+SAP!G11</f>
        <v>2535</v>
      </c>
      <c r="I11" s="23">
        <f>+H11-MC!AP11</f>
        <v>0</v>
      </c>
      <c r="J11" s="44">
        <f>+SAP!H11</f>
        <v>0</v>
      </c>
      <c r="K11" s="23">
        <f>+J11-AMEX!AG11</f>
        <v>0</v>
      </c>
      <c r="L11" s="44">
        <f>+SAP!I11</f>
        <v>0</v>
      </c>
      <c r="M11" s="23">
        <f>+L11-DINNERS!AG11</f>
        <v>0</v>
      </c>
      <c r="N11" s="44">
        <f>+SAP!J11</f>
        <v>0</v>
      </c>
      <c r="O11" s="44">
        <f>+SAP!K11</f>
        <v>0</v>
      </c>
      <c r="P11" s="44">
        <f>+SAP!L11</f>
        <v>0</v>
      </c>
      <c r="Q11" s="44">
        <f>+SAP!M11</f>
        <v>0</v>
      </c>
      <c r="R11" s="44">
        <f>+SAP!N11</f>
        <v>0</v>
      </c>
      <c r="S11" s="44">
        <f>+SAP!O11</f>
        <v>0</v>
      </c>
      <c r="T11" s="44">
        <f>+SAP!P11</f>
        <v>0</v>
      </c>
      <c r="U11" s="44">
        <f>+SAP!Q11</f>
        <v>0</v>
      </c>
      <c r="V11" s="44">
        <f>+SAP!R11</f>
        <v>0</v>
      </c>
      <c r="W11" s="44">
        <f>+SAP!S11</f>
        <v>0</v>
      </c>
      <c r="X11" s="44">
        <f>+SAP!T11</f>
        <v>0</v>
      </c>
      <c r="Y11" s="44">
        <f>+SAP!U11</f>
        <v>0</v>
      </c>
      <c r="Z11" s="44">
        <f>+SAP!V11</f>
        <v>300</v>
      </c>
      <c r="AA11" s="44">
        <f>+SAP!W11</f>
        <v>0</v>
      </c>
      <c r="AB11" s="44">
        <f>+SAP!X11</f>
        <v>0</v>
      </c>
      <c r="AC11" s="44">
        <f>+SAP!Y11</f>
        <v>0</v>
      </c>
      <c r="AD11" s="44">
        <f>+SAP!Z11</f>
        <v>0</v>
      </c>
    </row>
    <row r="12" spans="1:30" x14ac:dyDescent="0.25">
      <c r="A12" s="2">
        <f>+SAP!A12</f>
        <v>46123</v>
      </c>
      <c r="B12" s="2" t="str">
        <f>+SAP!B12</f>
        <v>HARM.01</v>
      </c>
      <c r="C12" s="2" t="str">
        <f>+SAP!C12</f>
        <v>MODULO HONOR AREQUIPA</v>
      </c>
      <c r="D12" s="6">
        <f>+SAP!D12</f>
        <v>5963</v>
      </c>
      <c r="E12" s="44">
        <f>+SAP!E12</f>
        <v>0</v>
      </c>
      <c r="F12" s="44">
        <f>+SAP!F12</f>
        <v>1238</v>
      </c>
      <c r="G12" s="23">
        <f>+F12-EFECTIVO!C19</f>
        <v>0</v>
      </c>
      <c r="H12" s="44">
        <f>+SAP!G12</f>
        <v>3316.9</v>
      </c>
      <c r="I12" s="23">
        <f>+H12-MC!AP12</f>
        <v>0</v>
      </c>
      <c r="J12" s="44">
        <f>+SAP!H12</f>
        <v>0</v>
      </c>
      <c r="K12" s="23">
        <f>+J12-AMEX!AG12</f>
        <v>0</v>
      </c>
      <c r="L12" s="44">
        <f>+SAP!I12</f>
        <v>149</v>
      </c>
      <c r="M12" s="23">
        <f>+L12-DINNERS!AG12</f>
        <v>0</v>
      </c>
      <c r="N12" s="44">
        <f>+SAP!J12</f>
        <v>0</v>
      </c>
      <c r="O12" s="44">
        <f>+SAP!K12</f>
        <v>0</v>
      </c>
      <c r="P12" s="44">
        <f>+SAP!L12</f>
        <v>0</v>
      </c>
      <c r="Q12" s="44">
        <f>+SAP!M12</f>
        <v>0</v>
      </c>
      <c r="R12" s="44">
        <f>+SAP!N12</f>
        <v>0</v>
      </c>
      <c r="S12" s="44">
        <f>+SAP!O12</f>
        <v>0</v>
      </c>
      <c r="T12" s="44">
        <f>+SAP!P12</f>
        <v>0</v>
      </c>
      <c r="U12" s="44">
        <f>+SAP!Q12</f>
        <v>0</v>
      </c>
      <c r="V12" s="44">
        <f>+SAP!R12</f>
        <v>0</v>
      </c>
      <c r="W12" s="44">
        <f>+SAP!S12</f>
        <v>0</v>
      </c>
      <c r="X12" s="44">
        <f>+SAP!T12</f>
        <v>0</v>
      </c>
      <c r="Y12" s="44">
        <f>+SAP!U12</f>
        <v>0</v>
      </c>
      <c r="Z12" s="44">
        <f>+SAP!V12</f>
        <v>1259.0999999999999</v>
      </c>
      <c r="AA12" s="44">
        <f>+SAP!W12</f>
        <v>0</v>
      </c>
      <c r="AB12" s="44">
        <f>+SAP!X12</f>
        <v>0</v>
      </c>
      <c r="AC12" s="44">
        <f>+SAP!Y12</f>
        <v>0</v>
      </c>
      <c r="AD12" s="44">
        <f>+SAP!Z12</f>
        <v>0</v>
      </c>
    </row>
    <row r="13" spans="1:30" x14ac:dyDescent="0.25">
      <c r="A13" s="2">
        <f>+SAP!A13</f>
        <v>46124</v>
      </c>
      <c r="B13" s="2" t="str">
        <f>+SAP!B13</f>
        <v>HARM.01</v>
      </c>
      <c r="C13" s="2" t="str">
        <f>+SAP!C13</f>
        <v>MODULO HONOR AREQUIPA</v>
      </c>
      <c r="D13" s="6">
        <f>+SAP!D13</f>
        <v>7632</v>
      </c>
      <c r="E13" s="44">
        <f>+SAP!E13</f>
        <v>0</v>
      </c>
      <c r="F13" s="44">
        <f>+SAP!F13</f>
        <v>1279</v>
      </c>
      <c r="G13" s="23">
        <f>+F13-EFECTIVO!C20</f>
        <v>0</v>
      </c>
      <c r="H13" s="44">
        <f>+SAP!G13</f>
        <v>6353</v>
      </c>
      <c r="I13" s="23">
        <f>+H13-MC!AP13</f>
        <v>0</v>
      </c>
      <c r="J13" s="44">
        <f>+SAP!H13</f>
        <v>0</v>
      </c>
      <c r="K13" s="23">
        <f>+J13-AMEX!AG13</f>
        <v>0</v>
      </c>
      <c r="L13" s="44">
        <f>+SAP!I13</f>
        <v>0</v>
      </c>
      <c r="M13" s="23">
        <f>+L13-DINNERS!AG13</f>
        <v>0</v>
      </c>
      <c r="N13" s="44">
        <f>+SAP!J13</f>
        <v>0</v>
      </c>
      <c r="O13" s="44">
        <f>+SAP!K13</f>
        <v>0</v>
      </c>
      <c r="P13" s="44">
        <f>+SAP!L13</f>
        <v>0</v>
      </c>
      <c r="Q13" s="44">
        <f>+SAP!M13</f>
        <v>0</v>
      </c>
      <c r="R13" s="44">
        <f>+SAP!N13</f>
        <v>0</v>
      </c>
      <c r="S13" s="44">
        <f>+SAP!O13</f>
        <v>0</v>
      </c>
      <c r="T13" s="44">
        <f>+SAP!P13</f>
        <v>0</v>
      </c>
      <c r="U13" s="44">
        <f>+SAP!Q13</f>
        <v>0</v>
      </c>
      <c r="V13" s="44">
        <f>+SAP!R13</f>
        <v>0</v>
      </c>
      <c r="W13" s="44">
        <f>+SAP!S13</f>
        <v>0</v>
      </c>
      <c r="X13" s="44">
        <f>+SAP!T13</f>
        <v>0</v>
      </c>
      <c r="Y13" s="44">
        <f>+SAP!U13</f>
        <v>0</v>
      </c>
      <c r="Z13" s="44">
        <f>+SAP!V13</f>
        <v>0</v>
      </c>
      <c r="AA13" s="44">
        <f>+SAP!W13</f>
        <v>0</v>
      </c>
      <c r="AB13" s="44">
        <f>+SAP!X13</f>
        <v>0</v>
      </c>
      <c r="AC13" s="44">
        <f>+SAP!Y13</f>
        <v>0</v>
      </c>
      <c r="AD13" s="44">
        <f>+SAP!Z13</f>
        <v>0</v>
      </c>
    </row>
    <row r="14" spans="1:30" x14ac:dyDescent="0.25">
      <c r="A14" s="2">
        <f>+SAP!A14</f>
        <v>46125</v>
      </c>
      <c r="B14" s="2" t="str">
        <f>+SAP!B14</f>
        <v>HARM.01</v>
      </c>
      <c r="C14" s="2" t="str">
        <f>+SAP!C14</f>
        <v>MODULO HONOR AREQUIPA</v>
      </c>
      <c r="D14" s="6">
        <f>+SAP!D14</f>
        <v>6903</v>
      </c>
      <c r="E14" s="44">
        <f>+SAP!E14</f>
        <v>0</v>
      </c>
      <c r="F14" s="44">
        <f>+SAP!F14</f>
        <v>229</v>
      </c>
      <c r="G14" s="23">
        <f>+F14-EFECTIVO!C21</f>
        <v>0</v>
      </c>
      <c r="H14" s="44">
        <f>+SAP!G14</f>
        <v>6374</v>
      </c>
      <c r="I14" s="23">
        <f>+H14-MC!AP14</f>
        <v>0</v>
      </c>
      <c r="J14" s="44">
        <f>+SAP!H14</f>
        <v>0</v>
      </c>
      <c r="K14" s="23">
        <f>+J14-AMEX!AG14</f>
        <v>0</v>
      </c>
      <c r="L14" s="44">
        <f>+SAP!I14</f>
        <v>0</v>
      </c>
      <c r="M14" s="23">
        <f>+L14-DINNERS!AG14</f>
        <v>0</v>
      </c>
      <c r="N14" s="44">
        <f>+SAP!J14</f>
        <v>0</v>
      </c>
      <c r="O14" s="44">
        <f>+SAP!K14</f>
        <v>0</v>
      </c>
      <c r="P14" s="44">
        <f>+SAP!L14</f>
        <v>0</v>
      </c>
      <c r="Q14" s="44">
        <f>+SAP!M14</f>
        <v>0</v>
      </c>
      <c r="R14" s="44">
        <f>+SAP!N14</f>
        <v>0</v>
      </c>
      <c r="S14" s="44">
        <f>+SAP!O14</f>
        <v>0</v>
      </c>
      <c r="T14" s="44">
        <f>+SAP!P14</f>
        <v>0</v>
      </c>
      <c r="U14" s="44">
        <f>+SAP!Q14</f>
        <v>0</v>
      </c>
      <c r="V14" s="44">
        <f>+SAP!R14</f>
        <v>0</v>
      </c>
      <c r="W14" s="44">
        <f>+SAP!S14</f>
        <v>0</v>
      </c>
      <c r="X14" s="44">
        <f>+SAP!T14</f>
        <v>0</v>
      </c>
      <c r="Y14" s="44">
        <f>+SAP!U14</f>
        <v>0</v>
      </c>
      <c r="Z14" s="44">
        <f>+SAP!V14</f>
        <v>300</v>
      </c>
      <c r="AA14" s="44">
        <f>+SAP!W14</f>
        <v>0</v>
      </c>
      <c r="AB14" s="44">
        <f>+SAP!X14</f>
        <v>0</v>
      </c>
      <c r="AC14" s="44">
        <f>+SAP!Y14</f>
        <v>0</v>
      </c>
      <c r="AD14" s="44">
        <f>+SAP!Z14</f>
        <v>0</v>
      </c>
    </row>
    <row r="15" spans="1:30" x14ac:dyDescent="0.25">
      <c r="A15" s="2">
        <f>+SAP!A15</f>
        <v>46126</v>
      </c>
      <c r="B15" s="2" t="str">
        <f>+SAP!B15</f>
        <v>HARM.01</v>
      </c>
      <c r="C15" s="2" t="str">
        <f>+SAP!C15</f>
        <v>MODULO HONOR AREQUIPA</v>
      </c>
      <c r="D15" s="6">
        <f>+SAP!D15</f>
        <v>2775</v>
      </c>
      <c r="E15" s="44">
        <f>+SAP!E15</f>
        <v>0</v>
      </c>
      <c r="F15" s="44">
        <f>+SAP!F15</f>
        <v>0</v>
      </c>
      <c r="G15" s="23">
        <f>+F15-EFECTIVO!C22</f>
        <v>0</v>
      </c>
      <c r="H15" s="44">
        <f>+SAP!G15</f>
        <v>2775</v>
      </c>
      <c r="I15" s="23">
        <f>+H15-MC!AP15</f>
        <v>0</v>
      </c>
      <c r="J15" s="44">
        <f>+SAP!H15</f>
        <v>0</v>
      </c>
      <c r="K15" s="23">
        <f>+J15-AMEX!AG15</f>
        <v>0</v>
      </c>
      <c r="L15" s="44">
        <f>+SAP!I15</f>
        <v>0</v>
      </c>
      <c r="M15" s="23">
        <f>+L15-DINNERS!AG15</f>
        <v>0</v>
      </c>
      <c r="N15" s="44">
        <f>+SAP!J15</f>
        <v>0</v>
      </c>
      <c r="O15" s="44">
        <f>+SAP!K15</f>
        <v>0</v>
      </c>
      <c r="P15" s="44">
        <f>+SAP!L15</f>
        <v>0</v>
      </c>
      <c r="Q15" s="44">
        <f>+SAP!M15</f>
        <v>0</v>
      </c>
      <c r="R15" s="44">
        <f>+SAP!N15</f>
        <v>0</v>
      </c>
      <c r="S15" s="44">
        <f>+SAP!O15</f>
        <v>0</v>
      </c>
      <c r="T15" s="44">
        <f>+SAP!P15</f>
        <v>0</v>
      </c>
      <c r="U15" s="44">
        <f>+SAP!Q15</f>
        <v>0</v>
      </c>
      <c r="V15" s="44">
        <f>+SAP!R15</f>
        <v>0</v>
      </c>
      <c r="W15" s="44">
        <f>+SAP!S15</f>
        <v>0</v>
      </c>
      <c r="X15" s="44">
        <f>+SAP!T15</f>
        <v>0</v>
      </c>
      <c r="Y15" s="44">
        <f>+SAP!U15</f>
        <v>0</v>
      </c>
      <c r="Z15" s="44">
        <f>+SAP!V15</f>
        <v>0</v>
      </c>
      <c r="AA15" s="44">
        <f>+SAP!W15</f>
        <v>0</v>
      </c>
      <c r="AB15" s="44">
        <f>+SAP!X15</f>
        <v>0</v>
      </c>
      <c r="AC15" s="44">
        <f>+SAP!Y15</f>
        <v>0</v>
      </c>
      <c r="AD15" s="44">
        <f>+SAP!Z15</f>
        <v>0</v>
      </c>
    </row>
    <row r="16" spans="1:30" x14ac:dyDescent="0.25">
      <c r="A16" s="2">
        <f>+SAP!A16</f>
        <v>46127</v>
      </c>
      <c r="B16" s="2" t="str">
        <f>+SAP!B16</f>
        <v>HARM.01</v>
      </c>
      <c r="C16" s="2" t="str">
        <f>+SAP!C16</f>
        <v>MODULO HONOR AREQUIPA</v>
      </c>
      <c r="D16" s="6">
        <f>+SAP!D16</f>
        <v>4196</v>
      </c>
      <c r="E16" s="44">
        <f>+SAP!E16</f>
        <v>0</v>
      </c>
      <c r="F16" s="44">
        <f>+SAP!F16</f>
        <v>52.9</v>
      </c>
      <c r="G16" s="23">
        <f>+F16-EFECTIVO!C23</f>
        <v>0</v>
      </c>
      <c r="H16" s="44">
        <f>+SAP!G16</f>
        <v>2047.9</v>
      </c>
      <c r="I16" s="23">
        <f>+H16-MC!AP16</f>
        <v>0</v>
      </c>
      <c r="J16" s="44">
        <f>+SAP!H16</f>
        <v>0</v>
      </c>
      <c r="K16" s="23">
        <f>+J16-AMEX!AG16</f>
        <v>0</v>
      </c>
      <c r="L16" s="44">
        <f>+SAP!I16</f>
        <v>0</v>
      </c>
      <c r="M16" s="23">
        <f>+L16-DINNERS!AG16</f>
        <v>0</v>
      </c>
      <c r="N16" s="44">
        <f>+SAP!J16</f>
        <v>0</v>
      </c>
      <c r="O16" s="44">
        <f>+SAP!K16</f>
        <v>0</v>
      </c>
      <c r="P16" s="44">
        <f>+SAP!L16</f>
        <v>0</v>
      </c>
      <c r="Q16" s="44">
        <f>+SAP!M16</f>
        <v>0</v>
      </c>
      <c r="R16" s="44">
        <f>+SAP!N16</f>
        <v>0</v>
      </c>
      <c r="S16" s="44">
        <f>+SAP!O16</f>
        <v>0</v>
      </c>
      <c r="T16" s="44">
        <f>+SAP!P16</f>
        <v>0</v>
      </c>
      <c r="U16" s="44">
        <f>+SAP!Q16</f>
        <v>0</v>
      </c>
      <c r="V16" s="44">
        <f>+SAP!R16</f>
        <v>0</v>
      </c>
      <c r="W16" s="44">
        <f>+SAP!S16</f>
        <v>0</v>
      </c>
      <c r="X16" s="44">
        <f>+SAP!T16</f>
        <v>0</v>
      </c>
      <c r="Y16" s="44">
        <f>+SAP!U16</f>
        <v>0</v>
      </c>
      <c r="Z16" s="44">
        <f>+SAP!V16</f>
        <v>2095.1999999999998</v>
      </c>
      <c r="AA16" s="44">
        <f>+SAP!W16</f>
        <v>0</v>
      </c>
      <c r="AB16" s="44">
        <f>+SAP!X16</f>
        <v>0</v>
      </c>
      <c r="AC16" s="44">
        <f>+SAP!Y16</f>
        <v>0</v>
      </c>
      <c r="AD16" s="44">
        <f>+SAP!Z16</f>
        <v>0</v>
      </c>
    </row>
    <row r="17" spans="1:30" x14ac:dyDescent="0.25">
      <c r="A17" s="2">
        <f>+SAP!A17</f>
        <v>46128</v>
      </c>
      <c r="B17" s="2" t="str">
        <f>+SAP!B17</f>
        <v>HARM.01</v>
      </c>
      <c r="C17" s="2" t="str">
        <f>+SAP!C17</f>
        <v>MODULO HONOR AREQUIPA</v>
      </c>
      <c r="D17" s="6">
        <f>+SAP!D17</f>
        <v>4334</v>
      </c>
      <c r="E17" s="44">
        <f>+SAP!E17</f>
        <v>0</v>
      </c>
      <c r="F17" s="44">
        <f>+SAP!F17</f>
        <v>125.8</v>
      </c>
      <c r="G17" s="23">
        <f>+F17-EFECTIVO!C24</f>
        <v>0</v>
      </c>
      <c r="H17" s="44">
        <f>+SAP!G17</f>
        <v>3705</v>
      </c>
      <c r="I17" s="23">
        <f>+H17-MC!AP17</f>
        <v>0</v>
      </c>
      <c r="J17" s="44">
        <f>+SAP!H17</f>
        <v>0</v>
      </c>
      <c r="K17" s="23">
        <f>+J17-AMEX!AG17</f>
        <v>0</v>
      </c>
      <c r="L17" s="44">
        <f>+SAP!I17</f>
        <v>0</v>
      </c>
      <c r="M17" s="23">
        <f>+L17-DINNERS!AG17</f>
        <v>0</v>
      </c>
      <c r="N17" s="44">
        <f>+SAP!J17</f>
        <v>0</v>
      </c>
      <c r="O17" s="44">
        <f>+SAP!K17</f>
        <v>0</v>
      </c>
      <c r="P17" s="44">
        <f>+SAP!L17</f>
        <v>0</v>
      </c>
      <c r="Q17" s="44">
        <f>+SAP!M17</f>
        <v>0</v>
      </c>
      <c r="R17" s="44">
        <f>+SAP!N17</f>
        <v>0</v>
      </c>
      <c r="S17" s="44">
        <f>+SAP!O17</f>
        <v>0</v>
      </c>
      <c r="T17" s="44">
        <f>+SAP!P17</f>
        <v>0</v>
      </c>
      <c r="U17" s="44">
        <f>+SAP!Q17</f>
        <v>0</v>
      </c>
      <c r="V17" s="44">
        <f>+SAP!R17</f>
        <v>0</v>
      </c>
      <c r="W17" s="44">
        <f>+SAP!S17</f>
        <v>0</v>
      </c>
      <c r="X17" s="44">
        <f>+SAP!T17</f>
        <v>0</v>
      </c>
      <c r="Y17" s="44">
        <f>+SAP!U17</f>
        <v>0</v>
      </c>
      <c r="Z17" s="44">
        <f>+SAP!V17</f>
        <v>503.2</v>
      </c>
      <c r="AA17" s="44">
        <f>+SAP!W17</f>
        <v>0</v>
      </c>
      <c r="AB17" s="44">
        <f>+SAP!X17</f>
        <v>0</v>
      </c>
      <c r="AC17" s="44">
        <f>+SAP!Y17</f>
        <v>0</v>
      </c>
      <c r="AD17" s="44">
        <f>+SAP!Z17</f>
        <v>0</v>
      </c>
    </row>
    <row r="18" spans="1:30" x14ac:dyDescent="0.25">
      <c r="A18" s="2">
        <f>+SAP!A18</f>
        <v>46129</v>
      </c>
      <c r="B18" s="2" t="str">
        <f>+SAP!B18</f>
        <v>HARM.01</v>
      </c>
      <c r="C18" s="2" t="str">
        <f>+SAP!C18</f>
        <v>MODULO HONOR AREQUIPA</v>
      </c>
      <c r="D18" s="6">
        <f>+SAP!D18</f>
        <v>1127</v>
      </c>
      <c r="E18" s="44">
        <f>+SAP!E18</f>
        <v>0</v>
      </c>
      <c r="F18" s="44">
        <f>+SAP!F18</f>
        <v>164.8</v>
      </c>
      <c r="G18" s="23">
        <f>+F18-EFECTIVO!C25</f>
        <v>0</v>
      </c>
      <c r="H18" s="44">
        <f>+SAP!G18</f>
        <v>0</v>
      </c>
      <c r="I18" s="23">
        <f>+H18-MC!AP18</f>
        <v>0</v>
      </c>
      <c r="J18" s="44">
        <f>+SAP!H18</f>
        <v>0</v>
      </c>
      <c r="K18" s="23">
        <f>+J18-AMEX!AG18</f>
        <v>0</v>
      </c>
      <c r="L18" s="44">
        <f>+SAP!I18</f>
        <v>0</v>
      </c>
      <c r="M18" s="23">
        <f>+L18-DINNERS!AG18</f>
        <v>0</v>
      </c>
      <c r="N18" s="44">
        <f>+SAP!J18</f>
        <v>0</v>
      </c>
      <c r="O18" s="44">
        <f>+SAP!K18</f>
        <v>0</v>
      </c>
      <c r="P18" s="44">
        <f>+SAP!L18</f>
        <v>0</v>
      </c>
      <c r="Q18" s="44">
        <f>+SAP!M18</f>
        <v>0</v>
      </c>
      <c r="R18" s="44">
        <f>+SAP!N18</f>
        <v>0</v>
      </c>
      <c r="S18" s="44">
        <f>+SAP!O18</f>
        <v>0</v>
      </c>
      <c r="T18" s="44">
        <f>+SAP!P18</f>
        <v>0</v>
      </c>
      <c r="U18" s="44">
        <f>+SAP!Q18</f>
        <v>0</v>
      </c>
      <c r="V18" s="44">
        <f>+SAP!R18</f>
        <v>0</v>
      </c>
      <c r="W18" s="44">
        <f>+SAP!S18</f>
        <v>0</v>
      </c>
      <c r="X18" s="44">
        <f>+SAP!T18</f>
        <v>0</v>
      </c>
      <c r="Y18" s="44">
        <f>+SAP!U18</f>
        <v>0</v>
      </c>
      <c r="Z18" s="44">
        <f>+SAP!V18</f>
        <v>503.2</v>
      </c>
      <c r="AA18" s="44">
        <f>+SAP!W18</f>
        <v>0</v>
      </c>
      <c r="AB18" s="44">
        <f>+SAP!X18</f>
        <v>459</v>
      </c>
      <c r="AC18" s="44">
        <f>+SAP!Y18</f>
        <v>0</v>
      </c>
      <c r="AD18" s="44">
        <f>+SAP!Z18</f>
        <v>0</v>
      </c>
    </row>
    <row r="19" spans="1:30" x14ac:dyDescent="0.25">
      <c r="A19" s="2">
        <f>+SAP!A19</f>
        <v>46130</v>
      </c>
      <c r="B19" s="2" t="str">
        <f>+SAP!B19</f>
        <v>HARM.01</v>
      </c>
      <c r="C19" s="2" t="str">
        <f>+SAP!C19</f>
        <v>MODULO HONOR AREQUIPA</v>
      </c>
      <c r="D19" s="6">
        <f>+SAP!D19</f>
        <v>5473</v>
      </c>
      <c r="E19" s="44">
        <f>+SAP!E19</f>
        <v>0</v>
      </c>
      <c r="F19" s="44">
        <f>+SAP!F19</f>
        <v>949</v>
      </c>
      <c r="G19" s="23">
        <f>+F19-EFECTIVO!C26</f>
        <v>0</v>
      </c>
      <c r="H19" s="44">
        <f>+SAP!G19</f>
        <v>4524</v>
      </c>
      <c r="I19" s="23">
        <f>+H19-MC!AP19</f>
        <v>0</v>
      </c>
      <c r="J19" s="44">
        <f>+SAP!H19</f>
        <v>0</v>
      </c>
      <c r="K19" s="23">
        <f>+J19-AMEX!AG19</f>
        <v>0</v>
      </c>
      <c r="L19" s="44">
        <f>+SAP!I19</f>
        <v>0</v>
      </c>
      <c r="M19" s="23">
        <f>+L19-DINNERS!AG19</f>
        <v>0</v>
      </c>
      <c r="N19" s="44">
        <f>+SAP!J19</f>
        <v>0</v>
      </c>
      <c r="O19" s="44">
        <f>+SAP!K19</f>
        <v>0</v>
      </c>
      <c r="P19" s="44">
        <f>+SAP!L19</f>
        <v>0</v>
      </c>
      <c r="Q19" s="44">
        <f>+SAP!M19</f>
        <v>0</v>
      </c>
      <c r="R19" s="44">
        <f>+SAP!N19</f>
        <v>0</v>
      </c>
      <c r="S19" s="44">
        <f>+SAP!O19</f>
        <v>0</v>
      </c>
      <c r="T19" s="44">
        <f>+SAP!P19</f>
        <v>0</v>
      </c>
      <c r="U19" s="44">
        <f>+SAP!Q19</f>
        <v>0</v>
      </c>
      <c r="V19" s="44">
        <f>+SAP!R19</f>
        <v>0</v>
      </c>
      <c r="W19" s="44">
        <f>+SAP!S19</f>
        <v>0</v>
      </c>
      <c r="X19" s="44">
        <f>+SAP!T19</f>
        <v>0</v>
      </c>
      <c r="Y19" s="44">
        <f>+SAP!U19</f>
        <v>0</v>
      </c>
      <c r="Z19" s="44">
        <f>+SAP!V19</f>
        <v>0</v>
      </c>
      <c r="AA19" s="44">
        <f>+SAP!W19</f>
        <v>0</v>
      </c>
      <c r="AB19" s="44">
        <f>+SAP!X19</f>
        <v>0</v>
      </c>
      <c r="AC19" s="44">
        <f>+SAP!Y19</f>
        <v>0</v>
      </c>
      <c r="AD19" s="44">
        <f>+SAP!Z19</f>
        <v>0</v>
      </c>
    </row>
    <row r="20" spans="1:30" s="173" customFormat="1" x14ac:dyDescent="0.25">
      <c r="A20" s="174">
        <f>+SAP!A20</f>
        <v>46131</v>
      </c>
      <c r="B20" s="174" t="str">
        <f>+SAP!B20</f>
        <v>HARM.01</v>
      </c>
      <c r="C20" s="174" t="str">
        <f>+SAP!C20</f>
        <v>MODULO HONOR AREQUIPA</v>
      </c>
      <c r="D20" s="178">
        <f>+SAP!D20</f>
        <v>10900</v>
      </c>
      <c r="E20" s="175">
        <f>+SAP!E20</f>
        <v>0</v>
      </c>
      <c r="F20" s="175">
        <f>+SAP!F20</f>
        <v>645.79999999999995</v>
      </c>
      <c r="G20" s="179">
        <f>+F20-EFECTIVO!C27</f>
        <v>0</v>
      </c>
      <c r="H20" s="175">
        <f>+SAP!G20</f>
        <v>6258.8</v>
      </c>
      <c r="I20" s="23">
        <f>+H20-MC!AP20</f>
        <v>0</v>
      </c>
      <c r="J20" s="175">
        <f>+SAP!H20</f>
        <v>0</v>
      </c>
      <c r="K20" s="23">
        <f>+J20-AMEX!AG20</f>
        <v>0</v>
      </c>
      <c r="L20" s="175">
        <f>+SAP!I20</f>
        <v>0</v>
      </c>
      <c r="M20" s="23">
        <f>+L20-DINNERS!AG20</f>
        <v>0</v>
      </c>
      <c r="N20" s="175">
        <f>+SAP!J20</f>
        <v>0</v>
      </c>
      <c r="O20" s="175">
        <f>+SAP!K20</f>
        <v>0</v>
      </c>
      <c r="P20" s="175">
        <f>+SAP!L20</f>
        <v>0</v>
      </c>
      <c r="Q20" s="175">
        <f>+SAP!M20</f>
        <v>0</v>
      </c>
      <c r="R20" s="175">
        <f>+SAP!N20</f>
        <v>0</v>
      </c>
      <c r="S20" s="175">
        <f>+SAP!O20</f>
        <v>0</v>
      </c>
      <c r="T20" s="175">
        <f>+SAP!P20</f>
        <v>0</v>
      </c>
      <c r="U20" s="175">
        <f>+SAP!Q20</f>
        <v>0</v>
      </c>
      <c r="V20" s="175">
        <f>+SAP!R20</f>
        <v>0</v>
      </c>
      <c r="W20" s="175">
        <f>+SAP!S20</f>
        <v>0</v>
      </c>
      <c r="X20" s="175">
        <f>+SAP!T20</f>
        <v>0</v>
      </c>
      <c r="Y20" s="175">
        <f>+SAP!U20</f>
        <v>0</v>
      </c>
      <c r="Z20" s="175">
        <f>+SAP!V20</f>
        <v>3995.4</v>
      </c>
      <c r="AA20" s="175">
        <f>+SAP!W20</f>
        <v>0</v>
      </c>
      <c r="AB20" s="175">
        <f>+SAP!X20</f>
        <v>0</v>
      </c>
      <c r="AC20" s="175">
        <f>+SAP!Y20</f>
        <v>0</v>
      </c>
      <c r="AD20" s="175">
        <f>+SAP!Z20</f>
        <v>0</v>
      </c>
    </row>
    <row r="21" spans="1:30" s="173" customFormat="1" x14ac:dyDescent="0.25">
      <c r="A21" s="174">
        <f>+SAP!A21</f>
        <v>46132</v>
      </c>
      <c r="B21" s="174" t="str">
        <f>+SAP!B21</f>
        <v>HARM.01</v>
      </c>
      <c r="C21" s="174" t="str">
        <f>+SAP!C21</f>
        <v>MODULO HONOR AREQUIPA</v>
      </c>
      <c r="D21" s="178">
        <f>+SAP!D21</f>
        <v>7832.9</v>
      </c>
      <c r="E21" s="175">
        <f>+SAP!E21</f>
        <v>0</v>
      </c>
      <c r="F21" s="175">
        <f>+SAP!F21</f>
        <v>3222.9</v>
      </c>
      <c r="G21" s="179">
        <f>+F21-EFECTIVO!C28</f>
        <v>0</v>
      </c>
      <c r="H21" s="175">
        <f>+SAP!G21</f>
        <v>3035.9</v>
      </c>
      <c r="I21" s="23">
        <f>+H21-MC!AP21</f>
        <v>0</v>
      </c>
      <c r="J21" s="175">
        <f>+SAP!H21</f>
        <v>0</v>
      </c>
      <c r="K21" s="23">
        <f>+J21-AMEX!AG21</f>
        <v>0</v>
      </c>
      <c r="L21" s="175">
        <f>+SAP!I21</f>
        <v>0</v>
      </c>
      <c r="M21" s="23">
        <f>+L21-DINNERS!AG21</f>
        <v>0</v>
      </c>
      <c r="N21" s="175">
        <f>+SAP!J21</f>
        <v>0</v>
      </c>
      <c r="O21" s="175">
        <f>+SAP!K21</f>
        <v>0</v>
      </c>
      <c r="P21" s="175">
        <f>+SAP!L21</f>
        <v>0</v>
      </c>
      <c r="Q21" s="175">
        <f>+SAP!M21</f>
        <v>0</v>
      </c>
      <c r="R21" s="175">
        <f>+SAP!N21</f>
        <v>0</v>
      </c>
      <c r="S21" s="175">
        <f>+SAP!O21</f>
        <v>0</v>
      </c>
      <c r="T21" s="175">
        <f>+SAP!P21</f>
        <v>0</v>
      </c>
      <c r="U21" s="175">
        <f>+SAP!Q21</f>
        <v>0</v>
      </c>
      <c r="V21" s="175">
        <f>+SAP!R21</f>
        <v>0</v>
      </c>
      <c r="W21" s="175">
        <f>+SAP!S21</f>
        <v>0</v>
      </c>
      <c r="X21" s="175">
        <f>+SAP!T21</f>
        <v>0</v>
      </c>
      <c r="Y21" s="175">
        <f>+SAP!U21</f>
        <v>0</v>
      </c>
      <c r="Z21" s="175">
        <f>+SAP!V21</f>
        <v>1574.1</v>
      </c>
      <c r="AA21" s="175">
        <f>+SAP!W21</f>
        <v>0</v>
      </c>
      <c r="AB21" s="175">
        <f>+SAP!X21</f>
        <v>0</v>
      </c>
      <c r="AC21" s="175">
        <f>+SAP!Y21</f>
        <v>0</v>
      </c>
      <c r="AD21" s="175">
        <f>+SAP!Z21</f>
        <v>0</v>
      </c>
    </row>
    <row r="22" spans="1:30" s="173" customFormat="1" x14ac:dyDescent="0.25">
      <c r="A22" s="174">
        <f>+SAP!A22</f>
        <v>46133</v>
      </c>
      <c r="B22" s="174" t="str">
        <f>+SAP!B22</f>
        <v>HARM.01</v>
      </c>
      <c r="C22" s="174" t="str">
        <f>+SAP!C22</f>
        <v>MODULO HONOR AREQUIPA</v>
      </c>
      <c r="D22" s="178">
        <f>+SAP!D22</f>
        <v>5115</v>
      </c>
      <c r="E22" s="175">
        <f>+SAP!E22</f>
        <v>0</v>
      </c>
      <c r="F22" s="175">
        <f>+SAP!F22</f>
        <v>0</v>
      </c>
      <c r="G22" s="179">
        <f>+F22-EFECTIVO!C29</f>
        <v>0</v>
      </c>
      <c r="H22" s="175">
        <f>+SAP!G22</f>
        <v>4216</v>
      </c>
      <c r="I22" s="23">
        <f>+H22-MC!AP22</f>
        <v>4216</v>
      </c>
      <c r="J22" s="175">
        <f>+SAP!H22</f>
        <v>899</v>
      </c>
      <c r="K22" s="23">
        <f>+J22-AMEX!AG22</f>
        <v>899</v>
      </c>
      <c r="L22" s="175">
        <f>+SAP!I22</f>
        <v>0</v>
      </c>
      <c r="M22" s="23">
        <f>+L22-DINNERS!AG22</f>
        <v>0</v>
      </c>
      <c r="N22" s="175">
        <f>+SAP!J22</f>
        <v>0</v>
      </c>
      <c r="O22" s="175">
        <f>+SAP!K22</f>
        <v>0</v>
      </c>
      <c r="P22" s="175">
        <f>+SAP!L22</f>
        <v>0</v>
      </c>
      <c r="Q22" s="175">
        <f>+SAP!M22</f>
        <v>0</v>
      </c>
      <c r="R22" s="175">
        <f>+SAP!N22</f>
        <v>0</v>
      </c>
      <c r="S22" s="175">
        <f>+SAP!O22</f>
        <v>0</v>
      </c>
      <c r="T22" s="175">
        <f>+SAP!P22</f>
        <v>0</v>
      </c>
      <c r="U22" s="175">
        <f>+SAP!Q22</f>
        <v>0</v>
      </c>
      <c r="V22" s="175">
        <f>+SAP!R22</f>
        <v>0</v>
      </c>
      <c r="W22" s="175">
        <f>+SAP!S22</f>
        <v>0</v>
      </c>
      <c r="X22" s="175">
        <f>+SAP!T22</f>
        <v>0</v>
      </c>
      <c r="Y22" s="175">
        <f>+SAP!U22</f>
        <v>0</v>
      </c>
      <c r="Z22" s="175">
        <f>+SAP!V22</f>
        <v>0</v>
      </c>
      <c r="AA22" s="175">
        <f>+SAP!W22</f>
        <v>0</v>
      </c>
      <c r="AB22" s="175">
        <f>+SAP!X22</f>
        <v>0</v>
      </c>
      <c r="AC22" s="175">
        <f>+SAP!Y22</f>
        <v>0</v>
      </c>
      <c r="AD22" s="175">
        <f>+SAP!Z22</f>
        <v>0</v>
      </c>
    </row>
    <row r="23" spans="1:30" s="173" customFormat="1" x14ac:dyDescent="0.25">
      <c r="A23" s="174">
        <f>+SAP!A23</f>
        <v>46134</v>
      </c>
      <c r="B23" s="174" t="str">
        <f>+SAP!B23</f>
        <v>HARM.01</v>
      </c>
      <c r="C23" s="174" t="str">
        <f>+SAP!C23</f>
        <v>MODULO HONOR AREQUIPA</v>
      </c>
      <c r="D23" s="178">
        <f>+SAP!D23</f>
        <v>5740.9</v>
      </c>
      <c r="E23" s="175">
        <f>+SAP!E23</f>
        <v>0</v>
      </c>
      <c r="F23" s="175">
        <f>+SAP!F23</f>
        <v>478.9</v>
      </c>
      <c r="G23" s="179">
        <f>+F23-EFECTIVO!C30</f>
        <v>0</v>
      </c>
      <c r="H23" s="175">
        <f>+SAP!G23</f>
        <v>3494.5</v>
      </c>
      <c r="I23" s="23">
        <f>+H23-MC!AP23</f>
        <v>3494.5</v>
      </c>
      <c r="J23" s="175">
        <f>+SAP!H23</f>
        <v>0</v>
      </c>
      <c r="K23" s="23">
        <f>+J23-AMEX!AG23</f>
        <v>0</v>
      </c>
      <c r="L23" s="175">
        <f>+SAP!I23</f>
        <v>0</v>
      </c>
      <c r="M23" s="23">
        <f>+L23-DINNERS!AG23</f>
        <v>0</v>
      </c>
      <c r="N23" s="175">
        <f>+SAP!J23</f>
        <v>0</v>
      </c>
      <c r="O23" s="175">
        <f>+SAP!K23</f>
        <v>0</v>
      </c>
      <c r="P23" s="175">
        <f>+SAP!L23</f>
        <v>0</v>
      </c>
      <c r="Q23" s="175">
        <f>+SAP!M23</f>
        <v>0</v>
      </c>
      <c r="R23" s="175">
        <f>+SAP!N23</f>
        <v>0</v>
      </c>
      <c r="S23" s="175">
        <f>+SAP!O23</f>
        <v>0</v>
      </c>
      <c r="T23" s="175">
        <f>+SAP!P23</f>
        <v>1499</v>
      </c>
      <c r="U23" s="175">
        <f>+SAP!Q23</f>
        <v>0</v>
      </c>
      <c r="V23" s="175">
        <f>+SAP!R23</f>
        <v>0</v>
      </c>
      <c r="W23" s="175">
        <f>+SAP!S23</f>
        <v>0</v>
      </c>
      <c r="X23" s="175">
        <f>+SAP!T23</f>
        <v>0</v>
      </c>
      <c r="Y23" s="175">
        <f>+SAP!U23</f>
        <v>0</v>
      </c>
      <c r="Z23" s="175">
        <f>+SAP!V23</f>
        <v>268.5</v>
      </c>
      <c r="AA23" s="175">
        <f>+SAP!W23</f>
        <v>0</v>
      </c>
      <c r="AB23" s="175">
        <f>+SAP!X23</f>
        <v>0</v>
      </c>
      <c r="AC23" s="175">
        <f>+SAP!Y23</f>
        <v>0</v>
      </c>
      <c r="AD23" s="175">
        <f>+SAP!Z23</f>
        <v>0</v>
      </c>
    </row>
    <row r="24" spans="1:30" s="173" customFormat="1" x14ac:dyDescent="0.25">
      <c r="A24" s="174">
        <f>+SAP!A24</f>
        <v>46135</v>
      </c>
      <c r="B24" s="174" t="str">
        <f>+SAP!B24</f>
        <v>HARM.01</v>
      </c>
      <c r="C24" s="174" t="str">
        <f>+SAP!C24</f>
        <v>MODULO HONOR AREQUIPA</v>
      </c>
      <c r="D24" s="178">
        <f>+SAP!D24</f>
        <v>4425</v>
      </c>
      <c r="E24" s="175">
        <f>+SAP!E24</f>
        <v>0</v>
      </c>
      <c r="F24" s="175">
        <f>+SAP!F24</f>
        <v>459</v>
      </c>
      <c r="G24" s="179">
        <f>+F24-EFECTIVO!C31</f>
        <v>0</v>
      </c>
      <c r="H24" s="175">
        <f>+SAP!G24</f>
        <v>2867</v>
      </c>
      <c r="I24" s="23">
        <f>+H24-MC!AP24</f>
        <v>2867</v>
      </c>
      <c r="J24" s="175">
        <f>+SAP!H24</f>
        <v>1099</v>
      </c>
      <c r="K24" s="23">
        <f>+J24-AMEX!AG24</f>
        <v>1099</v>
      </c>
      <c r="L24" s="175">
        <f>+SAP!I24</f>
        <v>0</v>
      </c>
      <c r="M24" s="23">
        <f>+L24-DINNERS!AG24</f>
        <v>0</v>
      </c>
      <c r="N24" s="175">
        <f>+SAP!J24</f>
        <v>0</v>
      </c>
      <c r="O24" s="175">
        <f>+SAP!K24</f>
        <v>0</v>
      </c>
      <c r="P24" s="175">
        <f>+SAP!L24</f>
        <v>0</v>
      </c>
      <c r="Q24" s="175">
        <f>+SAP!M24</f>
        <v>0</v>
      </c>
      <c r="R24" s="175">
        <f>+SAP!N24</f>
        <v>0</v>
      </c>
      <c r="S24" s="175">
        <f>+SAP!O24</f>
        <v>0</v>
      </c>
      <c r="T24" s="175">
        <f>+SAP!P24</f>
        <v>0</v>
      </c>
      <c r="U24" s="175">
        <f>+SAP!Q24</f>
        <v>0</v>
      </c>
      <c r="V24" s="175">
        <f>+SAP!R24</f>
        <v>0</v>
      </c>
      <c r="W24" s="175">
        <f>+SAP!S24</f>
        <v>0</v>
      </c>
      <c r="X24" s="175">
        <f>+SAP!T24</f>
        <v>0</v>
      </c>
      <c r="Y24" s="175">
        <f>+SAP!U24</f>
        <v>0</v>
      </c>
      <c r="Z24" s="175">
        <f>+SAP!V24</f>
        <v>0</v>
      </c>
      <c r="AA24" s="175">
        <f>+SAP!W24</f>
        <v>0</v>
      </c>
      <c r="AB24" s="175">
        <f>+SAP!X24</f>
        <v>0</v>
      </c>
      <c r="AC24" s="175">
        <f>+SAP!Y24</f>
        <v>0</v>
      </c>
      <c r="AD24" s="175">
        <f>+SAP!Z24</f>
        <v>0</v>
      </c>
    </row>
    <row r="25" spans="1:30" s="173" customFormat="1" x14ac:dyDescent="0.25">
      <c r="A25" s="174">
        <f>+SAP!A25</f>
        <v>46136</v>
      </c>
      <c r="B25" s="174" t="str">
        <f>+SAP!B25</f>
        <v>HARM.01</v>
      </c>
      <c r="C25" s="174" t="str">
        <f>+SAP!C25</f>
        <v>MODULO HONOR AREQUIPA</v>
      </c>
      <c r="D25" s="178">
        <f>+SAP!D25</f>
        <v>3122</v>
      </c>
      <c r="E25" s="175">
        <f>+SAP!E25</f>
        <v>0</v>
      </c>
      <c r="F25" s="175">
        <f>+SAP!F25</f>
        <v>158</v>
      </c>
      <c r="G25" s="179">
        <f>+F25-EFECTIVO!C32</f>
        <v>0</v>
      </c>
      <c r="H25" s="175">
        <f>+SAP!G25</f>
        <v>1614.9</v>
      </c>
      <c r="I25" s="23">
        <f>+H25-MC!AP25</f>
        <v>1614.9</v>
      </c>
      <c r="J25" s="175">
        <f>+SAP!H25</f>
        <v>0</v>
      </c>
      <c r="K25" s="23">
        <f>+J25-AMEX!AG25</f>
        <v>0</v>
      </c>
      <c r="L25" s="175">
        <f>+SAP!I25</f>
        <v>0</v>
      </c>
      <c r="M25" s="23">
        <f>+L25-DINNERS!AG25</f>
        <v>0</v>
      </c>
      <c r="N25" s="175">
        <f>+SAP!J25</f>
        <v>0</v>
      </c>
      <c r="O25" s="175">
        <f>+SAP!K25</f>
        <v>0</v>
      </c>
      <c r="P25" s="175">
        <f>+SAP!L25</f>
        <v>0</v>
      </c>
      <c r="Q25" s="175">
        <f>+SAP!M25</f>
        <v>0</v>
      </c>
      <c r="R25" s="175">
        <f>+SAP!N25</f>
        <v>0</v>
      </c>
      <c r="S25" s="175">
        <f>+SAP!O25</f>
        <v>0</v>
      </c>
      <c r="T25" s="175">
        <f>+SAP!P25</f>
        <v>0</v>
      </c>
      <c r="U25" s="175">
        <f>+SAP!Q25</f>
        <v>0</v>
      </c>
      <c r="V25" s="175">
        <f>+SAP!R25</f>
        <v>0</v>
      </c>
      <c r="W25" s="175">
        <f>+SAP!S25</f>
        <v>0</v>
      </c>
      <c r="X25" s="175">
        <f>+SAP!T25</f>
        <v>0</v>
      </c>
      <c r="Y25" s="175">
        <f>+SAP!U25</f>
        <v>0</v>
      </c>
      <c r="Z25" s="175">
        <f>+SAP!V25</f>
        <v>1349.1</v>
      </c>
      <c r="AA25" s="175">
        <f>+SAP!W25</f>
        <v>0</v>
      </c>
      <c r="AB25" s="175">
        <f>+SAP!X25</f>
        <v>0</v>
      </c>
      <c r="AC25" s="175">
        <f>+SAP!Y25</f>
        <v>0</v>
      </c>
      <c r="AD25" s="175">
        <f>+SAP!Z25</f>
        <v>0</v>
      </c>
    </row>
    <row r="26" spans="1:30" x14ac:dyDescent="0.25">
      <c r="A26" s="2">
        <f>+SAP!A26</f>
        <v>46137</v>
      </c>
      <c r="B26" s="2" t="str">
        <f>+SAP!B26</f>
        <v>HARM.01</v>
      </c>
      <c r="C26" s="2" t="str">
        <f>+SAP!C26</f>
        <v>MODULO HONOR AREQUIPA</v>
      </c>
      <c r="D26" s="6">
        <f>+SAP!D26</f>
        <v>6321.9</v>
      </c>
      <c r="E26" s="44">
        <f>+SAP!E26</f>
        <v>0</v>
      </c>
      <c r="F26" s="44">
        <f>+SAP!F26</f>
        <v>2636</v>
      </c>
      <c r="G26" s="23">
        <f>+F26-EFECTIVO!C33</f>
        <v>0</v>
      </c>
      <c r="H26" s="44">
        <f>+SAP!G26</f>
        <v>3685.9</v>
      </c>
      <c r="I26" s="23">
        <f>+H26-MC!AP26</f>
        <v>3685.9</v>
      </c>
      <c r="J26" s="44">
        <f>+SAP!H26</f>
        <v>0</v>
      </c>
      <c r="K26" s="23">
        <f>+J26-AMEX!AG26</f>
        <v>0</v>
      </c>
      <c r="L26" s="44">
        <f>+SAP!I26</f>
        <v>0</v>
      </c>
      <c r="M26" s="23">
        <f>+L26-DINNERS!AG26</f>
        <v>0</v>
      </c>
      <c r="N26" s="44">
        <f>+SAP!J26</f>
        <v>0</v>
      </c>
      <c r="O26" s="44">
        <f>+SAP!K26</f>
        <v>0</v>
      </c>
      <c r="P26" s="44">
        <f>+SAP!L26</f>
        <v>0</v>
      </c>
      <c r="Q26" s="44">
        <f>+SAP!M26</f>
        <v>0</v>
      </c>
      <c r="R26" s="44">
        <f>+SAP!N26</f>
        <v>0</v>
      </c>
      <c r="S26" s="44">
        <f>+SAP!O26</f>
        <v>0</v>
      </c>
      <c r="T26" s="44">
        <f>+SAP!P26</f>
        <v>0</v>
      </c>
      <c r="U26" s="44">
        <f>+SAP!Q26</f>
        <v>0</v>
      </c>
      <c r="V26" s="44">
        <f>+SAP!R26</f>
        <v>0</v>
      </c>
      <c r="W26" s="44">
        <f>+SAP!S26</f>
        <v>0</v>
      </c>
      <c r="X26" s="44">
        <f>+SAP!T26</f>
        <v>0</v>
      </c>
      <c r="Y26" s="44">
        <f>+SAP!U26</f>
        <v>0</v>
      </c>
      <c r="Z26" s="44">
        <f>+SAP!V26</f>
        <v>0</v>
      </c>
      <c r="AA26" s="44">
        <f>+SAP!W26</f>
        <v>0</v>
      </c>
      <c r="AB26" s="44">
        <f>+SAP!X26</f>
        <v>0</v>
      </c>
      <c r="AC26" s="44">
        <f>+SAP!Y26</f>
        <v>0</v>
      </c>
      <c r="AD26" s="44">
        <f>+SAP!Z26</f>
        <v>0</v>
      </c>
    </row>
    <row r="27" spans="1:30" x14ac:dyDescent="0.25">
      <c r="A27" s="2">
        <f>+SAP!A27</f>
        <v>46138</v>
      </c>
      <c r="B27" s="2" t="str">
        <f>+SAP!B27</f>
        <v>HARM.01</v>
      </c>
      <c r="C27" s="2" t="str">
        <f>+SAP!C27</f>
        <v>MODULO HONOR AREQUIPA</v>
      </c>
      <c r="D27" s="6">
        <f>+SAP!D27</f>
        <v>13708</v>
      </c>
      <c r="E27" s="44">
        <f>+SAP!E27</f>
        <v>0</v>
      </c>
      <c r="F27" s="44">
        <f>+SAP!F27</f>
        <v>1079.5</v>
      </c>
      <c r="G27" s="23">
        <f>+F27-EFECTIVO!C34</f>
        <v>0</v>
      </c>
      <c r="H27" s="44">
        <f>+SAP!G27</f>
        <v>5593.9</v>
      </c>
      <c r="I27" s="23">
        <f>+H27-MC!AP27</f>
        <v>5593.9</v>
      </c>
      <c r="J27" s="44">
        <f>+SAP!H27</f>
        <v>4497</v>
      </c>
      <c r="K27" s="23">
        <f>+J27-AMEX!AG27</f>
        <v>4497</v>
      </c>
      <c r="L27" s="44">
        <f>+SAP!I27</f>
        <v>0</v>
      </c>
      <c r="M27" s="23">
        <f>+L27-DINNERS!AG27</f>
        <v>0</v>
      </c>
      <c r="N27" s="44">
        <f>+SAP!J27</f>
        <v>0</v>
      </c>
      <c r="O27" s="44">
        <f>+SAP!K27</f>
        <v>0</v>
      </c>
      <c r="P27" s="44">
        <f>+SAP!L27</f>
        <v>0</v>
      </c>
      <c r="Q27" s="44">
        <f>+SAP!M27</f>
        <v>0</v>
      </c>
      <c r="R27" s="44">
        <f>+SAP!N27</f>
        <v>0</v>
      </c>
      <c r="S27" s="44">
        <f>+SAP!O27</f>
        <v>0</v>
      </c>
      <c r="T27" s="44">
        <f>+SAP!P27</f>
        <v>0</v>
      </c>
      <c r="U27" s="44">
        <f>+SAP!Q27</f>
        <v>0</v>
      </c>
      <c r="V27" s="44">
        <f>+SAP!R27</f>
        <v>0</v>
      </c>
      <c r="W27" s="44">
        <f>+SAP!S27</f>
        <v>0</v>
      </c>
      <c r="X27" s="44">
        <f>+SAP!T27</f>
        <v>0</v>
      </c>
      <c r="Y27" s="44">
        <f>+SAP!U27</f>
        <v>0</v>
      </c>
      <c r="Z27" s="44">
        <f>+SAP!V27</f>
        <v>2537.6</v>
      </c>
      <c r="AA27" s="44">
        <f>+SAP!W27</f>
        <v>0</v>
      </c>
      <c r="AB27" s="44">
        <f>+SAP!X27</f>
        <v>0</v>
      </c>
      <c r="AC27" s="44">
        <f>+SAP!Y27</f>
        <v>0</v>
      </c>
      <c r="AD27" s="44">
        <f>+SAP!Z27</f>
        <v>0</v>
      </c>
    </row>
    <row r="28" spans="1:30" x14ac:dyDescent="0.25">
      <c r="A28" s="2">
        <f>+SAP!A28</f>
        <v>46139</v>
      </c>
      <c r="B28" s="2" t="str">
        <f>+SAP!B28</f>
        <v>HARM.01</v>
      </c>
      <c r="C28" s="2" t="str">
        <f>+SAP!C28</f>
        <v>MODULO HONOR AREQUIPA</v>
      </c>
      <c r="D28" s="6">
        <f>+SAP!D28</f>
        <v>9147.9</v>
      </c>
      <c r="E28" s="44">
        <f>+SAP!E28</f>
        <v>0</v>
      </c>
      <c r="F28" s="44">
        <f>+SAP!F28</f>
        <v>2447.8000000000002</v>
      </c>
      <c r="G28" s="23">
        <f>+F28-EFECTIVO!C35</f>
        <v>0</v>
      </c>
      <c r="H28" s="44">
        <f>+SAP!G28</f>
        <v>4901</v>
      </c>
      <c r="I28" s="23">
        <f>+H28-MC!AP28</f>
        <v>4901</v>
      </c>
      <c r="J28" s="44">
        <f>+SAP!H28</f>
        <v>0</v>
      </c>
      <c r="K28" s="23">
        <f>+J28-AMEX!AG28</f>
        <v>0</v>
      </c>
      <c r="L28" s="44">
        <f>+SAP!I28</f>
        <v>0</v>
      </c>
      <c r="M28" s="23">
        <f>+L28-DINNERS!AG28</f>
        <v>0</v>
      </c>
      <c r="N28" s="44">
        <f>+SAP!J28</f>
        <v>0</v>
      </c>
      <c r="O28" s="44">
        <f>+SAP!K28</f>
        <v>0</v>
      </c>
      <c r="P28" s="44">
        <f>+SAP!L28</f>
        <v>0</v>
      </c>
      <c r="Q28" s="44">
        <f>+SAP!M28</f>
        <v>0</v>
      </c>
      <c r="R28" s="44">
        <f>+SAP!N28</f>
        <v>0</v>
      </c>
      <c r="S28" s="44">
        <f>+SAP!O28</f>
        <v>0</v>
      </c>
      <c r="T28" s="44">
        <f>+SAP!P28</f>
        <v>0</v>
      </c>
      <c r="U28" s="44">
        <f>+SAP!Q28</f>
        <v>0</v>
      </c>
      <c r="V28" s="44">
        <f>+SAP!R28</f>
        <v>0</v>
      </c>
      <c r="W28" s="44">
        <f>+SAP!S28</f>
        <v>0</v>
      </c>
      <c r="X28" s="44">
        <f>+SAP!T28</f>
        <v>0</v>
      </c>
      <c r="Y28" s="44">
        <f>+SAP!U28</f>
        <v>0</v>
      </c>
      <c r="Z28" s="44">
        <f>+SAP!V28</f>
        <v>1799.1</v>
      </c>
      <c r="AA28" s="44">
        <f>+SAP!W28</f>
        <v>0</v>
      </c>
      <c r="AB28" s="44">
        <f>+SAP!X28</f>
        <v>0</v>
      </c>
      <c r="AC28" s="44">
        <f>+SAP!Y28</f>
        <v>0</v>
      </c>
      <c r="AD28" s="44">
        <f>+SAP!Z28</f>
        <v>0</v>
      </c>
    </row>
    <row r="29" spans="1:30" x14ac:dyDescent="0.25">
      <c r="A29" s="2">
        <f>+SAP!A29</f>
        <v>46140</v>
      </c>
      <c r="B29" s="2" t="str">
        <f>+SAP!B29</f>
        <v>HARM.01</v>
      </c>
      <c r="C29" s="2" t="str">
        <f>+SAP!C29</f>
        <v>MODULO HONOR AREQUIPA</v>
      </c>
      <c r="D29" s="6">
        <f>+SAP!D29</f>
        <v>2072.9</v>
      </c>
      <c r="E29" s="44">
        <f>+SAP!E29</f>
        <v>0</v>
      </c>
      <c r="F29" s="44">
        <f>+SAP!F29</f>
        <v>925.9</v>
      </c>
      <c r="G29" s="23">
        <f>+F29-EFECTIVO!C36</f>
        <v>0</v>
      </c>
      <c r="H29" s="44">
        <f>+SAP!G29</f>
        <v>1147</v>
      </c>
      <c r="I29" s="23">
        <f>+H29-MC!AP29</f>
        <v>1147</v>
      </c>
      <c r="J29" s="44">
        <f>+SAP!H29</f>
        <v>0</v>
      </c>
      <c r="K29" s="23">
        <f>+J29-AMEX!AG29</f>
        <v>0</v>
      </c>
      <c r="L29" s="44">
        <f>+SAP!I29</f>
        <v>0</v>
      </c>
      <c r="M29" s="23">
        <f>+L29-DINNERS!AG29</f>
        <v>0</v>
      </c>
      <c r="N29" s="44">
        <f>+SAP!J29</f>
        <v>0</v>
      </c>
      <c r="O29" s="44">
        <f>+SAP!K29</f>
        <v>0</v>
      </c>
      <c r="P29" s="44">
        <f>+SAP!L29</f>
        <v>0</v>
      </c>
      <c r="Q29" s="44">
        <f>+SAP!M29</f>
        <v>0</v>
      </c>
      <c r="R29" s="44">
        <f>+SAP!N29</f>
        <v>0</v>
      </c>
      <c r="S29" s="44">
        <f>+SAP!O29</f>
        <v>0</v>
      </c>
      <c r="T29" s="44">
        <f>+SAP!P29</f>
        <v>0</v>
      </c>
      <c r="U29" s="44">
        <f>+SAP!Q29</f>
        <v>0</v>
      </c>
      <c r="V29" s="44">
        <f>+SAP!R29</f>
        <v>0</v>
      </c>
      <c r="W29" s="44">
        <f>+SAP!S29</f>
        <v>0</v>
      </c>
      <c r="X29" s="44">
        <f>+SAP!T29</f>
        <v>0</v>
      </c>
      <c r="Y29" s="44">
        <f>+SAP!U29</f>
        <v>0</v>
      </c>
      <c r="Z29" s="44">
        <f>+SAP!V29</f>
        <v>0</v>
      </c>
      <c r="AA29" s="44">
        <f>+SAP!W29</f>
        <v>0</v>
      </c>
      <c r="AB29" s="44">
        <f>+SAP!X29</f>
        <v>0</v>
      </c>
      <c r="AC29" s="44">
        <f>+SAP!Y29</f>
        <v>0</v>
      </c>
      <c r="AD29" s="44">
        <f>+SAP!Z29</f>
        <v>0</v>
      </c>
    </row>
    <row r="30" spans="1:30" x14ac:dyDescent="0.25">
      <c r="A30" s="2">
        <f>+SAP!A30</f>
        <v>46141</v>
      </c>
      <c r="B30" s="2" t="str">
        <f>+SAP!B30</f>
        <v>HARM.01</v>
      </c>
      <c r="C30" s="2" t="str">
        <f>+SAP!C30</f>
        <v>MODULO HONOR AREQUIPA</v>
      </c>
      <c r="D30" s="6">
        <f>+SAP!D30</f>
        <v>4372</v>
      </c>
      <c r="E30" s="44">
        <f>+SAP!E30</f>
        <v>0</v>
      </c>
      <c r="F30" s="44">
        <f>+SAP!F30</f>
        <v>598</v>
      </c>
      <c r="G30" s="23">
        <f>+F30-EFECTIVO!C37</f>
        <v>0</v>
      </c>
      <c r="H30" s="44">
        <f>+SAP!G30</f>
        <v>3216</v>
      </c>
      <c r="I30" s="23">
        <f>+H30-MC!AP30</f>
        <v>3216</v>
      </c>
      <c r="J30" s="44">
        <f>+SAP!H30</f>
        <v>0</v>
      </c>
      <c r="K30" s="23">
        <f>+J30-AMEX!AG30</f>
        <v>0</v>
      </c>
      <c r="L30" s="44">
        <f>+SAP!I30</f>
        <v>0</v>
      </c>
      <c r="M30" s="23">
        <f>+L30-DINNERS!AG30</f>
        <v>0</v>
      </c>
      <c r="N30" s="44">
        <f>+SAP!J30</f>
        <v>0</v>
      </c>
      <c r="O30" s="44">
        <f>+SAP!K30</f>
        <v>0</v>
      </c>
      <c r="P30" s="44">
        <f>+SAP!L30</f>
        <v>0</v>
      </c>
      <c r="Q30" s="44">
        <f>+SAP!M30</f>
        <v>0</v>
      </c>
      <c r="R30" s="44">
        <f>+SAP!N30</f>
        <v>0</v>
      </c>
      <c r="S30" s="44">
        <f>+SAP!O30</f>
        <v>0</v>
      </c>
      <c r="T30" s="44">
        <f>+SAP!P30</f>
        <v>0</v>
      </c>
      <c r="U30" s="44">
        <f>+SAP!Q30</f>
        <v>0</v>
      </c>
      <c r="V30" s="44">
        <f>+SAP!R30</f>
        <v>0</v>
      </c>
      <c r="W30" s="44">
        <f>+SAP!S30</f>
        <v>0</v>
      </c>
      <c r="X30" s="44">
        <f>+SAP!T30</f>
        <v>0</v>
      </c>
      <c r="Y30" s="44">
        <f>+SAP!U30</f>
        <v>0</v>
      </c>
      <c r="Z30" s="44">
        <f>+SAP!V30</f>
        <v>0</v>
      </c>
      <c r="AA30" s="44">
        <f>+SAP!W30</f>
        <v>0</v>
      </c>
      <c r="AB30" s="44">
        <f>+SAP!X30</f>
        <v>558</v>
      </c>
      <c r="AC30" s="44">
        <f>+SAP!Y30</f>
        <v>0</v>
      </c>
      <c r="AD30" s="44">
        <f>+SAP!Z30</f>
        <v>0</v>
      </c>
    </row>
    <row r="31" spans="1:30" x14ac:dyDescent="0.25">
      <c r="A31" s="2">
        <f>+SAP!A31</f>
        <v>46142</v>
      </c>
      <c r="B31" s="2" t="str">
        <f>+SAP!B31</f>
        <v>HARM.01</v>
      </c>
      <c r="C31" s="2" t="str">
        <f>+SAP!C31</f>
        <v>MODULO HONOR AREQUIPA</v>
      </c>
      <c r="D31" s="6">
        <f>+SAP!D31</f>
        <v>3445</v>
      </c>
      <c r="E31" s="44">
        <f>+SAP!E31</f>
        <v>0</v>
      </c>
      <c r="F31" s="44">
        <f>+SAP!F31</f>
        <v>515</v>
      </c>
      <c r="G31" s="23">
        <f>+F31-EFECTIVO!C38</f>
        <v>0</v>
      </c>
      <c r="H31" s="44">
        <f>+SAP!G31</f>
        <v>1130.9000000000001</v>
      </c>
      <c r="I31" s="23">
        <f>+H31-MC!AP31</f>
        <v>1130.9000000000001</v>
      </c>
      <c r="J31" s="44">
        <f>+SAP!H31</f>
        <v>0</v>
      </c>
      <c r="K31" s="23">
        <f>+J31-AMEX!AG31</f>
        <v>0</v>
      </c>
      <c r="L31" s="44">
        <f>+SAP!I31</f>
        <v>0</v>
      </c>
      <c r="M31" s="23">
        <f>+L31-DINNERS!AG31</f>
        <v>0</v>
      </c>
      <c r="N31" s="44">
        <f>+SAP!J31</f>
        <v>0</v>
      </c>
      <c r="O31" s="44">
        <f>+SAP!K31</f>
        <v>0</v>
      </c>
      <c r="P31" s="44">
        <f>+SAP!L31</f>
        <v>0</v>
      </c>
      <c r="Q31" s="44">
        <f>+SAP!M31</f>
        <v>0</v>
      </c>
      <c r="R31" s="44">
        <f>+SAP!N31</f>
        <v>0</v>
      </c>
      <c r="S31" s="44">
        <f>+SAP!O31</f>
        <v>0</v>
      </c>
      <c r="T31" s="44">
        <f>+SAP!P31</f>
        <v>0</v>
      </c>
      <c r="U31" s="44">
        <f>+SAP!Q31</f>
        <v>0</v>
      </c>
      <c r="V31" s="44">
        <f>+SAP!R31</f>
        <v>0</v>
      </c>
      <c r="W31" s="44">
        <f>+SAP!S31</f>
        <v>0</v>
      </c>
      <c r="X31" s="44">
        <f>+SAP!T31</f>
        <v>0</v>
      </c>
      <c r="Y31" s="44">
        <f>+SAP!U31</f>
        <v>0</v>
      </c>
      <c r="Z31" s="44">
        <f>+SAP!V31</f>
        <v>1799.1</v>
      </c>
      <c r="AA31" s="44">
        <f>+SAP!W31</f>
        <v>0</v>
      </c>
      <c r="AB31" s="44">
        <f>+SAP!X31</f>
        <v>0</v>
      </c>
      <c r="AC31" s="44">
        <f>+SAP!Y31</f>
        <v>0</v>
      </c>
      <c r="AD31" s="44">
        <f>+SAP!Z31</f>
        <v>0</v>
      </c>
    </row>
    <row r="32" spans="1:30" x14ac:dyDescent="0.25">
      <c r="A32" s="2">
        <f>+SAP!A32</f>
        <v>0</v>
      </c>
      <c r="B32" s="2">
        <f>+SAP!B32</f>
        <v>0</v>
      </c>
      <c r="C32" s="2">
        <f>+SAP!C32</f>
        <v>0</v>
      </c>
      <c r="D32" s="6">
        <f>+SAP!D32</f>
        <v>0</v>
      </c>
      <c r="E32" s="44">
        <f>+SAP!E32</f>
        <v>0</v>
      </c>
      <c r="F32" s="44">
        <f>+SAP!F32</f>
        <v>0</v>
      </c>
      <c r="G32" s="23">
        <f>+F32-EFECTIVO!C39</f>
        <v>0</v>
      </c>
      <c r="H32" s="44">
        <f>+SAP!G32</f>
        <v>0</v>
      </c>
      <c r="I32" s="23">
        <f>+H32-MC!AP32</f>
        <v>0</v>
      </c>
      <c r="J32" s="44">
        <f>+SAP!H32</f>
        <v>0</v>
      </c>
      <c r="K32" s="23">
        <f>+J32-AMEX!AG32</f>
        <v>0</v>
      </c>
      <c r="L32" s="44">
        <f>+SAP!I32</f>
        <v>0</v>
      </c>
      <c r="M32" s="23">
        <f>+L32-DINNERS!AG32</f>
        <v>0</v>
      </c>
      <c r="N32" s="44">
        <f>+SAP!J32</f>
        <v>0</v>
      </c>
      <c r="O32" s="44">
        <f>+SAP!K32</f>
        <v>0</v>
      </c>
      <c r="P32" s="44">
        <f>+SAP!L32</f>
        <v>0</v>
      </c>
      <c r="Q32" s="44">
        <f>+SAP!M32</f>
        <v>0</v>
      </c>
      <c r="R32" s="44">
        <f>+SAP!N32</f>
        <v>0</v>
      </c>
      <c r="S32" s="44">
        <f>+SAP!O32</f>
        <v>0</v>
      </c>
      <c r="T32" s="44">
        <f>+SAP!P32</f>
        <v>0</v>
      </c>
      <c r="U32" s="44">
        <f>+SAP!Q32</f>
        <v>0</v>
      </c>
      <c r="V32" s="44">
        <f>+SAP!R32</f>
        <v>0</v>
      </c>
      <c r="W32" s="44">
        <f>+SAP!S32</f>
        <v>0</v>
      </c>
      <c r="X32" s="44">
        <f>+SAP!T32</f>
        <v>0</v>
      </c>
      <c r="Y32" s="44">
        <f>+SAP!U32</f>
        <v>0</v>
      </c>
      <c r="Z32" s="44">
        <f>+SAP!V32</f>
        <v>0</v>
      </c>
      <c r="AA32" s="44">
        <f>+SAP!W32</f>
        <v>0</v>
      </c>
      <c r="AB32" s="44">
        <f>+SAP!X32</f>
        <v>0</v>
      </c>
      <c r="AC32" s="44">
        <f>+SAP!Y32</f>
        <v>0</v>
      </c>
      <c r="AD32" s="44">
        <f>+SAP!Z32</f>
        <v>0</v>
      </c>
    </row>
    <row r="34" spans="5:30" x14ac:dyDescent="0.25">
      <c r="F34" s="140"/>
    </row>
    <row r="37" spans="5:30" x14ac:dyDescent="0.25">
      <c r="E37" s="93"/>
      <c r="F37" s="93"/>
      <c r="G37" s="74"/>
      <c r="H37" s="93"/>
      <c r="I37" s="74"/>
      <c r="J37" s="93"/>
      <c r="K37" s="74"/>
      <c r="L37" s="93"/>
      <c r="M37" s="74"/>
      <c r="N37" s="93"/>
      <c r="O37" s="93"/>
      <c r="P37" s="93"/>
      <c r="Q37" s="93"/>
    </row>
    <row r="38" spans="5:30" x14ac:dyDescent="0.25">
      <c r="E38" s="93"/>
      <c r="F38" s="93"/>
      <c r="G38" s="194"/>
      <c r="H38" s="194"/>
      <c r="I38" s="195"/>
      <c r="J38" s="194"/>
      <c r="K38" s="98"/>
      <c r="L38" s="93"/>
      <c r="M38" s="74"/>
      <c r="N38" s="93"/>
      <c r="O38" s="93"/>
      <c r="P38" s="93"/>
      <c r="Q38" s="93"/>
    </row>
    <row r="39" spans="5:30" x14ac:dyDescent="0.25">
      <c r="E39" s="93"/>
      <c r="F39" s="93"/>
      <c r="G39" s="164"/>
      <c r="H39" s="165"/>
      <c r="I39" s="166"/>
      <c r="J39" s="164"/>
      <c r="K39" s="98"/>
      <c r="L39" s="93"/>
      <c r="M39" s="74"/>
      <c r="N39" s="93"/>
      <c r="O39" s="93"/>
      <c r="P39" s="93"/>
      <c r="Q39" s="93"/>
    </row>
    <row r="40" spans="5:30" x14ac:dyDescent="0.25">
      <c r="E40" s="93"/>
      <c r="F40" s="93"/>
      <c r="G40" s="164"/>
      <c r="H40" s="165"/>
      <c r="I40" s="166"/>
      <c r="J40" s="164"/>
      <c r="K40" s="98"/>
      <c r="L40" s="93"/>
      <c r="M40" s="74"/>
      <c r="N40" s="93"/>
      <c r="O40" s="93"/>
      <c r="P40" s="93"/>
      <c r="Q40" s="93"/>
    </row>
    <row r="41" spans="5:30" s="32" customFormat="1" x14ac:dyDescent="0.25">
      <c r="E41" s="93"/>
      <c r="F41" s="93"/>
      <c r="G41" s="164"/>
      <c r="H41" s="165"/>
      <c r="I41" s="166"/>
      <c r="J41" s="164"/>
      <c r="K41" s="98"/>
      <c r="L41" s="93"/>
      <c r="M41" s="74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</row>
    <row r="42" spans="5:30" s="32" customFormat="1" x14ac:dyDescent="0.25">
      <c r="E42" s="93"/>
      <c r="F42" s="93"/>
      <c r="G42" s="164"/>
      <c r="H42" s="165"/>
      <c r="I42" s="166"/>
      <c r="J42" s="164"/>
      <c r="K42" s="98"/>
      <c r="L42" s="93"/>
      <c r="M42" s="74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</row>
    <row r="43" spans="5:30" s="32" customFormat="1" x14ac:dyDescent="0.25">
      <c r="E43" s="93"/>
      <c r="F43" s="93"/>
      <c r="G43" s="192"/>
      <c r="H43" s="165"/>
      <c r="I43" s="166"/>
      <c r="J43" s="164"/>
      <c r="K43" s="98"/>
      <c r="L43" s="93"/>
      <c r="M43" s="74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</row>
    <row r="44" spans="5:30" ht="14.25" customHeight="1" x14ac:dyDescent="0.25">
      <c r="E44" s="93"/>
      <c r="F44" s="93"/>
      <c r="G44" s="194"/>
      <c r="H44" s="194"/>
      <c r="I44" s="195"/>
      <c r="J44" s="194"/>
      <c r="K44" s="98"/>
      <c r="L44" s="93"/>
      <c r="M44" s="74"/>
      <c r="N44" s="93"/>
      <c r="O44" s="93"/>
      <c r="P44" s="93"/>
      <c r="Q44" s="93"/>
    </row>
    <row r="45" spans="5:30" x14ac:dyDescent="0.25">
      <c r="E45" s="93"/>
      <c r="F45" s="93"/>
      <c r="G45" s="164"/>
      <c r="H45" s="165"/>
      <c r="I45" s="166"/>
      <c r="J45" s="164"/>
      <c r="K45" s="98"/>
      <c r="L45" s="93"/>
      <c r="M45" s="74"/>
      <c r="N45" s="172"/>
      <c r="O45" s="93"/>
      <c r="P45" s="93"/>
      <c r="Q45" s="93"/>
    </row>
    <row r="46" spans="5:30" x14ac:dyDescent="0.25">
      <c r="E46" s="93"/>
      <c r="F46" s="93"/>
      <c r="G46" s="164"/>
      <c r="H46" s="165"/>
      <c r="I46" s="166"/>
      <c r="J46" s="164"/>
      <c r="K46" s="98"/>
      <c r="L46" s="93"/>
      <c r="M46" s="74"/>
      <c r="N46" s="93"/>
      <c r="O46" s="93"/>
      <c r="P46" s="93"/>
      <c r="Q46" s="93"/>
    </row>
    <row r="47" spans="5:30" x14ac:dyDescent="0.25">
      <c r="E47" s="93"/>
      <c r="F47" s="93"/>
      <c r="G47" s="74"/>
      <c r="H47" s="93"/>
      <c r="I47" s="74"/>
      <c r="J47" s="93"/>
      <c r="K47" s="98"/>
      <c r="L47" s="93"/>
      <c r="M47" s="74"/>
      <c r="N47" s="93"/>
      <c r="O47" s="93"/>
      <c r="P47" s="93"/>
      <c r="Q47" s="93"/>
    </row>
    <row r="48" spans="5:30" x14ac:dyDescent="0.25">
      <c r="E48" s="93"/>
      <c r="F48" s="93"/>
      <c r="G48" s="74"/>
      <c r="H48" s="93"/>
      <c r="I48" s="74"/>
      <c r="J48" s="93"/>
      <c r="K48" s="74"/>
      <c r="L48" s="93"/>
      <c r="M48" s="74"/>
      <c r="N48" s="93"/>
      <c r="O48" s="93"/>
      <c r="P48" s="93"/>
    </row>
    <row r="49" spans="5:16" x14ac:dyDescent="0.25">
      <c r="E49" s="93"/>
      <c r="F49" s="93"/>
      <c r="G49" s="74"/>
      <c r="H49" s="93"/>
      <c r="I49" s="74"/>
      <c r="J49" s="93"/>
      <c r="K49" s="74"/>
      <c r="L49" s="93"/>
      <c r="M49" s="74"/>
      <c r="N49" s="93"/>
      <c r="O49" s="93"/>
      <c r="P49" s="93"/>
    </row>
    <row r="50" spans="5:16" x14ac:dyDescent="0.25">
      <c r="E50" s="93"/>
      <c r="F50" s="93"/>
      <c r="G50" s="74"/>
      <c r="H50" s="93"/>
      <c r="I50" s="74"/>
      <c r="J50" s="93"/>
      <c r="K50" s="74"/>
      <c r="L50" s="93"/>
      <c r="M50" s="74"/>
      <c r="N50" s="93"/>
      <c r="O50" s="93"/>
      <c r="P50" s="93"/>
    </row>
    <row r="51" spans="5:16" x14ac:dyDescent="0.25">
      <c r="E51" s="93"/>
      <c r="F51" s="93"/>
      <c r="G51" s="74"/>
      <c r="H51" s="93"/>
      <c r="I51" s="74"/>
      <c r="J51" s="93"/>
      <c r="K51" s="74"/>
      <c r="L51" s="93"/>
      <c r="M51" s="74"/>
      <c r="N51" s="93"/>
      <c r="O51" s="93"/>
      <c r="P51" s="93"/>
    </row>
    <row r="52" spans="5:16" x14ac:dyDescent="0.25">
      <c r="E52" s="93"/>
      <c r="F52" s="93"/>
      <c r="G52" s="74"/>
      <c r="H52" s="93"/>
      <c r="I52" s="74"/>
      <c r="J52" s="93"/>
      <c r="K52" s="74"/>
      <c r="L52" s="93"/>
      <c r="M52" s="74"/>
      <c r="N52" s="93"/>
      <c r="O52" s="93"/>
      <c r="P52" s="93"/>
    </row>
    <row r="53" spans="5:16" x14ac:dyDescent="0.25">
      <c r="E53" s="93"/>
      <c r="F53" s="93"/>
      <c r="G53" s="74"/>
      <c r="H53" s="93"/>
      <c r="I53" s="74"/>
      <c r="J53" s="93"/>
      <c r="K53" s="74"/>
      <c r="L53" s="93"/>
      <c r="M53" s="74"/>
      <c r="N53" s="93"/>
      <c r="O53" s="93"/>
      <c r="P53" s="93"/>
    </row>
    <row r="54" spans="5:16" x14ac:dyDescent="0.25">
      <c r="E54" s="93"/>
      <c r="F54" s="93"/>
      <c r="G54" s="74"/>
      <c r="H54" s="93"/>
      <c r="I54" s="74"/>
      <c r="J54" s="93"/>
      <c r="K54" s="74"/>
      <c r="L54" s="93"/>
      <c r="M54" s="74"/>
      <c r="N54" s="93"/>
      <c r="O54" s="93"/>
      <c r="P54" s="93"/>
    </row>
    <row r="55" spans="5:16" x14ac:dyDescent="0.25">
      <c r="E55" s="93"/>
      <c r="F55" s="93"/>
      <c r="G55" s="196"/>
      <c r="H55" s="93"/>
      <c r="I55" s="74"/>
      <c r="J55" s="93"/>
      <c r="K55" s="74"/>
      <c r="L55" s="93"/>
      <c r="M55" s="74"/>
      <c r="N55" s="93"/>
      <c r="O55" s="93"/>
      <c r="P55" s="93"/>
    </row>
    <row r="56" spans="5:16" x14ac:dyDescent="0.25">
      <c r="E56" s="93"/>
      <c r="F56" s="93"/>
      <c r="G56" s="196"/>
      <c r="H56" s="93"/>
      <c r="I56" s="74"/>
      <c r="J56" s="93"/>
      <c r="K56" s="74"/>
      <c r="L56" s="93"/>
      <c r="M56" s="74"/>
      <c r="N56" s="93"/>
      <c r="O56" s="93"/>
      <c r="P56" s="93"/>
    </row>
    <row r="57" spans="5:16" x14ac:dyDescent="0.25">
      <c r="E57" s="93"/>
      <c r="F57" s="93"/>
      <c r="G57" s="74"/>
      <c r="H57" s="93"/>
      <c r="I57" s="74"/>
      <c r="J57" s="93"/>
      <c r="K57" s="74"/>
      <c r="L57" s="93"/>
      <c r="M57" s="74"/>
      <c r="N57" s="93"/>
      <c r="O57" s="93"/>
      <c r="P57" s="93"/>
    </row>
    <row r="58" spans="5:16" x14ac:dyDescent="0.25">
      <c r="E58" s="93"/>
      <c r="F58" s="93"/>
      <c r="G58" s="74"/>
      <c r="H58" s="93"/>
      <c r="I58" s="74"/>
      <c r="J58" s="93"/>
      <c r="K58" s="74"/>
      <c r="L58" s="93"/>
      <c r="M58" s="74"/>
      <c r="N58" s="93"/>
      <c r="O58" s="93"/>
      <c r="P58" s="93"/>
    </row>
    <row r="59" spans="5:16" x14ac:dyDescent="0.25">
      <c r="E59" s="93"/>
      <c r="F59" s="93"/>
      <c r="G59" s="74"/>
      <c r="H59" s="93"/>
      <c r="I59" s="74"/>
      <c r="J59" s="93"/>
      <c r="K59" s="74"/>
      <c r="L59" s="93"/>
      <c r="M59" s="74"/>
      <c r="N59" s="93"/>
      <c r="O59" s="93"/>
      <c r="P59" s="93"/>
    </row>
  </sheetData>
  <autoFilter ref="A1:AD29" xr:uid="{CB1BD8A4-8EBA-4ACF-B864-98A111ACFED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C523-AB9D-4370-BF2A-A2F26E197111}">
  <dimension ref="B4:N62"/>
  <sheetViews>
    <sheetView showGridLines="0" zoomScale="80" zoomScaleNormal="80" workbookViewId="0">
      <selection activeCell="F4" sqref="F4"/>
    </sheetView>
  </sheetViews>
  <sheetFormatPr baseColWidth="10" defaultColWidth="11.42578125" defaultRowHeight="15" x14ac:dyDescent="0.25"/>
  <cols>
    <col min="1" max="1" width="3" style="1" customWidth="1"/>
    <col min="2" max="2" width="11.42578125" style="1"/>
    <col min="3" max="3" width="11.42578125" style="85"/>
    <col min="4" max="4" width="12.28515625" style="15" bestFit="1" customWidth="1"/>
    <col min="5" max="5" width="12" style="1" bestFit="1" customWidth="1"/>
    <col min="6" max="6" width="24.140625" style="14" customWidth="1"/>
    <col min="7" max="7" width="13.7109375" style="1" bestFit="1" customWidth="1"/>
    <col min="8" max="8" width="11.42578125" style="43"/>
    <col min="9" max="9" width="13.42578125" style="5" bestFit="1" customWidth="1"/>
    <col min="10" max="10" width="14.28515625" style="5" bestFit="1" customWidth="1"/>
    <col min="11" max="16384" width="11.42578125" style="1"/>
  </cols>
  <sheetData>
    <row r="4" spans="2:14" ht="21" x14ac:dyDescent="0.35">
      <c r="E4" s="16" t="s">
        <v>69</v>
      </c>
      <c r="F4" s="17">
        <v>1044162</v>
      </c>
    </row>
    <row r="8" spans="2:14" ht="23.25" customHeight="1" x14ac:dyDescent="0.25">
      <c r="B8" s="45" t="s">
        <v>0</v>
      </c>
      <c r="C8" s="50" t="s">
        <v>4</v>
      </c>
      <c r="D8" s="46"/>
      <c r="E8" s="47"/>
      <c r="F8" s="48"/>
      <c r="G8" s="49"/>
      <c r="H8" s="50" t="s">
        <v>25</v>
      </c>
      <c r="I8" s="45" t="s">
        <v>75</v>
      </c>
      <c r="J8" s="45" t="s">
        <v>26</v>
      </c>
      <c r="K8" s="45" t="s">
        <v>28</v>
      </c>
      <c r="M8" s="12" t="s">
        <v>0</v>
      </c>
      <c r="N8" s="12" t="s">
        <v>4</v>
      </c>
    </row>
    <row r="9" spans="2:14" x14ac:dyDescent="0.25">
      <c r="B9" s="51">
        <f>+SAP!A2</f>
        <v>46113</v>
      </c>
      <c r="C9" s="86">
        <f>+SAP!F2</f>
        <v>0</v>
      </c>
      <c r="D9" s="53">
        <v>45810</v>
      </c>
      <c r="E9" s="52" t="s">
        <v>120</v>
      </c>
      <c r="F9" s="54" t="s">
        <v>76</v>
      </c>
      <c r="G9" s="52">
        <v>15551.16</v>
      </c>
      <c r="H9" s="55">
        <f>+C9-G9</f>
        <v>-15551.16</v>
      </c>
      <c r="I9" s="56" t="s">
        <v>131</v>
      </c>
      <c r="J9" s="57" t="s">
        <v>130</v>
      </c>
      <c r="K9" s="57" t="s">
        <v>130</v>
      </c>
      <c r="M9" s="8">
        <f>+B9</f>
        <v>46113</v>
      </c>
      <c r="N9" s="25">
        <f>+C9</f>
        <v>0</v>
      </c>
    </row>
    <row r="10" spans="2:14" x14ac:dyDescent="0.25">
      <c r="B10" s="51">
        <f>+SAP!A3</f>
        <v>46114</v>
      </c>
      <c r="C10" s="86">
        <f>+SAP!F3</f>
        <v>1098</v>
      </c>
      <c r="D10" s="81">
        <v>45811</v>
      </c>
      <c r="E10" s="58" t="s">
        <v>122</v>
      </c>
      <c r="F10" s="59" t="s">
        <v>76</v>
      </c>
      <c r="G10" s="60">
        <v>1685.1</v>
      </c>
      <c r="H10" s="55">
        <f>+C10-G10</f>
        <v>-587.09999999999991</v>
      </c>
      <c r="I10" s="56" t="s">
        <v>131</v>
      </c>
      <c r="J10" s="57" t="s">
        <v>91</v>
      </c>
      <c r="K10" s="57" t="s">
        <v>130</v>
      </c>
      <c r="M10" s="8">
        <f t="shared" ref="M10:M39" si="0">+B10</f>
        <v>46114</v>
      </c>
      <c r="N10" s="25">
        <f t="shared" ref="N10:N39" si="1">+C10</f>
        <v>1098</v>
      </c>
    </row>
    <row r="11" spans="2:14" x14ac:dyDescent="0.25">
      <c r="B11" s="51">
        <f>+SAP!A4</f>
        <v>46115</v>
      </c>
      <c r="C11" s="86">
        <f>+SAP!F4</f>
        <v>459</v>
      </c>
      <c r="D11" s="53">
        <v>45812</v>
      </c>
      <c r="E11" s="52" t="s">
        <v>123</v>
      </c>
      <c r="F11" s="54" t="s">
        <v>76</v>
      </c>
      <c r="G11" s="52">
        <v>2798</v>
      </c>
      <c r="H11" s="55">
        <f t="shared" ref="H11:H39" si="2">+C11-G11</f>
        <v>-2339</v>
      </c>
      <c r="I11" s="56" t="s">
        <v>131</v>
      </c>
      <c r="J11" s="57" t="s">
        <v>130</v>
      </c>
      <c r="K11" s="57" t="s">
        <v>130</v>
      </c>
      <c r="M11" s="8">
        <f t="shared" si="0"/>
        <v>46115</v>
      </c>
      <c r="N11" s="25">
        <f t="shared" si="1"/>
        <v>459</v>
      </c>
    </row>
    <row r="12" spans="2:14" x14ac:dyDescent="0.25">
      <c r="B12" s="51">
        <f>+SAP!A5</f>
        <v>46116</v>
      </c>
      <c r="C12" s="86">
        <f>+SAP!F5</f>
        <v>89</v>
      </c>
      <c r="D12" s="81">
        <v>45813</v>
      </c>
      <c r="E12" s="58" t="s">
        <v>121</v>
      </c>
      <c r="F12" s="59" t="s">
        <v>76</v>
      </c>
      <c r="G12" s="60">
        <v>3047</v>
      </c>
      <c r="H12" s="55">
        <f t="shared" si="2"/>
        <v>-2958</v>
      </c>
      <c r="I12" s="56" t="s">
        <v>131</v>
      </c>
      <c r="J12" s="57" t="s">
        <v>130</v>
      </c>
      <c r="K12" s="57" t="s">
        <v>130</v>
      </c>
      <c r="M12" s="8">
        <f t="shared" si="0"/>
        <v>46116</v>
      </c>
      <c r="N12" s="25">
        <f t="shared" si="1"/>
        <v>89</v>
      </c>
    </row>
    <row r="13" spans="2:14" x14ac:dyDescent="0.25">
      <c r="B13" s="51">
        <f>+SAP!A6</f>
        <v>46117</v>
      </c>
      <c r="C13" s="86">
        <f>+SAP!F6</f>
        <v>1000</v>
      </c>
      <c r="D13" s="53">
        <v>45814</v>
      </c>
      <c r="E13" s="52">
        <v>278998</v>
      </c>
      <c r="F13" s="54" t="s">
        <v>76</v>
      </c>
      <c r="G13" s="82">
        <v>6153.9</v>
      </c>
      <c r="H13" s="55">
        <f t="shared" si="2"/>
        <v>-5153.8999999999996</v>
      </c>
      <c r="I13" s="56" t="s">
        <v>131</v>
      </c>
      <c r="J13" s="57" t="s">
        <v>130</v>
      </c>
      <c r="K13" s="57" t="s">
        <v>130</v>
      </c>
      <c r="M13" s="8">
        <f t="shared" si="0"/>
        <v>46117</v>
      </c>
      <c r="N13" s="25">
        <f t="shared" si="1"/>
        <v>1000</v>
      </c>
    </row>
    <row r="14" spans="2:14" x14ac:dyDescent="0.25">
      <c r="B14" s="99">
        <f>+SAP!A7</f>
        <v>46118</v>
      </c>
      <c r="C14" s="100">
        <f>+SAP!F7</f>
        <v>629</v>
      </c>
      <c r="D14" s="101">
        <v>45817</v>
      </c>
      <c r="E14" s="102">
        <v>279497</v>
      </c>
      <c r="F14" s="103" t="s">
        <v>76</v>
      </c>
      <c r="G14" s="104">
        <v>17124.599999999999</v>
      </c>
      <c r="H14" s="110">
        <f>+C14+C15+C16-G14</f>
        <v>-14389.599999999999</v>
      </c>
      <c r="I14" s="56" t="s">
        <v>131</v>
      </c>
      <c r="J14" s="57" t="s">
        <v>130</v>
      </c>
      <c r="K14" s="57" t="s">
        <v>130</v>
      </c>
      <c r="M14" s="8">
        <f t="shared" si="0"/>
        <v>46118</v>
      </c>
      <c r="N14" s="25">
        <f t="shared" si="1"/>
        <v>629</v>
      </c>
    </row>
    <row r="15" spans="2:14" x14ac:dyDescent="0.25">
      <c r="B15" s="99">
        <f>+SAP!A8</f>
        <v>46119</v>
      </c>
      <c r="C15" s="100">
        <f>+SAP!F8</f>
        <v>1079</v>
      </c>
      <c r="D15" s="101"/>
      <c r="E15" s="105"/>
      <c r="F15" s="103"/>
      <c r="G15" s="104"/>
      <c r="H15" s="110"/>
      <c r="I15" s="56"/>
      <c r="J15" s="57" t="s">
        <v>130</v>
      </c>
      <c r="K15" s="57" t="s">
        <v>130</v>
      </c>
      <c r="M15" s="8">
        <f t="shared" si="0"/>
        <v>46119</v>
      </c>
      <c r="N15" s="25">
        <f t="shared" si="1"/>
        <v>1079</v>
      </c>
    </row>
    <row r="16" spans="2:14" x14ac:dyDescent="0.25">
      <c r="B16" s="99">
        <f>+SAP!A9</f>
        <v>46120</v>
      </c>
      <c r="C16" s="100">
        <f>+SAP!F9</f>
        <v>1027</v>
      </c>
      <c r="D16" s="106"/>
      <c r="E16" s="107"/>
      <c r="F16" s="108"/>
      <c r="G16" s="109"/>
      <c r="H16" s="110"/>
      <c r="I16" s="56"/>
      <c r="J16" s="57" t="s">
        <v>130</v>
      </c>
      <c r="K16" s="57" t="s">
        <v>130</v>
      </c>
      <c r="M16" s="8">
        <f t="shared" si="0"/>
        <v>46120</v>
      </c>
      <c r="N16" s="25">
        <f t="shared" si="1"/>
        <v>1027</v>
      </c>
    </row>
    <row r="17" spans="2:14" x14ac:dyDescent="0.25">
      <c r="B17" s="51">
        <f>+SAP!A10</f>
        <v>46121</v>
      </c>
      <c r="C17" s="86">
        <f>+SAP!F10</f>
        <v>949</v>
      </c>
      <c r="D17" s="81">
        <v>45818</v>
      </c>
      <c r="E17" s="58" t="s">
        <v>124</v>
      </c>
      <c r="F17" s="59" t="s">
        <v>76</v>
      </c>
      <c r="G17" s="60">
        <v>5845.9</v>
      </c>
      <c r="H17" s="55">
        <f t="shared" si="2"/>
        <v>-4896.8999999999996</v>
      </c>
      <c r="I17" s="56" t="s">
        <v>131</v>
      </c>
      <c r="J17" s="57" t="s">
        <v>130</v>
      </c>
      <c r="K17" s="57" t="s">
        <v>130</v>
      </c>
      <c r="M17" s="8">
        <f t="shared" si="0"/>
        <v>46121</v>
      </c>
      <c r="N17" s="25">
        <f t="shared" si="1"/>
        <v>949</v>
      </c>
    </row>
    <row r="18" spans="2:14" x14ac:dyDescent="0.25">
      <c r="B18" s="51">
        <f>+SAP!A11</f>
        <v>46122</v>
      </c>
      <c r="C18" s="86">
        <f>+SAP!F11</f>
        <v>1424</v>
      </c>
      <c r="D18" s="81">
        <v>45819</v>
      </c>
      <c r="E18" s="58" t="s">
        <v>125</v>
      </c>
      <c r="F18" s="59" t="s">
        <v>76</v>
      </c>
      <c r="G18" s="60">
        <v>8435.7999999999993</v>
      </c>
      <c r="H18" s="55">
        <f t="shared" si="2"/>
        <v>-7011.7999999999993</v>
      </c>
      <c r="I18" s="56" t="s">
        <v>131</v>
      </c>
      <c r="J18" s="57" t="s">
        <v>130</v>
      </c>
      <c r="K18" s="57" t="s">
        <v>130</v>
      </c>
      <c r="M18" s="8">
        <f t="shared" si="0"/>
        <v>46122</v>
      </c>
      <c r="N18" s="25">
        <f t="shared" si="1"/>
        <v>1424</v>
      </c>
    </row>
    <row r="19" spans="2:14" x14ac:dyDescent="0.25">
      <c r="B19" s="111">
        <f>+SAP!A12</f>
        <v>46123</v>
      </c>
      <c r="C19" s="112">
        <f>+SAP!F12</f>
        <v>1238</v>
      </c>
      <c r="D19" s="113">
        <v>45821</v>
      </c>
      <c r="E19" s="114" t="s">
        <v>126</v>
      </c>
      <c r="F19" s="115" t="s">
        <v>76</v>
      </c>
      <c r="G19" s="116">
        <v>10277.6</v>
      </c>
      <c r="H19" s="117">
        <f>+C19+C20-G19</f>
        <v>-7760.6</v>
      </c>
      <c r="I19" s="56" t="s">
        <v>131</v>
      </c>
      <c r="J19" s="57" t="s">
        <v>130</v>
      </c>
      <c r="K19" s="57" t="s">
        <v>130</v>
      </c>
      <c r="M19" s="8">
        <f t="shared" si="0"/>
        <v>46123</v>
      </c>
      <c r="N19" s="25">
        <f t="shared" si="1"/>
        <v>1238</v>
      </c>
    </row>
    <row r="20" spans="2:14" x14ac:dyDescent="0.25">
      <c r="B20" s="111">
        <f>+SAP!A13</f>
        <v>46124</v>
      </c>
      <c r="C20" s="112">
        <f>+SAP!F13</f>
        <v>1279</v>
      </c>
      <c r="D20" s="113"/>
      <c r="E20" s="114"/>
      <c r="F20" s="118"/>
      <c r="G20" s="116"/>
      <c r="H20" s="117"/>
      <c r="I20" s="56"/>
      <c r="J20" s="57" t="s">
        <v>130</v>
      </c>
      <c r="K20" s="57" t="s">
        <v>130</v>
      </c>
      <c r="M20" s="8">
        <f t="shared" si="0"/>
        <v>46124</v>
      </c>
      <c r="N20" s="25">
        <f t="shared" si="1"/>
        <v>1279</v>
      </c>
    </row>
    <row r="21" spans="2:14" x14ac:dyDescent="0.25">
      <c r="B21" s="51">
        <f>+SAP!A14</f>
        <v>46125</v>
      </c>
      <c r="C21" s="86">
        <f>+SAP!F14</f>
        <v>229</v>
      </c>
      <c r="D21" s="53">
        <v>45822</v>
      </c>
      <c r="E21" s="52" t="s">
        <v>127</v>
      </c>
      <c r="F21" s="61" t="s">
        <v>76</v>
      </c>
      <c r="G21" s="52">
        <v>3895.8</v>
      </c>
      <c r="H21" s="55">
        <f t="shared" si="2"/>
        <v>-3666.8</v>
      </c>
      <c r="I21" s="56" t="s">
        <v>131</v>
      </c>
      <c r="J21" s="57" t="s">
        <v>130</v>
      </c>
      <c r="K21" s="57" t="s">
        <v>130</v>
      </c>
      <c r="M21" s="8">
        <f t="shared" si="0"/>
        <v>46125</v>
      </c>
      <c r="N21" s="25">
        <f t="shared" si="1"/>
        <v>229</v>
      </c>
    </row>
    <row r="22" spans="2:14" x14ac:dyDescent="0.25">
      <c r="B22" s="119">
        <f>+SAP!A15</f>
        <v>46126</v>
      </c>
      <c r="C22" s="120">
        <f>+SAP!F15</f>
        <v>0</v>
      </c>
      <c r="D22" s="121">
        <v>45824</v>
      </c>
      <c r="E22" s="122" t="s">
        <v>128</v>
      </c>
      <c r="F22" s="123" t="s">
        <v>76</v>
      </c>
      <c r="G22" s="122">
        <v>16211.2</v>
      </c>
      <c r="H22" s="124">
        <f>+C22+C23-G22</f>
        <v>-16158.300000000001</v>
      </c>
      <c r="I22" s="56" t="s">
        <v>131</v>
      </c>
      <c r="J22" s="57" t="s">
        <v>130</v>
      </c>
      <c r="K22" s="57" t="s">
        <v>130</v>
      </c>
      <c r="M22" s="8">
        <f t="shared" si="0"/>
        <v>46126</v>
      </c>
      <c r="N22" s="25">
        <f t="shared" si="1"/>
        <v>0</v>
      </c>
    </row>
    <row r="23" spans="2:14" x14ac:dyDescent="0.25">
      <c r="B23" s="119">
        <f>+SAP!A16</f>
        <v>46127</v>
      </c>
      <c r="C23" s="120">
        <f>+SAP!F16</f>
        <v>52.9</v>
      </c>
      <c r="D23" s="125"/>
      <c r="E23" s="126"/>
      <c r="F23" s="127"/>
      <c r="G23" s="128"/>
      <c r="H23" s="124"/>
      <c r="I23" s="56"/>
      <c r="J23" s="57" t="s">
        <v>130</v>
      </c>
      <c r="K23" s="57" t="s">
        <v>130</v>
      </c>
      <c r="M23" s="8">
        <f t="shared" si="0"/>
        <v>46127</v>
      </c>
      <c r="N23" s="25">
        <f t="shared" si="1"/>
        <v>52.9</v>
      </c>
    </row>
    <row r="24" spans="2:14" x14ac:dyDescent="0.25">
      <c r="B24" s="129">
        <f>+SAP!A17</f>
        <v>46128</v>
      </c>
      <c r="C24" s="130">
        <f>+SAP!F17</f>
        <v>125.8</v>
      </c>
      <c r="D24" s="131">
        <v>45826</v>
      </c>
      <c r="E24" s="132" t="s">
        <v>129</v>
      </c>
      <c r="F24" s="133" t="s">
        <v>76</v>
      </c>
      <c r="G24" s="132">
        <v>4681.8</v>
      </c>
      <c r="H24" s="134">
        <f>+C24+C25-G24</f>
        <v>-4391.2</v>
      </c>
      <c r="I24" s="56" t="s">
        <v>131</v>
      </c>
      <c r="J24" s="57" t="s">
        <v>130</v>
      </c>
      <c r="K24" s="57" t="s">
        <v>130</v>
      </c>
      <c r="M24" s="8">
        <f t="shared" si="0"/>
        <v>46128</v>
      </c>
      <c r="N24" s="25">
        <f t="shared" si="1"/>
        <v>125.8</v>
      </c>
    </row>
    <row r="25" spans="2:14" x14ac:dyDescent="0.25">
      <c r="B25" s="129">
        <f>+SAP!A18</f>
        <v>46129</v>
      </c>
      <c r="C25" s="130">
        <f>+SAP!F18</f>
        <v>164.8</v>
      </c>
      <c r="D25" s="135"/>
      <c r="E25" s="136"/>
      <c r="F25" s="137"/>
      <c r="G25" s="138"/>
      <c r="H25" s="134"/>
      <c r="I25" s="56"/>
      <c r="J25" s="57" t="s">
        <v>130</v>
      </c>
      <c r="K25" s="57" t="s">
        <v>130</v>
      </c>
      <c r="M25" s="8">
        <f t="shared" si="0"/>
        <v>46129</v>
      </c>
      <c r="N25" s="25">
        <f t="shared" si="1"/>
        <v>164.8</v>
      </c>
    </row>
    <row r="26" spans="2:14" x14ac:dyDescent="0.25">
      <c r="B26" s="51">
        <f>+SAP!A19</f>
        <v>46130</v>
      </c>
      <c r="C26" s="86">
        <f>+SAP!F19</f>
        <v>949</v>
      </c>
      <c r="D26" s="62"/>
      <c r="E26" s="58"/>
      <c r="F26" s="59"/>
      <c r="G26" s="60"/>
      <c r="H26" s="55">
        <f t="shared" si="2"/>
        <v>949</v>
      </c>
      <c r="I26" s="56"/>
      <c r="J26" s="57" t="s">
        <v>132</v>
      </c>
      <c r="K26" s="57"/>
      <c r="M26" s="8">
        <f t="shared" si="0"/>
        <v>46130</v>
      </c>
      <c r="N26" s="25">
        <f t="shared" si="1"/>
        <v>949</v>
      </c>
    </row>
    <row r="27" spans="2:14" x14ac:dyDescent="0.25">
      <c r="B27" s="51">
        <f>+SAP!A20</f>
        <v>46131</v>
      </c>
      <c r="C27" s="86">
        <f>+SAP!F20</f>
        <v>645.79999999999995</v>
      </c>
      <c r="D27" s="51"/>
      <c r="E27" s="63"/>
      <c r="F27" s="61"/>
      <c r="G27" s="63"/>
      <c r="H27" s="55">
        <f t="shared" si="2"/>
        <v>645.79999999999995</v>
      </c>
      <c r="I27" s="56"/>
      <c r="J27" s="57" t="s">
        <v>132</v>
      </c>
      <c r="K27" s="57"/>
      <c r="M27" s="8">
        <f t="shared" si="0"/>
        <v>46131</v>
      </c>
      <c r="N27" s="25">
        <f t="shared" si="1"/>
        <v>645.79999999999995</v>
      </c>
    </row>
    <row r="28" spans="2:14" x14ac:dyDescent="0.25">
      <c r="B28" s="51">
        <f>+SAP!A21</f>
        <v>46132</v>
      </c>
      <c r="C28" s="86">
        <f>+SAP!F21</f>
        <v>3222.9</v>
      </c>
      <c r="D28" s="51"/>
      <c r="E28" s="52"/>
      <c r="F28" s="54"/>
      <c r="G28" s="52"/>
      <c r="H28" s="55">
        <f t="shared" si="2"/>
        <v>3222.9</v>
      </c>
      <c r="I28" s="56"/>
      <c r="J28" s="57" t="s">
        <v>132</v>
      </c>
      <c r="K28" s="57"/>
      <c r="M28" s="8">
        <f t="shared" si="0"/>
        <v>46132</v>
      </c>
      <c r="N28" s="25">
        <f t="shared" si="1"/>
        <v>3222.9</v>
      </c>
    </row>
    <row r="29" spans="2:14" x14ac:dyDescent="0.25">
      <c r="B29" s="51">
        <f>+SAP!A22</f>
        <v>46133</v>
      </c>
      <c r="C29" s="86">
        <f>+SAP!F22</f>
        <v>0</v>
      </c>
      <c r="D29" s="62"/>
      <c r="E29" s="58"/>
      <c r="F29" s="59"/>
      <c r="G29" s="60"/>
      <c r="H29" s="55">
        <f t="shared" si="2"/>
        <v>0</v>
      </c>
      <c r="I29" s="56"/>
      <c r="J29" s="57" t="s">
        <v>132</v>
      </c>
      <c r="K29" s="64"/>
      <c r="M29" s="8">
        <f t="shared" si="0"/>
        <v>46133</v>
      </c>
      <c r="N29" s="25">
        <f t="shared" si="1"/>
        <v>0</v>
      </c>
    </row>
    <row r="30" spans="2:14" x14ac:dyDescent="0.25">
      <c r="B30" s="51">
        <f>+SAP!A23</f>
        <v>46134</v>
      </c>
      <c r="C30" s="86">
        <f>+SAP!F23</f>
        <v>478.9</v>
      </c>
      <c r="D30" s="51"/>
      <c r="E30" s="52"/>
      <c r="F30" s="54"/>
      <c r="G30" s="52"/>
      <c r="H30" s="55">
        <f t="shared" si="2"/>
        <v>478.9</v>
      </c>
      <c r="I30" s="56"/>
      <c r="J30" s="57" t="s">
        <v>132</v>
      </c>
      <c r="K30" s="64"/>
      <c r="M30" s="8">
        <f t="shared" si="0"/>
        <v>46134</v>
      </c>
      <c r="N30" s="25">
        <f t="shared" si="1"/>
        <v>478.9</v>
      </c>
    </row>
    <row r="31" spans="2:14" x14ac:dyDescent="0.25">
      <c r="B31" s="51">
        <f>+SAP!A24</f>
        <v>46135</v>
      </c>
      <c r="C31" s="86">
        <f>+SAP!F24</f>
        <v>459</v>
      </c>
      <c r="D31" s="62"/>
      <c r="E31" s="58"/>
      <c r="F31" s="59"/>
      <c r="G31" s="60"/>
      <c r="H31" s="55">
        <f t="shared" si="2"/>
        <v>459</v>
      </c>
      <c r="I31" s="83"/>
      <c r="J31" s="57" t="s">
        <v>132</v>
      </c>
      <c r="K31" s="64"/>
      <c r="M31" s="8">
        <f t="shared" si="0"/>
        <v>46135</v>
      </c>
      <c r="N31" s="25">
        <f t="shared" si="1"/>
        <v>459</v>
      </c>
    </row>
    <row r="32" spans="2:14" x14ac:dyDescent="0.25">
      <c r="B32" s="51">
        <f>+SAP!A25</f>
        <v>46136</v>
      </c>
      <c r="C32" s="86">
        <f>+SAP!F25</f>
        <v>158</v>
      </c>
      <c r="D32" s="51"/>
      <c r="E32" s="52"/>
      <c r="F32" s="54"/>
      <c r="G32" s="52"/>
      <c r="H32" s="55">
        <f t="shared" si="2"/>
        <v>158</v>
      </c>
      <c r="I32" s="56"/>
      <c r="J32" s="57" t="s">
        <v>132</v>
      </c>
      <c r="K32" s="64"/>
      <c r="M32" s="8">
        <f t="shared" si="0"/>
        <v>46136</v>
      </c>
      <c r="N32" s="25">
        <f t="shared" si="1"/>
        <v>158</v>
      </c>
    </row>
    <row r="33" spans="2:14" x14ac:dyDescent="0.25">
      <c r="B33" s="51">
        <f>+SAP!A26</f>
        <v>46137</v>
      </c>
      <c r="C33" s="86">
        <f>+SAP!F26</f>
        <v>2636</v>
      </c>
      <c r="D33" s="65"/>
      <c r="E33" s="66"/>
      <c r="F33" s="67"/>
      <c r="G33" s="68"/>
      <c r="H33" s="55">
        <f t="shared" si="2"/>
        <v>2636</v>
      </c>
      <c r="I33" s="84"/>
      <c r="J33" s="57" t="s">
        <v>132</v>
      </c>
      <c r="K33" s="64"/>
      <c r="M33" s="8">
        <f t="shared" si="0"/>
        <v>46137</v>
      </c>
      <c r="N33" s="25">
        <f t="shared" si="1"/>
        <v>2636</v>
      </c>
    </row>
    <row r="34" spans="2:14" x14ac:dyDescent="0.25">
      <c r="B34" s="51">
        <f>+SAP!A27</f>
        <v>46138</v>
      </c>
      <c r="C34" s="86">
        <f>+SAP!F27</f>
        <v>1079.5</v>
      </c>
      <c r="D34" s="65"/>
      <c r="E34" s="66"/>
      <c r="F34" s="67"/>
      <c r="G34" s="68"/>
      <c r="H34" s="55">
        <f t="shared" si="2"/>
        <v>1079.5</v>
      </c>
      <c r="I34" s="56"/>
      <c r="J34" s="57" t="s">
        <v>132</v>
      </c>
      <c r="K34" s="64"/>
      <c r="M34" s="8">
        <f t="shared" si="0"/>
        <v>46138</v>
      </c>
      <c r="N34" s="25">
        <f t="shared" si="1"/>
        <v>1079.5</v>
      </c>
    </row>
    <row r="35" spans="2:14" x14ac:dyDescent="0.25">
      <c r="B35" s="51">
        <f>+SAP!A28</f>
        <v>46139</v>
      </c>
      <c r="C35" s="86">
        <f>+SAP!F28</f>
        <v>2447.8000000000002</v>
      </c>
      <c r="D35" s="65"/>
      <c r="E35" s="66"/>
      <c r="F35" s="67"/>
      <c r="G35" s="68"/>
      <c r="H35" s="55">
        <f t="shared" si="2"/>
        <v>2447.8000000000002</v>
      </c>
      <c r="I35" s="56"/>
      <c r="J35" s="57" t="s">
        <v>132</v>
      </c>
      <c r="K35" s="64"/>
      <c r="M35" s="8">
        <f t="shared" si="0"/>
        <v>46139</v>
      </c>
      <c r="N35" s="25">
        <f t="shared" si="1"/>
        <v>2447.8000000000002</v>
      </c>
    </row>
    <row r="36" spans="2:14" x14ac:dyDescent="0.25">
      <c r="B36" s="51">
        <f>+SAP!A29</f>
        <v>46140</v>
      </c>
      <c r="C36" s="86">
        <f>+SAP!F29</f>
        <v>925.9</v>
      </c>
      <c r="D36" s="53"/>
      <c r="E36" s="52"/>
      <c r="F36" s="54"/>
      <c r="G36" s="52"/>
      <c r="H36" s="55">
        <f t="shared" si="2"/>
        <v>925.9</v>
      </c>
      <c r="I36" s="56"/>
      <c r="J36" s="57" t="s">
        <v>132</v>
      </c>
      <c r="K36" s="64"/>
      <c r="M36" s="8">
        <f t="shared" si="0"/>
        <v>46140</v>
      </c>
      <c r="N36" s="25">
        <f t="shared" si="1"/>
        <v>925.9</v>
      </c>
    </row>
    <row r="37" spans="2:14" x14ac:dyDescent="0.25">
      <c r="B37" s="51">
        <f>+SAP!A30</f>
        <v>46141</v>
      </c>
      <c r="C37" s="86">
        <f>+SAP!F30</f>
        <v>598</v>
      </c>
      <c r="D37" s="69"/>
      <c r="E37" s="70"/>
      <c r="F37" s="71"/>
      <c r="G37" s="72"/>
      <c r="H37" s="55">
        <f t="shared" si="2"/>
        <v>598</v>
      </c>
      <c r="I37" s="56"/>
      <c r="J37" s="57" t="s">
        <v>132</v>
      </c>
      <c r="K37" s="64"/>
      <c r="M37" s="8">
        <f t="shared" si="0"/>
        <v>46141</v>
      </c>
      <c r="N37" s="25">
        <f t="shared" si="1"/>
        <v>598</v>
      </c>
    </row>
    <row r="38" spans="2:14" x14ac:dyDescent="0.25">
      <c r="B38" s="51">
        <f>+SAP!A31</f>
        <v>46142</v>
      </c>
      <c r="C38" s="86">
        <f>+SAP!F31</f>
        <v>515</v>
      </c>
      <c r="D38" s="62"/>
      <c r="E38" s="58"/>
      <c r="F38" s="59"/>
      <c r="G38" s="60"/>
      <c r="H38" s="55">
        <f t="shared" si="2"/>
        <v>515</v>
      </c>
      <c r="I38" s="56"/>
      <c r="J38" s="57" t="s">
        <v>132</v>
      </c>
      <c r="K38" s="57"/>
      <c r="M38" s="8">
        <f t="shared" si="0"/>
        <v>46142</v>
      </c>
      <c r="N38" s="25">
        <f t="shared" si="1"/>
        <v>515</v>
      </c>
    </row>
    <row r="39" spans="2:14" x14ac:dyDescent="0.25">
      <c r="B39" s="51">
        <f>+SAP!A32</f>
        <v>0</v>
      </c>
      <c r="C39" s="86">
        <f>+SAP!F32</f>
        <v>0</v>
      </c>
      <c r="D39" s="51"/>
      <c r="E39" s="63"/>
      <c r="F39" s="61"/>
      <c r="G39" s="63"/>
      <c r="H39" s="55">
        <f t="shared" si="2"/>
        <v>0</v>
      </c>
      <c r="I39" s="56"/>
      <c r="J39" s="57" t="s">
        <v>132</v>
      </c>
      <c r="K39" s="57"/>
      <c r="M39" s="8">
        <f t="shared" si="0"/>
        <v>0</v>
      </c>
      <c r="N39" s="25">
        <f t="shared" si="1"/>
        <v>0</v>
      </c>
    </row>
    <row r="40" spans="2:14" x14ac:dyDescent="0.25">
      <c r="B40" s="51"/>
      <c r="C40" s="86"/>
      <c r="D40" s="62"/>
      <c r="E40" s="58"/>
      <c r="F40" s="59"/>
      <c r="G40" s="60"/>
      <c r="H40" s="55"/>
      <c r="I40" s="56"/>
      <c r="J40" s="57"/>
      <c r="K40" s="57"/>
    </row>
    <row r="42" spans="2:14" ht="15.75" x14ac:dyDescent="0.25">
      <c r="F42" s="18" t="s">
        <v>88</v>
      </c>
      <c r="G42" s="19">
        <f>SUMIF(J9:J40,"PENDIENTE",C9:C40)</f>
        <v>14115.799999999997</v>
      </c>
    </row>
    <row r="50" spans="4:10" x14ac:dyDescent="0.25">
      <c r="E50" s="30" t="s">
        <v>70</v>
      </c>
      <c r="F50" s="30" t="s">
        <v>71</v>
      </c>
      <c r="G50" s="30" t="s">
        <v>72</v>
      </c>
      <c r="H50" s="75" t="s">
        <v>45</v>
      </c>
      <c r="I50" s="30" t="s">
        <v>96</v>
      </c>
      <c r="J50" s="30" t="s">
        <v>0</v>
      </c>
    </row>
    <row r="51" spans="4:10" x14ac:dyDescent="0.25">
      <c r="D51" s="21">
        <v>104101</v>
      </c>
      <c r="E51" s="76">
        <v>45779</v>
      </c>
      <c r="F51" s="77" t="s">
        <v>97</v>
      </c>
      <c r="G51" s="78" t="s">
        <v>76</v>
      </c>
      <c r="H51" s="79">
        <v>9005.7999999999993</v>
      </c>
      <c r="I51" s="80" t="s">
        <v>93</v>
      </c>
      <c r="J51" s="78" t="s">
        <v>98</v>
      </c>
    </row>
    <row r="52" spans="4:10" x14ac:dyDescent="0.25">
      <c r="D52" s="21">
        <v>104101</v>
      </c>
      <c r="E52" s="76">
        <v>45783</v>
      </c>
      <c r="F52" s="77" t="s">
        <v>99</v>
      </c>
      <c r="G52" s="78" t="s">
        <v>76</v>
      </c>
      <c r="H52" s="79">
        <v>16049.65</v>
      </c>
      <c r="I52" s="80" t="s">
        <v>93</v>
      </c>
      <c r="J52" s="78" t="s">
        <v>100</v>
      </c>
    </row>
    <row r="53" spans="4:10" x14ac:dyDescent="0.25">
      <c r="D53" s="21">
        <v>104101</v>
      </c>
      <c r="E53" s="76">
        <v>45784</v>
      </c>
      <c r="F53" s="77" t="s">
        <v>101</v>
      </c>
      <c r="G53" s="78" t="s">
        <v>76</v>
      </c>
      <c r="H53" s="79">
        <v>8395.4</v>
      </c>
      <c r="I53" s="80" t="s">
        <v>93</v>
      </c>
      <c r="J53" s="78" t="s">
        <v>102</v>
      </c>
    </row>
    <row r="54" spans="4:10" x14ac:dyDescent="0.25">
      <c r="D54" s="21">
        <v>104101</v>
      </c>
      <c r="E54" s="76">
        <v>45786</v>
      </c>
      <c r="F54" s="77" t="s">
        <v>103</v>
      </c>
      <c r="G54" s="78" t="s">
        <v>104</v>
      </c>
      <c r="H54" s="79">
        <v>7388.9</v>
      </c>
      <c r="I54" s="80" t="s">
        <v>93</v>
      </c>
      <c r="J54" s="78" t="s">
        <v>105</v>
      </c>
    </row>
    <row r="55" spans="4:10" x14ac:dyDescent="0.25">
      <c r="D55" s="21"/>
      <c r="E55" s="76">
        <v>45789</v>
      </c>
      <c r="F55" s="77" t="s">
        <v>106</v>
      </c>
      <c r="G55" s="78" t="s">
        <v>76</v>
      </c>
      <c r="H55" s="79">
        <v>26802.23</v>
      </c>
      <c r="I55" s="80" t="s">
        <v>93</v>
      </c>
      <c r="J55" s="78" t="s">
        <v>107</v>
      </c>
    </row>
    <row r="56" spans="4:10" x14ac:dyDescent="0.25">
      <c r="D56" s="21"/>
      <c r="E56" s="76">
        <v>45791</v>
      </c>
      <c r="F56" s="77" t="s">
        <v>108</v>
      </c>
      <c r="G56" s="78" t="s">
        <v>76</v>
      </c>
      <c r="H56" s="79">
        <v>11232.05</v>
      </c>
      <c r="I56" s="80" t="s">
        <v>93</v>
      </c>
      <c r="J56" s="78" t="s">
        <v>109</v>
      </c>
    </row>
    <row r="57" spans="4:10" x14ac:dyDescent="0.25">
      <c r="D57" s="21"/>
      <c r="E57" s="76">
        <v>45793</v>
      </c>
      <c r="F57" s="77" t="s">
        <v>110</v>
      </c>
      <c r="G57" s="78" t="s">
        <v>76</v>
      </c>
      <c r="H57" s="79">
        <v>8100.7</v>
      </c>
      <c r="I57" s="80" t="s">
        <v>93</v>
      </c>
      <c r="J57" s="78" t="s">
        <v>111</v>
      </c>
    </row>
    <row r="58" spans="4:10" x14ac:dyDescent="0.25">
      <c r="D58" s="21"/>
      <c r="E58" s="76">
        <v>45796</v>
      </c>
      <c r="F58" s="77" t="s">
        <v>112</v>
      </c>
      <c r="G58" s="78" t="s">
        <v>76</v>
      </c>
      <c r="H58" s="79">
        <v>15781.22</v>
      </c>
      <c r="I58" s="80" t="s">
        <v>93</v>
      </c>
      <c r="J58" s="78" t="s">
        <v>113</v>
      </c>
    </row>
    <row r="59" spans="4:10" x14ac:dyDescent="0.25">
      <c r="D59" s="21"/>
      <c r="E59" s="76">
        <v>45798</v>
      </c>
      <c r="F59" s="77" t="s">
        <v>114</v>
      </c>
      <c r="G59" s="78" t="s">
        <v>76</v>
      </c>
      <c r="H59" s="79">
        <v>8384.9</v>
      </c>
      <c r="I59" s="80" t="s">
        <v>93</v>
      </c>
      <c r="J59" s="78" t="s">
        <v>115</v>
      </c>
    </row>
    <row r="60" spans="4:10" x14ac:dyDescent="0.25">
      <c r="D60" s="21"/>
      <c r="E60" s="76">
        <v>45801</v>
      </c>
      <c r="F60" s="77" t="s">
        <v>116</v>
      </c>
      <c r="G60" s="78" t="s">
        <v>76</v>
      </c>
      <c r="H60" s="79">
        <v>11656.1</v>
      </c>
      <c r="I60" s="80" t="s">
        <v>93</v>
      </c>
      <c r="J60" s="78" t="s">
        <v>117</v>
      </c>
    </row>
    <row r="61" spans="4:10" x14ac:dyDescent="0.25">
      <c r="D61" s="21"/>
      <c r="E61" s="76">
        <v>45803</v>
      </c>
      <c r="F61" s="77" t="s">
        <v>118</v>
      </c>
      <c r="G61" s="78" t="s">
        <v>76</v>
      </c>
      <c r="H61" s="79">
        <v>15704.3</v>
      </c>
      <c r="I61" s="80" t="s">
        <v>93</v>
      </c>
      <c r="J61" s="78" t="s">
        <v>119</v>
      </c>
    </row>
    <row r="62" spans="4:10" x14ac:dyDescent="0.25">
      <c r="D62" s="21"/>
    </row>
  </sheetData>
  <autoFilter ref="B8:L39" xr:uid="{B7FFC523-AB9D-4370-BF2A-A2F26E197111}"/>
  <sortState xmlns:xlrd2="http://schemas.microsoft.com/office/spreadsheetml/2017/richdata2" ref="E51:J54">
    <sortCondition ref="J51:J54"/>
  </sortState>
  <phoneticPr fontId="5" type="noConversion"/>
  <conditionalFormatting sqref="F4 J1 J3:J8 J41:J49 J62:J1048576">
    <cfRule type="containsText" dxfId="6" priority="33" operator="containsText" text="PENDIENTE">
      <formula>NOT(ISERROR(SEARCH("PENDIENTE",F1)))</formula>
    </cfRule>
  </conditionalFormatting>
  <conditionalFormatting sqref="F4">
    <cfRule type="containsText" dxfId="5" priority="32" operator="containsText" text="OK">
      <formula>NOT(ISERROR(SEARCH("OK",F4)))</formula>
    </cfRule>
  </conditionalFormatting>
  <conditionalFormatting sqref="K39 K33 K31 K36 J62:J1048576 J1:J49 K9:K29">
    <cfRule type="containsText" dxfId="4" priority="24" operator="containsText" text="PENDIENTE">
      <formula>NOT(ISERROR(SEARCH("PENDIENTE",J1)))</formula>
    </cfRule>
    <cfRule type="containsText" dxfId="3" priority="25" operator="containsText" text="OK">
      <formula>NOT(ISERROR(SEARCH("OK",J1)))</formula>
    </cfRule>
  </conditionalFormatting>
  <conditionalFormatting sqref="F50:F61">
    <cfRule type="duplicateValues" dxfId="2" priority="3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C23F-3CD7-4736-9E2A-2745D8CEC65E}">
  <dimension ref="A1:AP653"/>
  <sheetViews>
    <sheetView showGridLines="0" topLeftCell="AJ1" zoomScale="80" zoomScaleNormal="80" workbookViewId="0">
      <pane ySplit="1" topLeftCell="A2" activePane="bottomLeft" state="frozen"/>
      <selection pane="bottomLeft" activeCell="AP18" sqref="AP18"/>
    </sheetView>
  </sheetViews>
  <sheetFormatPr baseColWidth="10" defaultRowHeight="15.75" x14ac:dyDescent="0.25"/>
  <cols>
    <col min="1" max="1" width="11.42578125" style="143"/>
    <col min="2" max="11" width="11.42578125" style="144" customWidth="1"/>
    <col min="12" max="12" width="18.5703125" style="144" customWidth="1"/>
    <col min="13" max="14" width="11.42578125" style="144" customWidth="1"/>
    <col min="15" max="15" width="14.42578125" style="144" customWidth="1"/>
    <col min="16" max="16" width="13.28515625" style="145" customWidth="1"/>
    <col min="17" max="19" width="11.42578125" style="144" customWidth="1"/>
    <col min="20" max="20" width="11.42578125" style="35" customWidth="1"/>
    <col min="21" max="21" width="11.42578125" style="146" customWidth="1"/>
    <col min="22" max="22" width="13.85546875" style="147" bestFit="1" customWidth="1"/>
    <col min="23" max="23" width="16.28515625" style="148" customWidth="1"/>
    <col min="24" max="24" width="18.42578125" style="149" bestFit="1" customWidth="1"/>
    <col min="25" max="25" width="13.28515625" style="150" customWidth="1"/>
    <col min="26" max="26" width="23.140625" style="151" hidden="1" customWidth="1"/>
    <col min="27" max="27" width="21.85546875" style="141" hidden="1" customWidth="1"/>
    <col min="28" max="28" width="18.5703125" style="152" hidden="1" customWidth="1"/>
    <col min="29" max="29" width="17" style="149" hidden="1" customWidth="1"/>
    <col min="30" max="31" width="18.5703125" style="36" hidden="1" customWidth="1"/>
    <col min="32" max="32" width="18.5703125" style="36" customWidth="1"/>
    <col min="33" max="33" width="13" style="36" bestFit="1" customWidth="1"/>
    <col min="34" max="34" width="22" style="36" customWidth="1"/>
    <col min="35" max="35" width="11.42578125" style="32" customWidth="1"/>
    <col min="36" max="36" width="18.42578125" style="32" bestFit="1" customWidth="1"/>
    <col min="37" max="37" width="16.42578125" style="32" bestFit="1" customWidth="1"/>
    <col min="38" max="38" width="16.42578125" style="93" bestFit="1" customWidth="1"/>
    <col min="39" max="39" width="16.42578125" style="32" bestFit="1" customWidth="1"/>
    <col min="40" max="16384" width="11.42578125" style="32"/>
  </cols>
  <sheetData>
    <row r="1" spans="1:42" ht="15" x14ac:dyDescent="0.25">
      <c r="A1" s="191" t="s">
        <v>30</v>
      </c>
      <c r="B1" s="162" t="s">
        <v>31</v>
      </c>
      <c r="C1" s="162" t="s">
        <v>32</v>
      </c>
      <c r="D1" s="162" t="s">
        <v>33</v>
      </c>
      <c r="E1" s="162" t="s">
        <v>34</v>
      </c>
      <c r="F1" s="162" t="s">
        <v>35</v>
      </c>
      <c r="G1" s="162" t="s">
        <v>36</v>
      </c>
      <c r="H1" s="162" t="s">
        <v>37</v>
      </c>
      <c r="I1" s="162" t="s">
        <v>38</v>
      </c>
      <c r="J1" s="162" t="s">
        <v>39</v>
      </c>
      <c r="K1" s="162" t="s">
        <v>40</v>
      </c>
      <c r="L1" s="162" t="s">
        <v>41</v>
      </c>
      <c r="M1" s="162" t="s">
        <v>42</v>
      </c>
      <c r="N1" s="162" t="s">
        <v>43</v>
      </c>
      <c r="O1" s="162" t="s">
        <v>44</v>
      </c>
      <c r="P1" s="162" t="s">
        <v>45</v>
      </c>
      <c r="Q1" s="162" t="s">
        <v>46</v>
      </c>
      <c r="R1" s="162" t="s">
        <v>47</v>
      </c>
      <c r="S1" s="162" t="s">
        <v>48</v>
      </c>
      <c r="T1" s="162" t="s">
        <v>49</v>
      </c>
      <c r="U1" s="162" t="s">
        <v>50</v>
      </c>
      <c r="V1" s="228" t="s">
        <v>51</v>
      </c>
      <c r="W1" s="162" t="s">
        <v>52</v>
      </c>
      <c r="X1" s="162" t="s">
        <v>53</v>
      </c>
      <c r="Y1" s="162" t="s">
        <v>54</v>
      </c>
      <c r="Z1" s="162" t="s">
        <v>77</v>
      </c>
      <c r="AA1" s="162" t="s">
        <v>78</v>
      </c>
      <c r="AB1" s="162" t="s">
        <v>79</v>
      </c>
      <c r="AC1" s="162" t="s">
        <v>80</v>
      </c>
      <c r="AD1" s="162" t="s">
        <v>81</v>
      </c>
      <c r="AE1" s="162" t="s">
        <v>82</v>
      </c>
      <c r="AF1" s="162" t="s">
        <v>83</v>
      </c>
      <c r="AG1" s="163" t="s">
        <v>75</v>
      </c>
      <c r="AH1" s="31"/>
      <c r="AI1" s="219"/>
      <c r="AJ1" s="9" t="s">
        <v>61</v>
      </c>
      <c r="AK1" t="s">
        <v>63</v>
      </c>
      <c r="AL1"/>
    </row>
    <row r="2" spans="1:42" ht="15" x14ac:dyDescent="0.25">
      <c r="A2" s="155">
        <v>1045649</v>
      </c>
      <c r="B2" s="156" t="s">
        <v>60</v>
      </c>
      <c r="C2" s="156" t="s">
        <v>56</v>
      </c>
      <c r="D2" s="157">
        <v>46113</v>
      </c>
      <c r="E2" s="157">
        <v>46113</v>
      </c>
      <c r="F2" s="156"/>
      <c r="G2" s="156">
        <v>673</v>
      </c>
      <c r="H2" s="156" t="s">
        <v>176</v>
      </c>
      <c r="I2" s="156">
        <v>1078</v>
      </c>
      <c r="J2" s="156">
        <v>42067</v>
      </c>
      <c r="K2" s="156"/>
      <c r="L2" s="156" t="s">
        <v>188</v>
      </c>
      <c r="M2" s="156" t="s">
        <v>57</v>
      </c>
      <c r="N2" s="156" t="s">
        <v>58</v>
      </c>
      <c r="O2" s="157">
        <v>46113</v>
      </c>
      <c r="P2" s="229">
        <v>629</v>
      </c>
      <c r="Q2" s="180" t="s">
        <v>59</v>
      </c>
      <c r="R2" s="180">
        <v>18.18</v>
      </c>
      <c r="S2" s="180">
        <v>8.1199999999999992</v>
      </c>
      <c r="T2" s="180">
        <v>1.46</v>
      </c>
      <c r="U2" s="180">
        <v>609.36</v>
      </c>
      <c r="V2" s="230">
        <v>0</v>
      </c>
      <c r="W2" s="156"/>
      <c r="X2" s="156">
        <v>20260406</v>
      </c>
      <c r="Y2" s="156"/>
      <c r="Z2" s="156" t="s">
        <v>84</v>
      </c>
      <c r="AA2" s="156" t="s">
        <v>177</v>
      </c>
      <c r="AB2" s="156" t="s">
        <v>136</v>
      </c>
      <c r="AC2" s="156"/>
      <c r="AD2" s="156"/>
      <c r="AE2" s="158">
        <v>0.51173611111111106</v>
      </c>
      <c r="AF2" s="156" t="s">
        <v>178</v>
      </c>
      <c r="AG2" s="159" t="s">
        <v>137</v>
      </c>
      <c r="AH2" s="32"/>
      <c r="AJ2" s="10">
        <v>46113</v>
      </c>
      <c r="AK2" s="29">
        <v>5591.9</v>
      </c>
      <c r="AL2"/>
      <c r="AN2" s="37"/>
      <c r="AO2" s="220">
        <v>46082</v>
      </c>
      <c r="AP2" s="221">
        <v>5591.9</v>
      </c>
    </row>
    <row r="3" spans="1:42" ht="15" x14ac:dyDescent="0.25">
      <c r="A3" s="155">
        <v>1045649</v>
      </c>
      <c r="B3" s="156" t="s">
        <v>60</v>
      </c>
      <c r="C3" s="156" t="s">
        <v>56</v>
      </c>
      <c r="D3" s="157">
        <v>46113</v>
      </c>
      <c r="E3" s="157">
        <v>46113</v>
      </c>
      <c r="F3" s="156"/>
      <c r="G3" s="156">
        <v>673</v>
      </c>
      <c r="H3" s="156" t="s">
        <v>176</v>
      </c>
      <c r="I3" s="156">
        <v>1080</v>
      </c>
      <c r="J3" s="156">
        <v>80066</v>
      </c>
      <c r="K3" s="156"/>
      <c r="L3" s="156" t="s">
        <v>189</v>
      </c>
      <c r="M3" s="156" t="s">
        <v>57</v>
      </c>
      <c r="N3" s="156" t="s">
        <v>58</v>
      </c>
      <c r="O3" s="157">
        <v>46113</v>
      </c>
      <c r="P3" s="229">
        <v>1699</v>
      </c>
      <c r="Q3" s="180" t="s">
        <v>59</v>
      </c>
      <c r="R3" s="180">
        <v>49.1</v>
      </c>
      <c r="S3" s="180">
        <v>6.62</v>
      </c>
      <c r="T3" s="180">
        <v>1.19</v>
      </c>
      <c r="U3" s="180">
        <v>1648.71</v>
      </c>
      <c r="V3" s="230">
        <v>0</v>
      </c>
      <c r="W3" s="156"/>
      <c r="X3" s="156">
        <v>20260406</v>
      </c>
      <c r="Y3" s="156"/>
      <c r="Z3" s="156" t="s">
        <v>85</v>
      </c>
      <c r="AA3" s="156" t="s">
        <v>177</v>
      </c>
      <c r="AB3" s="156" t="s">
        <v>133</v>
      </c>
      <c r="AC3" s="156"/>
      <c r="AD3" s="156"/>
      <c r="AE3" s="158">
        <v>0.63046296296296289</v>
      </c>
      <c r="AF3" s="156" t="s">
        <v>178</v>
      </c>
      <c r="AG3" s="159" t="s">
        <v>137</v>
      </c>
      <c r="AH3" s="32"/>
      <c r="AJ3" s="10">
        <v>46114</v>
      </c>
      <c r="AK3" s="29">
        <v>5325</v>
      </c>
      <c r="AL3"/>
      <c r="AN3" s="37"/>
      <c r="AO3" s="220">
        <f>+AO2+1</f>
        <v>46083</v>
      </c>
      <c r="AP3" s="221">
        <v>5325</v>
      </c>
    </row>
    <row r="4" spans="1:42" ht="15" x14ac:dyDescent="0.25">
      <c r="A4" s="155">
        <v>1045649</v>
      </c>
      <c r="B4" s="156" t="s">
        <v>60</v>
      </c>
      <c r="C4" s="156" t="s">
        <v>56</v>
      </c>
      <c r="D4" s="157">
        <v>46113</v>
      </c>
      <c r="E4" s="157">
        <v>46113</v>
      </c>
      <c r="F4" s="156"/>
      <c r="G4" s="156">
        <v>673</v>
      </c>
      <c r="H4" s="156" t="s">
        <v>176</v>
      </c>
      <c r="I4" s="156">
        <v>1082</v>
      </c>
      <c r="J4" s="156">
        <v>576035</v>
      </c>
      <c r="K4" s="156"/>
      <c r="L4" s="156" t="s">
        <v>190</v>
      </c>
      <c r="M4" s="156" t="s">
        <v>57</v>
      </c>
      <c r="N4" s="156" t="s">
        <v>58</v>
      </c>
      <c r="O4" s="157">
        <v>46113</v>
      </c>
      <c r="P4" s="229">
        <v>89</v>
      </c>
      <c r="Q4" s="180" t="s">
        <v>59</v>
      </c>
      <c r="R4" s="180">
        <v>2.57</v>
      </c>
      <c r="S4" s="180">
        <v>1.1499999999999999</v>
      </c>
      <c r="T4" s="180">
        <v>0.21</v>
      </c>
      <c r="U4" s="180">
        <v>86.22</v>
      </c>
      <c r="V4" s="230">
        <v>0</v>
      </c>
      <c r="W4" s="156"/>
      <c r="X4" s="156">
        <v>20260406</v>
      </c>
      <c r="Y4" s="156"/>
      <c r="Z4" s="156" t="s">
        <v>84</v>
      </c>
      <c r="AA4" s="156" t="s">
        <v>177</v>
      </c>
      <c r="AB4" s="156" t="s">
        <v>138</v>
      </c>
      <c r="AC4" s="156"/>
      <c r="AD4" s="156"/>
      <c r="AE4" s="158">
        <v>0.63863425925925921</v>
      </c>
      <c r="AF4" s="156" t="s">
        <v>178</v>
      </c>
      <c r="AG4" s="159" t="s">
        <v>137</v>
      </c>
      <c r="AH4" s="32"/>
      <c r="AJ4" s="10">
        <v>46115</v>
      </c>
      <c r="AK4" s="29">
        <v>149</v>
      </c>
      <c r="AL4"/>
      <c r="AN4" s="37"/>
      <c r="AO4" s="220">
        <f t="shared" ref="AO4:AO28" si="0">+AO3+1</f>
        <v>46084</v>
      </c>
      <c r="AP4" s="221">
        <v>149</v>
      </c>
    </row>
    <row r="5" spans="1:42" ht="15" x14ac:dyDescent="0.25">
      <c r="A5" s="155">
        <v>1045649</v>
      </c>
      <c r="B5" s="156" t="s">
        <v>60</v>
      </c>
      <c r="C5" s="156" t="s">
        <v>56</v>
      </c>
      <c r="D5" s="157">
        <v>46113</v>
      </c>
      <c r="E5" s="157">
        <v>46113</v>
      </c>
      <c r="F5" s="156"/>
      <c r="G5" s="156">
        <v>673</v>
      </c>
      <c r="H5" s="156">
        <v>65656565</v>
      </c>
      <c r="I5" s="156">
        <v>1084</v>
      </c>
      <c r="J5" s="156">
        <v>387953</v>
      </c>
      <c r="K5" s="156"/>
      <c r="L5" s="156" t="s">
        <v>191</v>
      </c>
      <c r="M5" s="156" t="s">
        <v>57</v>
      </c>
      <c r="N5" s="156" t="s">
        <v>58</v>
      </c>
      <c r="O5" s="157">
        <v>46113</v>
      </c>
      <c r="P5" s="229">
        <v>629</v>
      </c>
      <c r="Q5" s="180" t="s">
        <v>59</v>
      </c>
      <c r="R5" s="180">
        <v>18.170000000000002</v>
      </c>
      <c r="S5" s="180">
        <v>8.11</v>
      </c>
      <c r="T5" s="180">
        <v>1.46</v>
      </c>
      <c r="U5" s="180">
        <v>609.37</v>
      </c>
      <c r="V5" s="230">
        <v>0</v>
      </c>
      <c r="W5" s="156"/>
      <c r="X5" s="156">
        <v>20260406</v>
      </c>
      <c r="Y5" s="156"/>
      <c r="Z5" s="156" t="s">
        <v>84</v>
      </c>
      <c r="AA5" s="156" t="s">
        <v>177</v>
      </c>
      <c r="AB5" s="156" t="s">
        <v>133</v>
      </c>
      <c r="AC5" s="156"/>
      <c r="AD5" s="156" t="s">
        <v>192</v>
      </c>
      <c r="AE5" s="158">
        <v>0.75484953703703705</v>
      </c>
      <c r="AF5" s="156" t="s">
        <v>178</v>
      </c>
      <c r="AG5" s="159" t="s">
        <v>137</v>
      </c>
      <c r="AH5" s="32"/>
      <c r="AJ5" s="10">
        <v>46116</v>
      </c>
      <c r="AK5" s="29">
        <v>10291</v>
      </c>
      <c r="AL5"/>
      <c r="AN5" s="37"/>
      <c r="AO5" s="220">
        <f t="shared" si="0"/>
        <v>46085</v>
      </c>
      <c r="AP5" s="221">
        <v>10291</v>
      </c>
    </row>
    <row r="6" spans="1:42" ht="15" x14ac:dyDescent="0.25">
      <c r="A6" s="155">
        <v>1045649</v>
      </c>
      <c r="B6" s="156" t="s">
        <v>60</v>
      </c>
      <c r="C6" s="156" t="s">
        <v>56</v>
      </c>
      <c r="D6" s="157">
        <v>46113</v>
      </c>
      <c r="E6" s="157">
        <v>46113</v>
      </c>
      <c r="F6" s="156"/>
      <c r="G6" s="156">
        <v>673</v>
      </c>
      <c r="H6" s="156" t="s">
        <v>176</v>
      </c>
      <c r="I6" s="156">
        <v>1087</v>
      </c>
      <c r="J6" s="156">
        <v>731617</v>
      </c>
      <c r="K6" s="156"/>
      <c r="L6" s="156" t="s">
        <v>193</v>
      </c>
      <c r="M6" s="156" t="s">
        <v>57</v>
      </c>
      <c r="N6" s="156" t="s">
        <v>58</v>
      </c>
      <c r="O6" s="157">
        <v>46113</v>
      </c>
      <c r="P6" s="229">
        <v>298</v>
      </c>
      <c r="Q6" s="180" t="s">
        <v>59</v>
      </c>
      <c r="R6" s="180">
        <v>8.61</v>
      </c>
      <c r="S6" s="180">
        <v>1.76</v>
      </c>
      <c r="T6" s="180">
        <v>0.32</v>
      </c>
      <c r="U6" s="180">
        <v>289.07</v>
      </c>
      <c r="V6" s="230">
        <v>0</v>
      </c>
      <c r="W6" s="156"/>
      <c r="X6" s="156">
        <v>20260406</v>
      </c>
      <c r="Y6" s="156"/>
      <c r="Z6" s="156" t="s">
        <v>85</v>
      </c>
      <c r="AA6" s="156" t="s">
        <v>177</v>
      </c>
      <c r="AB6" s="156" t="s">
        <v>135</v>
      </c>
      <c r="AC6" s="156"/>
      <c r="AD6" s="156"/>
      <c r="AE6" s="158">
        <v>0.7572106481481482</v>
      </c>
      <c r="AF6" s="156" t="s">
        <v>178</v>
      </c>
      <c r="AG6" s="159" t="s">
        <v>137</v>
      </c>
      <c r="AH6" s="32"/>
      <c r="AJ6" s="10">
        <v>46117</v>
      </c>
      <c r="AK6" s="29">
        <v>2166</v>
      </c>
      <c r="AL6"/>
      <c r="AN6" s="37"/>
      <c r="AO6" s="220">
        <f t="shared" si="0"/>
        <v>46086</v>
      </c>
      <c r="AP6" s="221">
        <v>2166</v>
      </c>
    </row>
    <row r="7" spans="1:42" ht="15" x14ac:dyDescent="0.25">
      <c r="A7" s="155">
        <v>1045649</v>
      </c>
      <c r="B7" s="156" t="s">
        <v>60</v>
      </c>
      <c r="C7" s="156" t="s">
        <v>56</v>
      </c>
      <c r="D7" s="157">
        <v>46113</v>
      </c>
      <c r="E7" s="157">
        <v>46113</v>
      </c>
      <c r="F7" s="156"/>
      <c r="G7" s="156">
        <v>673</v>
      </c>
      <c r="H7" s="156" t="s">
        <v>176</v>
      </c>
      <c r="I7" s="156">
        <v>1090</v>
      </c>
      <c r="J7" s="156">
        <v>942234</v>
      </c>
      <c r="K7" s="156"/>
      <c r="L7" s="156" t="s">
        <v>194</v>
      </c>
      <c r="M7" s="156" t="s">
        <v>57</v>
      </c>
      <c r="N7" s="156" t="s">
        <v>58</v>
      </c>
      <c r="O7" s="157">
        <v>46113</v>
      </c>
      <c r="P7" s="229">
        <v>19.899999999999999</v>
      </c>
      <c r="Q7" s="180" t="s">
        <v>59</v>
      </c>
      <c r="R7" s="180">
        <v>0.57999999999999996</v>
      </c>
      <c r="S7" s="180">
        <v>0.26</v>
      </c>
      <c r="T7" s="180">
        <v>0.05</v>
      </c>
      <c r="U7" s="180">
        <v>19.27</v>
      </c>
      <c r="V7" s="230">
        <v>0</v>
      </c>
      <c r="W7" s="156"/>
      <c r="X7" s="156">
        <v>20260406</v>
      </c>
      <c r="Y7" s="156"/>
      <c r="Z7" s="156" t="s">
        <v>84</v>
      </c>
      <c r="AA7" s="156" t="s">
        <v>177</v>
      </c>
      <c r="AB7" s="156" t="s">
        <v>95</v>
      </c>
      <c r="AC7" s="156"/>
      <c r="AD7" s="156"/>
      <c r="AE7" s="158">
        <v>0.78641203703703699</v>
      </c>
      <c r="AF7" s="156" t="s">
        <v>178</v>
      </c>
      <c r="AG7" s="159" t="s">
        <v>137</v>
      </c>
      <c r="AH7" s="32"/>
      <c r="AJ7" s="10">
        <v>46118</v>
      </c>
      <c r="AK7" s="29">
        <v>2846</v>
      </c>
      <c r="AL7"/>
      <c r="AN7" s="37"/>
      <c r="AO7" s="220">
        <f t="shared" si="0"/>
        <v>46087</v>
      </c>
      <c r="AP7" s="221">
        <v>2846</v>
      </c>
    </row>
    <row r="8" spans="1:42" ht="15" x14ac:dyDescent="0.25">
      <c r="A8" s="155">
        <v>1045649</v>
      </c>
      <c r="B8" s="156" t="s">
        <v>60</v>
      </c>
      <c r="C8" s="156" t="s">
        <v>56</v>
      </c>
      <c r="D8" s="157">
        <v>46113</v>
      </c>
      <c r="E8" s="157">
        <v>46113</v>
      </c>
      <c r="F8" s="156"/>
      <c r="G8" s="156">
        <v>673</v>
      </c>
      <c r="H8" s="156" t="s">
        <v>176</v>
      </c>
      <c r="I8" s="156">
        <v>1092</v>
      </c>
      <c r="J8" s="156">
        <v>950491</v>
      </c>
      <c r="K8" s="156"/>
      <c r="L8" s="156" t="s">
        <v>195</v>
      </c>
      <c r="M8" s="156" t="s">
        <v>57</v>
      </c>
      <c r="N8" s="156" t="s">
        <v>58</v>
      </c>
      <c r="O8" s="157">
        <v>46113</v>
      </c>
      <c r="P8" s="229">
        <v>529</v>
      </c>
      <c r="Q8" s="180" t="s">
        <v>59</v>
      </c>
      <c r="R8" s="180">
        <v>15.29</v>
      </c>
      <c r="S8" s="180">
        <v>6.83</v>
      </c>
      <c r="T8" s="180">
        <v>1.23</v>
      </c>
      <c r="U8" s="180">
        <v>512.48</v>
      </c>
      <c r="V8" s="230">
        <v>0</v>
      </c>
      <c r="W8" s="156"/>
      <c r="X8" s="156">
        <v>20260406</v>
      </c>
      <c r="Y8" s="156"/>
      <c r="Z8" s="156" t="s">
        <v>84</v>
      </c>
      <c r="AA8" s="156" t="s">
        <v>177</v>
      </c>
      <c r="AB8" s="156" t="s">
        <v>95</v>
      </c>
      <c r="AC8" s="156"/>
      <c r="AD8" s="156"/>
      <c r="AE8" s="158">
        <v>0.81364583333333329</v>
      </c>
      <c r="AF8" s="156" t="s">
        <v>178</v>
      </c>
      <c r="AG8" s="159" t="s">
        <v>137</v>
      </c>
      <c r="AH8" s="32"/>
      <c r="AJ8" s="10">
        <v>46119</v>
      </c>
      <c r="AK8" s="29">
        <v>2287</v>
      </c>
      <c r="AL8"/>
      <c r="AN8" s="37"/>
      <c r="AO8" s="220">
        <f t="shared" si="0"/>
        <v>46088</v>
      </c>
      <c r="AP8" s="221">
        <v>2287</v>
      </c>
    </row>
    <row r="9" spans="1:42" ht="15" x14ac:dyDescent="0.25">
      <c r="A9" s="155">
        <v>1045649</v>
      </c>
      <c r="B9" s="156" t="s">
        <v>60</v>
      </c>
      <c r="C9" s="156" t="s">
        <v>56</v>
      </c>
      <c r="D9" s="157">
        <v>46113</v>
      </c>
      <c r="E9" s="157">
        <v>46113</v>
      </c>
      <c r="F9" s="156"/>
      <c r="G9" s="156">
        <v>673</v>
      </c>
      <c r="H9" s="156">
        <v>65656565</v>
      </c>
      <c r="I9" s="156">
        <v>1094</v>
      </c>
      <c r="J9" s="156">
        <v>293274</v>
      </c>
      <c r="K9" s="156"/>
      <c r="L9" s="156" t="s">
        <v>196</v>
      </c>
      <c r="M9" s="156" t="s">
        <v>57</v>
      </c>
      <c r="N9" s="156" t="s">
        <v>58</v>
      </c>
      <c r="O9" s="157">
        <v>46113</v>
      </c>
      <c r="P9" s="229">
        <v>1699</v>
      </c>
      <c r="Q9" s="180" t="s">
        <v>59</v>
      </c>
      <c r="R9" s="180">
        <v>49.1</v>
      </c>
      <c r="S9" s="180">
        <v>21.92</v>
      </c>
      <c r="T9" s="180">
        <v>3.95</v>
      </c>
      <c r="U9" s="180">
        <v>1645.95</v>
      </c>
      <c r="V9" s="231">
        <v>5420.43</v>
      </c>
      <c r="W9" s="157">
        <v>46118</v>
      </c>
      <c r="X9" s="156">
        <v>20260406</v>
      </c>
      <c r="Y9" s="156"/>
      <c r="Z9" s="156" t="s">
        <v>84</v>
      </c>
      <c r="AA9" s="156" t="s">
        <v>177</v>
      </c>
      <c r="AB9" s="156" t="s">
        <v>133</v>
      </c>
      <c r="AC9" s="156"/>
      <c r="AD9" s="156" t="s">
        <v>192</v>
      </c>
      <c r="AE9" s="158">
        <v>0.82357638888888884</v>
      </c>
      <c r="AF9" s="156" t="s">
        <v>178</v>
      </c>
      <c r="AG9" s="159" t="s">
        <v>137</v>
      </c>
      <c r="AH9" s="32"/>
      <c r="AJ9" s="10">
        <v>46120</v>
      </c>
      <c r="AK9" s="29">
        <v>355.25</v>
      </c>
      <c r="AL9"/>
      <c r="AN9" s="37"/>
      <c r="AO9" s="220">
        <f t="shared" si="0"/>
        <v>46089</v>
      </c>
      <c r="AP9" s="221">
        <v>355.25</v>
      </c>
    </row>
    <row r="10" spans="1:42" ht="15" x14ac:dyDescent="0.25">
      <c r="A10" s="155">
        <v>1045649</v>
      </c>
      <c r="B10" s="156" t="s">
        <v>60</v>
      </c>
      <c r="C10" s="156" t="s">
        <v>56</v>
      </c>
      <c r="D10" s="157">
        <v>46114</v>
      </c>
      <c r="E10" s="157">
        <v>46114</v>
      </c>
      <c r="F10" s="156"/>
      <c r="G10" s="156">
        <v>674</v>
      </c>
      <c r="H10" s="156">
        <v>65656565</v>
      </c>
      <c r="I10" s="156">
        <v>1103</v>
      </c>
      <c r="J10" s="156">
        <v>761667</v>
      </c>
      <c r="K10" s="156"/>
      <c r="L10" s="156" t="s">
        <v>197</v>
      </c>
      <c r="M10" s="156" t="s">
        <v>57</v>
      </c>
      <c r="N10" s="156" t="s">
        <v>58</v>
      </c>
      <c r="O10" s="157">
        <v>46114</v>
      </c>
      <c r="P10" s="229">
        <v>499</v>
      </c>
      <c r="Q10" s="180" t="s">
        <v>59</v>
      </c>
      <c r="R10" s="180">
        <v>14.42</v>
      </c>
      <c r="S10" s="180">
        <v>6.44</v>
      </c>
      <c r="T10" s="180">
        <v>1.1599999999999999</v>
      </c>
      <c r="U10" s="180">
        <v>483.42</v>
      </c>
      <c r="V10" s="230">
        <v>0</v>
      </c>
      <c r="W10" s="156"/>
      <c r="X10" s="156">
        <v>20260406</v>
      </c>
      <c r="Y10" s="156"/>
      <c r="Z10" s="156" t="s">
        <v>84</v>
      </c>
      <c r="AA10" s="156" t="s">
        <v>177</v>
      </c>
      <c r="AB10" s="156" t="s">
        <v>95</v>
      </c>
      <c r="AC10" s="156"/>
      <c r="AD10" s="156" t="s">
        <v>86</v>
      </c>
      <c r="AE10" s="158">
        <v>0.5235995370370371</v>
      </c>
      <c r="AF10" s="156" t="s">
        <v>178</v>
      </c>
      <c r="AG10" s="159" t="s">
        <v>137</v>
      </c>
      <c r="AH10" s="32"/>
      <c r="AJ10" s="10">
        <v>46121</v>
      </c>
      <c r="AK10" s="29">
        <v>1778</v>
      </c>
      <c r="AL10"/>
      <c r="AN10" s="37"/>
      <c r="AO10" s="220">
        <f t="shared" si="0"/>
        <v>46090</v>
      </c>
      <c r="AP10" s="221">
        <v>1778</v>
      </c>
    </row>
    <row r="11" spans="1:42" ht="15" x14ac:dyDescent="0.25">
      <c r="A11" s="155">
        <v>1045649</v>
      </c>
      <c r="B11" s="156" t="s">
        <v>60</v>
      </c>
      <c r="C11" s="156" t="s">
        <v>56</v>
      </c>
      <c r="D11" s="157">
        <v>46114</v>
      </c>
      <c r="E11" s="157">
        <v>46114</v>
      </c>
      <c r="F11" s="156"/>
      <c r="G11" s="156">
        <v>674</v>
      </c>
      <c r="H11" s="156" t="s">
        <v>176</v>
      </c>
      <c r="I11" s="156">
        <v>1107</v>
      </c>
      <c r="J11" s="156">
        <v>4810</v>
      </c>
      <c r="K11" s="156"/>
      <c r="L11" s="156" t="s">
        <v>198</v>
      </c>
      <c r="M11" s="156" t="s">
        <v>57</v>
      </c>
      <c r="N11" s="156" t="s">
        <v>58</v>
      </c>
      <c r="O11" s="157">
        <v>46114</v>
      </c>
      <c r="P11" s="229">
        <v>1149</v>
      </c>
      <c r="Q11" s="180" t="s">
        <v>59</v>
      </c>
      <c r="R11" s="180">
        <v>33.21</v>
      </c>
      <c r="S11" s="180">
        <v>9.08</v>
      </c>
      <c r="T11" s="180">
        <v>1.63</v>
      </c>
      <c r="U11" s="180">
        <v>1114.1600000000001</v>
      </c>
      <c r="V11" s="230">
        <v>0</v>
      </c>
      <c r="W11" s="156"/>
      <c r="X11" s="156">
        <v>20260406</v>
      </c>
      <c r="Y11" s="156"/>
      <c r="Z11" s="156" t="s">
        <v>85</v>
      </c>
      <c r="AA11" s="156" t="s">
        <v>177</v>
      </c>
      <c r="AB11" s="156" t="s">
        <v>95</v>
      </c>
      <c r="AC11" s="156"/>
      <c r="AD11" s="156"/>
      <c r="AE11" s="158">
        <v>0.54902777777777778</v>
      </c>
      <c r="AF11" s="156" t="s">
        <v>178</v>
      </c>
      <c r="AG11" s="159" t="s">
        <v>137</v>
      </c>
      <c r="AH11" s="32"/>
      <c r="AJ11" s="10">
        <v>46122</v>
      </c>
      <c r="AK11" s="29">
        <v>2535</v>
      </c>
      <c r="AL11"/>
      <c r="AN11" s="37"/>
      <c r="AO11" s="220">
        <f t="shared" si="0"/>
        <v>46091</v>
      </c>
      <c r="AP11" s="221">
        <v>2535</v>
      </c>
    </row>
    <row r="12" spans="1:42" ht="15" x14ac:dyDescent="0.25">
      <c r="A12" s="155">
        <v>1045649</v>
      </c>
      <c r="B12" s="156" t="s">
        <v>60</v>
      </c>
      <c r="C12" s="156" t="s">
        <v>56</v>
      </c>
      <c r="D12" s="157">
        <v>46114</v>
      </c>
      <c r="E12" s="157">
        <v>46114</v>
      </c>
      <c r="F12" s="156"/>
      <c r="G12" s="156">
        <v>674</v>
      </c>
      <c r="H12" s="156" t="s">
        <v>176</v>
      </c>
      <c r="I12" s="156">
        <v>1109</v>
      </c>
      <c r="J12" s="156">
        <v>887826</v>
      </c>
      <c r="K12" s="156">
        <v>3</v>
      </c>
      <c r="L12" s="156" t="s">
        <v>199</v>
      </c>
      <c r="M12" s="156" t="s">
        <v>57</v>
      </c>
      <c r="N12" s="156" t="s">
        <v>58</v>
      </c>
      <c r="O12" s="157">
        <v>46114</v>
      </c>
      <c r="P12" s="229">
        <v>1049</v>
      </c>
      <c r="Q12" s="180" t="s">
        <v>59</v>
      </c>
      <c r="R12" s="180">
        <v>48.68</v>
      </c>
      <c r="S12" s="180">
        <v>8.2899999999999991</v>
      </c>
      <c r="T12" s="180">
        <v>1.49</v>
      </c>
      <c r="U12" s="180">
        <v>998.83</v>
      </c>
      <c r="V12" s="230">
        <v>0</v>
      </c>
      <c r="W12" s="156"/>
      <c r="X12" s="156">
        <v>20260406</v>
      </c>
      <c r="Y12" s="156"/>
      <c r="Z12" s="156" t="s">
        <v>85</v>
      </c>
      <c r="AA12" s="156" t="s">
        <v>177</v>
      </c>
      <c r="AB12" s="156" t="s">
        <v>134</v>
      </c>
      <c r="AC12" s="156" t="s">
        <v>87</v>
      </c>
      <c r="AD12" s="156"/>
      <c r="AE12" s="158">
        <v>0.55737268518518512</v>
      </c>
      <c r="AF12" s="156" t="s">
        <v>178</v>
      </c>
      <c r="AG12" s="159" t="s">
        <v>137</v>
      </c>
      <c r="AH12" s="32"/>
      <c r="AJ12" s="10">
        <v>46123</v>
      </c>
      <c r="AK12" s="29">
        <v>3316.9</v>
      </c>
      <c r="AL12"/>
      <c r="AN12" s="37"/>
      <c r="AO12" s="220">
        <f t="shared" si="0"/>
        <v>46092</v>
      </c>
      <c r="AP12" s="221">
        <v>3316.9</v>
      </c>
    </row>
    <row r="13" spans="1:42" ht="15" x14ac:dyDescent="0.25">
      <c r="A13" s="155">
        <v>1045649</v>
      </c>
      <c r="B13" s="156" t="s">
        <v>60</v>
      </c>
      <c r="C13" s="156" t="s">
        <v>56</v>
      </c>
      <c r="D13" s="157">
        <v>46114</v>
      </c>
      <c r="E13" s="157">
        <v>46114</v>
      </c>
      <c r="F13" s="156"/>
      <c r="G13" s="156">
        <v>674</v>
      </c>
      <c r="H13" s="156" t="s">
        <v>176</v>
      </c>
      <c r="I13" s="156">
        <v>1111</v>
      </c>
      <c r="J13" s="156">
        <v>134436</v>
      </c>
      <c r="K13" s="156"/>
      <c r="L13" s="156" t="s">
        <v>200</v>
      </c>
      <c r="M13" s="156" t="s">
        <v>57</v>
      </c>
      <c r="N13" s="156" t="s">
        <v>58</v>
      </c>
      <c r="O13" s="157">
        <v>46114</v>
      </c>
      <c r="P13" s="229">
        <v>1000</v>
      </c>
      <c r="Q13" s="180" t="s">
        <v>59</v>
      </c>
      <c r="R13" s="180">
        <v>28.9</v>
      </c>
      <c r="S13" s="180">
        <v>7.9</v>
      </c>
      <c r="T13" s="180">
        <v>1.42</v>
      </c>
      <c r="U13" s="180">
        <v>969.68</v>
      </c>
      <c r="V13" s="230">
        <v>0</v>
      </c>
      <c r="W13" s="156"/>
      <c r="X13" s="156">
        <v>20260406</v>
      </c>
      <c r="Y13" s="156"/>
      <c r="Z13" s="156" t="s">
        <v>84</v>
      </c>
      <c r="AA13" s="156" t="s">
        <v>177</v>
      </c>
      <c r="AB13" s="156" t="s">
        <v>133</v>
      </c>
      <c r="AC13" s="156"/>
      <c r="AD13" s="156"/>
      <c r="AE13" s="158">
        <v>0.57188657407407406</v>
      </c>
      <c r="AF13" s="156" t="s">
        <v>178</v>
      </c>
      <c r="AG13" s="159" t="s">
        <v>137</v>
      </c>
      <c r="AH13" s="32"/>
      <c r="AJ13" s="10">
        <v>46124</v>
      </c>
      <c r="AK13" s="29">
        <v>6353</v>
      </c>
      <c r="AL13"/>
      <c r="AN13" s="37"/>
      <c r="AO13" s="220">
        <f t="shared" si="0"/>
        <v>46093</v>
      </c>
      <c r="AP13" s="221">
        <v>6353</v>
      </c>
    </row>
    <row r="14" spans="1:42" ht="15" x14ac:dyDescent="0.25">
      <c r="A14" s="155">
        <v>1045649</v>
      </c>
      <c r="B14" s="156" t="s">
        <v>60</v>
      </c>
      <c r="C14" s="156" t="s">
        <v>56</v>
      </c>
      <c r="D14" s="157">
        <v>46114</v>
      </c>
      <c r="E14" s="157">
        <v>46114</v>
      </c>
      <c r="F14" s="156"/>
      <c r="G14" s="156">
        <v>674</v>
      </c>
      <c r="H14" s="156" t="s">
        <v>176</v>
      </c>
      <c r="I14" s="156">
        <v>1113</v>
      </c>
      <c r="J14" s="156">
        <v>971091</v>
      </c>
      <c r="K14" s="156"/>
      <c r="L14" s="156" t="s">
        <v>201</v>
      </c>
      <c r="M14" s="156" t="s">
        <v>57</v>
      </c>
      <c r="N14" s="156" t="s">
        <v>58</v>
      </c>
      <c r="O14" s="157">
        <v>46114</v>
      </c>
      <c r="P14" s="229">
        <v>999</v>
      </c>
      <c r="Q14" s="180" t="s">
        <v>59</v>
      </c>
      <c r="R14" s="180">
        <v>28.87</v>
      </c>
      <c r="S14" s="180">
        <v>3.89</v>
      </c>
      <c r="T14" s="180">
        <v>0.7</v>
      </c>
      <c r="U14" s="180">
        <v>969.43</v>
      </c>
      <c r="V14" s="230">
        <v>0</v>
      </c>
      <c r="W14" s="156"/>
      <c r="X14" s="156">
        <v>20260406</v>
      </c>
      <c r="Y14" s="156"/>
      <c r="Z14" s="156" t="s">
        <v>85</v>
      </c>
      <c r="AA14" s="156" t="s">
        <v>177</v>
      </c>
      <c r="AB14" s="156" t="s">
        <v>134</v>
      </c>
      <c r="AC14" s="156"/>
      <c r="AD14" s="156"/>
      <c r="AE14" s="158">
        <v>0.57238425925925929</v>
      </c>
      <c r="AF14" s="156" t="s">
        <v>178</v>
      </c>
      <c r="AG14" s="159" t="s">
        <v>137</v>
      </c>
      <c r="AH14" s="32"/>
      <c r="AJ14" s="10">
        <v>46125</v>
      </c>
      <c r="AK14" s="29">
        <v>6374</v>
      </c>
      <c r="AL14"/>
      <c r="AN14" s="37"/>
      <c r="AO14" s="220">
        <f t="shared" si="0"/>
        <v>46094</v>
      </c>
      <c r="AP14" s="221">
        <v>6374</v>
      </c>
    </row>
    <row r="15" spans="1:42" ht="15" x14ac:dyDescent="0.25">
      <c r="A15" s="155">
        <v>1045649</v>
      </c>
      <c r="B15" s="156" t="s">
        <v>60</v>
      </c>
      <c r="C15" s="156" t="s">
        <v>56</v>
      </c>
      <c r="D15" s="157">
        <v>46114</v>
      </c>
      <c r="E15" s="157">
        <v>46114</v>
      </c>
      <c r="F15" s="156"/>
      <c r="G15" s="156">
        <v>674</v>
      </c>
      <c r="H15" s="156" t="s">
        <v>176</v>
      </c>
      <c r="I15" s="156">
        <v>1125</v>
      </c>
      <c r="J15" s="156">
        <v>642569</v>
      </c>
      <c r="K15" s="156"/>
      <c r="L15" s="156" t="s">
        <v>202</v>
      </c>
      <c r="M15" s="156" t="s">
        <v>57</v>
      </c>
      <c r="N15" s="156" t="s">
        <v>58</v>
      </c>
      <c r="O15" s="157">
        <v>46114</v>
      </c>
      <c r="P15" s="229">
        <v>629</v>
      </c>
      <c r="Q15" s="180" t="s">
        <v>59</v>
      </c>
      <c r="R15" s="180">
        <v>18.18</v>
      </c>
      <c r="S15" s="180">
        <v>8.1199999999999992</v>
      </c>
      <c r="T15" s="180">
        <v>1.46</v>
      </c>
      <c r="U15" s="180">
        <v>609.36</v>
      </c>
      <c r="V15" s="231">
        <v>5144.88</v>
      </c>
      <c r="W15" s="157">
        <v>46118</v>
      </c>
      <c r="X15" s="156">
        <v>20260406</v>
      </c>
      <c r="Y15" s="156"/>
      <c r="Z15" s="156" t="s">
        <v>84</v>
      </c>
      <c r="AA15" s="156" t="s">
        <v>177</v>
      </c>
      <c r="AB15" s="156" t="s">
        <v>95</v>
      </c>
      <c r="AC15" s="156"/>
      <c r="AD15" s="156"/>
      <c r="AE15" s="158">
        <v>0.8844212962962964</v>
      </c>
      <c r="AF15" s="156" t="s">
        <v>178</v>
      </c>
      <c r="AG15" s="159" t="s">
        <v>137</v>
      </c>
      <c r="AH15" s="32"/>
      <c r="AJ15" s="10">
        <v>46126</v>
      </c>
      <c r="AK15" s="29">
        <v>2775</v>
      </c>
      <c r="AL15"/>
      <c r="AN15" s="37"/>
      <c r="AO15" s="220">
        <f t="shared" si="0"/>
        <v>46095</v>
      </c>
      <c r="AP15" s="221">
        <v>2775</v>
      </c>
    </row>
    <row r="16" spans="1:42" ht="15" x14ac:dyDescent="0.25">
      <c r="A16" s="155">
        <v>1045649</v>
      </c>
      <c r="B16" s="156" t="s">
        <v>60</v>
      </c>
      <c r="C16" s="156" t="s">
        <v>56</v>
      </c>
      <c r="D16" s="157">
        <v>46115</v>
      </c>
      <c r="E16" s="157">
        <v>46115</v>
      </c>
      <c r="F16" s="156"/>
      <c r="G16" s="156">
        <v>675</v>
      </c>
      <c r="H16" s="156">
        <v>65656565</v>
      </c>
      <c r="I16" s="156">
        <v>1131</v>
      </c>
      <c r="J16" s="156">
        <v>304469</v>
      </c>
      <c r="K16" s="156"/>
      <c r="L16" s="156" t="s">
        <v>203</v>
      </c>
      <c r="M16" s="156" t="s">
        <v>57</v>
      </c>
      <c r="N16" s="156" t="s">
        <v>58</v>
      </c>
      <c r="O16" s="157">
        <v>46115</v>
      </c>
      <c r="P16" s="229">
        <v>149</v>
      </c>
      <c r="Q16" s="180" t="s">
        <v>59</v>
      </c>
      <c r="R16" s="180">
        <v>4.3</v>
      </c>
      <c r="S16" s="180">
        <v>1.92</v>
      </c>
      <c r="T16" s="180">
        <v>0.35</v>
      </c>
      <c r="U16" s="180">
        <v>144.35</v>
      </c>
      <c r="V16" s="231">
        <v>144.35</v>
      </c>
      <c r="W16" s="157">
        <v>46118</v>
      </c>
      <c r="X16" s="156">
        <v>20260406</v>
      </c>
      <c r="Y16" s="156"/>
      <c r="Z16" s="156" t="s">
        <v>84</v>
      </c>
      <c r="AA16" s="156" t="s">
        <v>177</v>
      </c>
      <c r="AB16" s="156" t="s">
        <v>138</v>
      </c>
      <c r="AC16" s="156"/>
      <c r="AD16" s="156" t="s">
        <v>86</v>
      </c>
      <c r="AE16" s="158">
        <v>0.49797453703703703</v>
      </c>
      <c r="AF16" s="156" t="s">
        <v>178</v>
      </c>
      <c r="AG16" s="159" t="s">
        <v>137</v>
      </c>
      <c r="AH16" s="32"/>
      <c r="AJ16" s="10">
        <v>46127</v>
      </c>
      <c r="AK16" s="29">
        <v>2047.9</v>
      </c>
      <c r="AL16"/>
      <c r="AN16" s="37"/>
      <c r="AO16" s="220">
        <f t="shared" si="0"/>
        <v>46096</v>
      </c>
      <c r="AP16" s="221">
        <v>2047.9</v>
      </c>
    </row>
    <row r="17" spans="1:42" ht="15" x14ac:dyDescent="0.25">
      <c r="A17" s="155">
        <v>1045649</v>
      </c>
      <c r="B17" s="156" t="s">
        <v>60</v>
      </c>
      <c r="C17" s="156" t="s">
        <v>56</v>
      </c>
      <c r="D17" s="157">
        <v>46116</v>
      </c>
      <c r="E17" s="157">
        <v>46116</v>
      </c>
      <c r="F17" s="156"/>
      <c r="G17" s="156">
        <v>676</v>
      </c>
      <c r="H17" s="156" t="s">
        <v>176</v>
      </c>
      <c r="I17" s="156">
        <v>1139</v>
      </c>
      <c r="J17" s="156">
        <v>509113</v>
      </c>
      <c r="K17" s="156"/>
      <c r="L17" s="156" t="s">
        <v>204</v>
      </c>
      <c r="M17" s="156" t="s">
        <v>57</v>
      </c>
      <c r="N17" s="156" t="s">
        <v>58</v>
      </c>
      <c r="O17" s="157">
        <v>46116</v>
      </c>
      <c r="P17" s="229">
        <v>1699</v>
      </c>
      <c r="Q17" s="180" t="s">
        <v>59</v>
      </c>
      <c r="R17" s="180">
        <v>49.1</v>
      </c>
      <c r="S17" s="180">
        <v>21.92</v>
      </c>
      <c r="T17" s="180">
        <v>3.95</v>
      </c>
      <c r="U17" s="180">
        <v>1645.95</v>
      </c>
      <c r="V17" s="230">
        <v>0</v>
      </c>
      <c r="W17" s="156"/>
      <c r="X17" s="156">
        <v>20260406</v>
      </c>
      <c r="Y17" s="156"/>
      <c r="Z17" s="156" t="s">
        <v>84</v>
      </c>
      <c r="AA17" s="156" t="s">
        <v>177</v>
      </c>
      <c r="AB17" s="156" t="s">
        <v>95</v>
      </c>
      <c r="AC17" s="156"/>
      <c r="AD17" s="156"/>
      <c r="AE17" s="158">
        <v>0.42944444444444446</v>
      </c>
      <c r="AF17" s="156" t="s">
        <v>178</v>
      </c>
      <c r="AG17" s="159" t="s">
        <v>137</v>
      </c>
      <c r="AH17" s="32"/>
      <c r="AJ17" s="10">
        <v>46128</v>
      </c>
      <c r="AK17" s="29">
        <v>3705</v>
      </c>
      <c r="AL17"/>
      <c r="AN17" s="37"/>
      <c r="AO17" s="220">
        <f t="shared" si="0"/>
        <v>46097</v>
      </c>
      <c r="AP17" s="221">
        <v>3705</v>
      </c>
    </row>
    <row r="18" spans="1:42" ht="15" x14ac:dyDescent="0.25">
      <c r="A18" s="155">
        <v>1045649</v>
      </c>
      <c r="B18" s="156" t="s">
        <v>60</v>
      </c>
      <c r="C18" s="156" t="s">
        <v>56</v>
      </c>
      <c r="D18" s="157">
        <v>46116</v>
      </c>
      <c r="E18" s="157">
        <v>46116</v>
      </c>
      <c r="F18" s="156"/>
      <c r="G18" s="156">
        <v>676</v>
      </c>
      <c r="H18" s="156" t="s">
        <v>176</v>
      </c>
      <c r="I18" s="156">
        <v>1142</v>
      </c>
      <c r="J18" s="156">
        <v>196227</v>
      </c>
      <c r="K18" s="156"/>
      <c r="L18" s="156" t="s">
        <v>205</v>
      </c>
      <c r="M18" s="156" t="s">
        <v>57</v>
      </c>
      <c r="N18" s="156" t="s">
        <v>58</v>
      </c>
      <c r="O18" s="157">
        <v>46116</v>
      </c>
      <c r="P18" s="229">
        <v>659</v>
      </c>
      <c r="Q18" s="180" t="s">
        <v>59</v>
      </c>
      <c r="R18" s="180">
        <v>19.05</v>
      </c>
      <c r="S18" s="180">
        <v>3.89</v>
      </c>
      <c r="T18" s="180">
        <v>0.7</v>
      </c>
      <c r="U18" s="180">
        <v>639.25</v>
      </c>
      <c r="V18" s="230">
        <v>0</v>
      </c>
      <c r="W18" s="156"/>
      <c r="X18" s="156">
        <v>20260406</v>
      </c>
      <c r="Y18" s="156"/>
      <c r="Z18" s="156" t="s">
        <v>85</v>
      </c>
      <c r="AA18" s="156" t="s">
        <v>177</v>
      </c>
      <c r="AB18" s="156" t="s">
        <v>134</v>
      </c>
      <c r="AC18" s="156"/>
      <c r="AD18" s="156"/>
      <c r="AE18" s="158">
        <v>0.45778935185185188</v>
      </c>
      <c r="AF18" s="156" t="s">
        <v>178</v>
      </c>
      <c r="AG18" s="159" t="s">
        <v>137</v>
      </c>
      <c r="AH18" s="32"/>
      <c r="AJ18" s="10">
        <v>46130</v>
      </c>
      <c r="AK18" s="29">
        <v>4524</v>
      </c>
      <c r="AL18"/>
      <c r="AN18" s="37"/>
      <c r="AO18" s="220">
        <f t="shared" si="0"/>
        <v>46098</v>
      </c>
      <c r="AP18" s="221"/>
    </row>
    <row r="19" spans="1:42" ht="15" x14ac:dyDescent="0.25">
      <c r="A19" s="155">
        <v>1045649</v>
      </c>
      <c r="B19" s="156" t="s">
        <v>60</v>
      </c>
      <c r="C19" s="156" t="s">
        <v>56</v>
      </c>
      <c r="D19" s="157">
        <v>46116</v>
      </c>
      <c r="E19" s="157">
        <v>46116</v>
      </c>
      <c r="F19" s="156"/>
      <c r="G19" s="156">
        <v>676</v>
      </c>
      <c r="H19" s="156" t="s">
        <v>176</v>
      </c>
      <c r="I19" s="156">
        <v>1144</v>
      </c>
      <c r="J19" s="156">
        <v>481126</v>
      </c>
      <c r="K19" s="156"/>
      <c r="L19" s="156" t="s">
        <v>206</v>
      </c>
      <c r="M19" s="156" t="s">
        <v>57</v>
      </c>
      <c r="N19" s="156" t="s">
        <v>58</v>
      </c>
      <c r="O19" s="157">
        <v>46116</v>
      </c>
      <c r="P19" s="229">
        <v>3097</v>
      </c>
      <c r="Q19" s="180" t="s">
        <v>59</v>
      </c>
      <c r="R19" s="180">
        <v>89.5</v>
      </c>
      <c r="S19" s="180">
        <v>18.27</v>
      </c>
      <c r="T19" s="180">
        <v>3.29</v>
      </c>
      <c r="U19" s="180">
        <v>3004.21</v>
      </c>
      <c r="V19" s="230">
        <v>0</v>
      </c>
      <c r="W19" s="156"/>
      <c r="X19" s="156">
        <v>20260406</v>
      </c>
      <c r="Y19" s="156"/>
      <c r="Z19" s="156" t="s">
        <v>85</v>
      </c>
      <c r="AA19" s="156" t="s">
        <v>177</v>
      </c>
      <c r="AB19" s="156" t="s">
        <v>135</v>
      </c>
      <c r="AC19" s="156"/>
      <c r="AD19" s="156"/>
      <c r="AE19" s="158">
        <v>0.51107638888888884</v>
      </c>
      <c r="AF19" s="156" t="s">
        <v>178</v>
      </c>
      <c r="AG19" s="159" t="s">
        <v>137</v>
      </c>
      <c r="AH19" s="32"/>
      <c r="AJ19" s="10">
        <v>46131</v>
      </c>
      <c r="AK19" s="29">
        <v>6258.8</v>
      </c>
      <c r="AL19" s="32"/>
      <c r="AN19" s="37"/>
      <c r="AO19" s="220">
        <f t="shared" si="0"/>
        <v>46099</v>
      </c>
      <c r="AP19" s="221">
        <v>4524</v>
      </c>
    </row>
    <row r="20" spans="1:42" ht="15" x14ac:dyDescent="0.25">
      <c r="A20" s="155">
        <v>1045649</v>
      </c>
      <c r="B20" s="156" t="s">
        <v>60</v>
      </c>
      <c r="C20" s="156" t="s">
        <v>56</v>
      </c>
      <c r="D20" s="157">
        <v>46116</v>
      </c>
      <c r="E20" s="157">
        <v>46116</v>
      </c>
      <c r="F20" s="156"/>
      <c r="G20" s="156">
        <v>676</v>
      </c>
      <c r="H20" s="156" t="s">
        <v>176</v>
      </c>
      <c r="I20" s="156">
        <v>1147</v>
      </c>
      <c r="J20" s="156">
        <v>983088</v>
      </c>
      <c r="K20" s="156"/>
      <c r="L20" s="156" t="s">
        <v>207</v>
      </c>
      <c r="M20" s="156" t="s">
        <v>57</v>
      </c>
      <c r="N20" s="156" t="s">
        <v>58</v>
      </c>
      <c r="O20" s="157">
        <v>46116</v>
      </c>
      <c r="P20" s="229">
        <v>949</v>
      </c>
      <c r="Q20" s="180" t="s">
        <v>59</v>
      </c>
      <c r="R20" s="180">
        <v>27.43</v>
      </c>
      <c r="S20" s="180">
        <v>12.25</v>
      </c>
      <c r="T20" s="180">
        <v>2.21</v>
      </c>
      <c r="U20" s="180">
        <v>919.36</v>
      </c>
      <c r="V20" s="230">
        <v>0</v>
      </c>
      <c r="W20" s="156"/>
      <c r="X20" s="156">
        <v>20260406</v>
      </c>
      <c r="Y20" s="156"/>
      <c r="Z20" s="156" t="s">
        <v>84</v>
      </c>
      <c r="AA20" s="156" t="s">
        <v>177</v>
      </c>
      <c r="AB20" s="156" t="s">
        <v>95</v>
      </c>
      <c r="AC20" s="156"/>
      <c r="AD20" s="156"/>
      <c r="AE20" s="158">
        <v>0.61105324074074074</v>
      </c>
      <c r="AF20" s="156" t="s">
        <v>178</v>
      </c>
      <c r="AG20" s="159" t="s">
        <v>137</v>
      </c>
      <c r="AH20" s="32"/>
      <c r="AJ20" s="10">
        <v>46132</v>
      </c>
      <c r="AK20" s="29">
        <v>3035.9</v>
      </c>
      <c r="AL20" s="32"/>
      <c r="AN20" s="37"/>
      <c r="AO20" s="220">
        <f t="shared" si="0"/>
        <v>46100</v>
      </c>
      <c r="AP20" s="221">
        <v>6258.8</v>
      </c>
    </row>
    <row r="21" spans="1:42" ht="15" x14ac:dyDescent="0.25">
      <c r="A21" s="155">
        <v>1045649</v>
      </c>
      <c r="B21" s="156" t="s">
        <v>60</v>
      </c>
      <c r="C21" s="156" t="s">
        <v>56</v>
      </c>
      <c r="D21" s="157">
        <v>46116</v>
      </c>
      <c r="E21" s="157">
        <v>46116</v>
      </c>
      <c r="F21" s="156"/>
      <c r="G21" s="156">
        <v>676</v>
      </c>
      <c r="H21" s="156" t="s">
        <v>176</v>
      </c>
      <c r="I21" s="156">
        <v>1150</v>
      </c>
      <c r="J21" s="156">
        <v>192071</v>
      </c>
      <c r="K21" s="156"/>
      <c r="L21" s="156" t="s">
        <v>208</v>
      </c>
      <c r="M21" s="156" t="s">
        <v>57</v>
      </c>
      <c r="N21" s="156" t="s">
        <v>58</v>
      </c>
      <c r="O21" s="157">
        <v>46116</v>
      </c>
      <c r="P21" s="229">
        <v>3798</v>
      </c>
      <c r="Q21" s="180" t="s">
        <v>59</v>
      </c>
      <c r="R21" s="180">
        <v>109.76</v>
      </c>
      <c r="S21" s="180">
        <v>48.99</v>
      </c>
      <c r="T21" s="180">
        <v>8.82</v>
      </c>
      <c r="U21" s="180">
        <v>3679.42</v>
      </c>
      <c r="V21" s="230">
        <v>0</v>
      </c>
      <c r="W21" s="156"/>
      <c r="X21" s="156">
        <v>20260406</v>
      </c>
      <c r="Y21" s="156"/>
      <c r="Z21" s="156" t="s">
        <v>84</v>
      </c>
      <c r="AA21" s="156" t="s">
        <v>177</v>
      </c>
      <c r="AB21" s="156" t="s">
        <v>138</v>
      </c>
      <c r="AC21" s="156"/>
      <c r="AD21" s="156"/>
      <c r="AE21" s="158">
        <v>0.68743055555555566</v>
      </c>
      <c r="AF21" s="156" t="s">
        <v>178</v>
      </c>
      <c r="AG21" s="159" t="s">
        <v>137</v>
      </c>
      <c r="AH21" s="32"/>
      <c r="AJ21" s="10" t="s">
        <v>62</v>
      </c>
      <c r="AK21" s="29">
        <v>71714.649999999994</v>
      </c>
      <c r="AL21" s="32"/>
      <c r="AN21" s="37"/>
      <c r="AO21" s="220">
        <f t="shared" si="0"/>
        <v>46101</v>
      </c>
      <c r="AP21" s="221">
        <v>3035.9</v>
      </c>
    </row>
    <row r="22" spans="1:42" ht="15" x14ac:dyDescent="0.25">
      <c r="A22" s="155">
        <v>1045649</v>
      </c>
      <c r="B22" s="156" t="s">
        <v>60</v>
      </c>
      <c r="C22" s="156" t="s">
        <v>56</v>
      </c>
      <c r="D22" s="157">
        <v>46116</v>
      </c>
      <c r="E22" s="157">
        <v>46116</v>
      </c>
      <c r="F22" s="156"/>
      <c r="G22" s="156">
        <v>676</v>
      </c>
      <c r="H22" s="156" t="s">
        <v>176</v>
      </c>
      <c r="I22" s="156">
        <v>1153</v>
      </c>
      <c r="J22" s="156">
        <v>347609</v>
      </c>
      <c r="K22" s="156"/>
      <c r="L22" s="156" t="s">
        <v>209</v>
      </c>
      <c r="M22" s="156" t="s">
        <v>57</v>
      </c>
      <c r="N22" s="156" t="s">
        <v>58</v>
      </c>
      <c r="O22" s="157">
        <v>46116</v>
      </c>
      <c r="P22" s="229">
        <v>89</v>
      </c>
      <c r="Q22" s="180" t="s">
        <v>59</v>
      </c>
      <c r="R22" s="180">
        <v>2.57</v>
      </c>
      <c r="S22" s="180">
        <v>1.1499999999999999</v>
      </c>
      <c r="T22" s="180">
        <v>0.21</v>
      </c>
      <c r="U22" s="180">
        <v>86.22</v>
      </c>
      <c r="V22" s="231">
        <v>9974.41</v>
      </c>
      <c r="W22" s="157">
        <v>46118</v>
      </c>
      <c r="X22" s="156">
        <v>20260406</v>
      </c>
      <c r="Y22" s="156"/>
      <c r="Z22" s="156" t="s">
        <v>84</v>
      </c>
      <c r="AA22" s="156" t="s">
        <v>177</v>
      </c>
      <c r="AB22" s="156" t="s">
        <v>95</v>
      </c>
      <c r="AC22" s="156"/>
      <c r="AD22" s="156"/>
      <c r="AE22" s="158">
        <v>0.75723379629629628</v>
      </c>
      <c r="AF22" s="156" t="s">
        <v>178</v>
      </c>
      <c r="AG22" s="159" t="s">
        <v>137</v>
      </c>
      <c r="AH22" s="32"/>
      <c r="AJ22"/>
      <c r="AK22"/>
      <c r="AL22" s="32"/>
      <c r="AN22" s="37"/>
      <c r="AO22" s="220">
        <f t="shared" si="0"/>
        <v>46102</v>
      </c>
      <c r="AP22" s="221"/>
    </row>
    <row r="23" spans="1:42" ht="15" x14ac:dyDescent="0.25">
      <c r="A23" s="155">
        <v>1045649</v>
      </c>
      <c r="B23" s="156" t="s">
        <v>60</v>
      </c>
      <c r="C23" s="156" t="s">
        <v>56</v>
      </c>
      <c r="D23" s="157">
        <v>46117</v>
      </c>
      <c r="E23" s="157">
        <v>46117</v>
      </c>
      <c r="F23" s="156"/>
      <c r="G23" s="156">
        <v>677</v>
      </c>
      <c r="H23" s="156" t="s">
        <v>176</v>
      </c>
      <c r="I23" s="156">
        <v>1158</v>
      </c>
      <c r="J23" s="156">
        <v>775421</v>
      </c>
      <c r="K23" s="156"/>
      <c r="L23" s="156" t="s">
        <v>210</v>
      </c>
      <c r="M23" s="156" t="s">
        <v>57</v>
      </c>
      <c r="N23" s="156" t="s">
        <v>58</v>
      </c>
      <c r="O23" s="157">
        <v>46117</v>
      </c>
      <c r="P23" s="229">
        <v>89</v>
      </c>
      <c r="Q23" s="180" t="s">
        <v>59</v>
      </c>
      <c r="R23" s="180">
        <v>2.57</v>
      </c>
      <c r="S23" s="180">
        <v>0.52</v>
      </c>
      <c r="T23" s="180">
        <v>0.09</v>
      </c>
      <c r="U23" s="180">
        <v>86.34</v>
      </c>
      <c r="V23" s="230">
        <v>0</v>
      </c>
      <c r="W23" s="156"/>
      <c r="X23" s="156">
        <v>20260406</v>
      </c>
      <c r="Y23" s="156"/>
      <c r="Z23" s="156" t="s">
        <v>85</v>
      </c>
      <c r="AA23" s="156" t="s">
        <v>177</v>
      </c>
      <c r="AB23" s="156" t="s">
        <v>135</v>
      </c>
      <c r="AC23" s="156"/>
      <c r="AD23" s="156"/>
      <c r="AE23" s="158">
        <v>0.46271990740740737</v>
      </c>
      <c r="AF23" s="156" t="s">
        <v>178</v>
      </c>
      <c r="AG23" s="159" t="s">
        <v>137</v>
      </c>
      <c r="AH23" s="32"/>
      <c r="AJ23"/>
      <c r="AK23"/>
      <c r="AL23" s="32"/>
      <c r="AN23" s="37"/>
      <c r="AO23" s="220">
        <f t="shared" si="0"/>
        <v>46103</v>
      </c>
      <c r="AP23" s="221"/>
    </row>
    <row r="24" spans="1:42" ht="15" x14ac:dyDescent="0.25">
      <c r="A24" s="155">
        <v>1045649</v>
      </c>
      <c r="B24" s="156" t="s">
        <v>60</v>
      </c>
      <c r="C24" s="156" t="s">
        <v>56</v>
      </c>
      <c r="D24" s="157">
        <v>46117</v>
      </c>
      <c r="E24" s="157">
        <v>46117</v>
      </c>
      <c r="F24" s="156"/>
      <c r="G24" s="156">
        <v>677</v>
      </c>
      <c r="H24" s="156" t="s">
        <v>176</v>
      </c>
      <c r="I24" s="156">
        <v>1160</v>
      </c>
      <c r="J24" s="156">
        <v>689138</v>
      </c>
      <c r="K24" s="156"/>
      <c r="L24" s="156" t="s">
        <v>211</v>
      </c>
      <c r="M24" s="156" t="s">
        <v>57</v>
      </c>
      <c r="N24" s="156" t="s">
        <v>58</v>
      </c>
      <c r="O24" s="157">
        <v>46117</v>
      </c>
      <c r="P24" s="229">
        <v>210</v>
      </c>
      <c r="Q24" s="180" t="s">
        <v>59</v>
      </c>
      <c r="R24" s="180">
        <v>6.07</v>
      </c>
      <c r="S24" s="180">
        <v>2.71</v>
      </c>
      <c r="T24" s="180">
        <v>0.49</v>
      </c>
      <c r="U24" s="180">
        <v>203.44</v>
      </c>
      <c r="V24" s="230">
        <v>0</v>
      </c>
      <c r="W24" s="156"/>
      <c r="X24" s="156">
        <v>20260406</v>
      </c>
      <c r="Y24" s="156"/>
      <c r="Z24" s="156" t="s">
        <v>84</v>
      </c>
      <c r="AA24" s="156" t="s">
        <v>177</v>
      </c>
      <c r="AB24" s="156" t="s">
        <v>95</v>
      </c>
      <c r="AC24" s="156"/>
      <c r="AD24" s="156"/>
      <c r="AE24" s="158">
        <v>0.65798611111111105</v>
      </c>
      <c r="AF24" s="156" t="s">
        <v>178</v>
      </c>
      <c r="AG24" s="159" t="s">
        <v>137</v>
      </c>
      <c r="AH24" s="32"/>
      <c r="AJ24"/>
      <c r="AK24"/>
      <c r="AL24" s="32"/>
      <c r="AN24" s="37"/>
      <c r="AO24" s="220">
        <f t="shared" si="0"/>
        <v>46104</v>
      </c>
      <c r="AP24" s="221"/>
    </row>
    <row r="25" spans="1:42" ht="15" x14ac:dyDescent="0.25">
      <c r="A25" s="155">
        <v>1045649</v>
      </c>
      <c r="B25" s="156" t="s">
        <v>60</v>
      </c>
      <c r="C25" s="156" t="s">
        <v>56</v>
      </c>
      <c r="D25" s="157">
        <v>46117</v>
      </c>
      <c r="E25" s="157">
        <v>46117</v>
      </c>
      <c r="F25" s="156"/>
      <c r="G25" s="156">
        <v>677</v>
      </c>
      <c r="H25" s="156" t="s">
        <v>176</v>
      </c>
      <c r="I25" s="156">
        <v>1162</v>
      </c>
      <c r="J25" s="156">
        <v>155542</v>
      </c>
      <c r="K25" s="156"/>
      <c r="L25" s="156" t="s">
        <v>187</v>
      </c>
      <c r="M25" s="156" t="s">
        <v>57</v>
      </c>
      <c r="N25" s="156" t="s">
        <v>58</v>
      </c>
      <c r="O25" s="157">
        <v>46117</v>
      </c>
      <c r="P25" s="229">
        <v>1189</v>
      </c>
      <c r="Q25" s="180" t="s">
        <v>59</v>
      </c>
      <c r="R25" s="180">
        <v>34.36</v>
      </c>
      <c r="S25" s="180">
        <v>9.39</v>
      </c>
      <c r="T25" s="180">
        <v>1.69</v>
      </c>
      <c r="U25" s="180">
        <v>1152.95</v>
      </c>
      <c r="V25" s="230">
        <v>0</v>
      </c>
      <c r="W25" s="156"/>
      <c r="X25" s="156">
        <v>20260406</v>
      </c>
      <c r="Y25" s="156"/>
      <c r="Z25" s="156" t="s">
        <v>84</v>
      </c>
      <c r="AA25" s="156" t="s">
        <v>177</v>
      </c>
      <c r="AB25" s="156" t="s">
        <v>133</v>
      </c>
      <c r="AC25" s="156"/>
      <c r="AD25" s="156"/>
      <c r="AE25" s="158">
        <v>0.66293981481481479</v>
      </c>
      <c r="AF25" s="156" t="s">
        <v>178</v>
      </c>
      <c r="AG25" s="159" t="s">
        <v>137</v>
      </c>
      <c r="AH25" s="32"/>
      <c r="AJ25"/>
      <c r="AK25"/>
      <c r="AL25" s="32"/>
      <c r="AN25" s="37"/>
      <c r="AO25" s="220">
        <f t="shared" si="0"/>
        <v>46105</v>
      </c>
      <c r="AP25" s="221"/>
    </row>
    <row r="26" spans="1:42" ht="15" x14ac:dyDescent="0.25">
      <c r="A26" s="155">
        <v>1045649</v>
      </c>
      <c r="B26" s="156" t="s">
        <v>60</v>
      </c>
      <c r="C26" s="156" t="s">
        <v>56</v>
      </c>
      <c r="D26" s="157">
        <v>46117</v>
      </c>
      <c r="E26" s="157">
        <v>46117</v>
      </c>
      <c r="F26" s="156"/>
      <c r="G26" s="156">
        <v>677</v>
      </c>
      <c r="H26" s="156" t="s">
        <v>176</v>
      </c>
      <c r="I26" s="156">
        <v>1168</v>
      </c>
      <c r="J26" s="156">
        <v>234671</v>
      </c>
      <c r="K26" s="156"/>
      <c r="L26" s="156" t="s">
        <v>212</v>
      </c>
      <c r="M26" s="156" t="s">
        <v>57</v>
      </c>
      <c r="N26" s="156" t="s">
        <v>58</v>
      </c>
      <c r="O26" s="157">
        <v>46117</v>
      </c>
      <c r="P26" s="229">
        <v>49</v>
      </c>
      <c r="Q26" s="180" t="s">
        <v>59</v>
      </c>
      <c r="R26" s="180">
        <v>1.42</v>
      </c>
      <c r="S26" s="180">
        <v>0.64</v>
      </c>
      <c r="T26" s="180">
        <v>0.12</v>
      </c>
      <c r="U26" s="180">
        <v>47.46</v>
      </c>
      <c r="V26" s="231">
        <v>1490.19</v>
      </c>
      <c r="W26" s="157">
        <v>46118</v>
      </c>
      <c r="X26" s="156">
        <v>20260406</v>
      </c>
      <c r="Y26" s="156"/>
      <c r="Z26" s="156" t="s">
        <v>84</v>
      </c>
      <c r="AA26" s="156" t="s">
        <v>177</v>
      </c>
      <c r="AB26" s="156" t="s">
        <v>95</v>
      </c>
      <c r="AC26" s="156"/>
      <c r="AD26" s="156"/>
      <c r="AE26" s="158">
        <v>0.88177083333333339</v>
      </c>
      <c r="AF26" s="156" t="s">
        <v>178</v>
      </c>
      <c r="AG26" s="159" t="s">
        <v>137</v>
      </c>
      <c r="AH26" s="32"/>
      <c r="AJ26"/>
      <c r="AK26"/>
      <c r="AL26" s="32"/>
      <c r="AN26" s="37"/>
      <c r="AO26" s="220">
        <f t="shared" si="0"/>
        <v>46106</v>
      </c>
      <c r="AP26" s="221"/>
    </row>
    <row r="27" spans="1:42" ht="15" x14ac:dyDescent="0.25">
      <c r="A27" s="155">
        <v>1045649</v>
      </c>
      <c r="B27" s="156" t="s">
        <v>213</v>
      </c>
      <c r="C27" s="156" t="s">
        <v>56</v>
      </c>
      <c r="D27" s="157">
        <v>46117</v>
      </c>
      <c r="E27" s="157">
        <v>46117</v>
      </c>
      <c r="F27" s="156"/>
      <c r="G27" s="156">
        <v>677</v>
      </c>
      <c r="H27" s="156" t="s">
        <v>176</v>
      </c>
      <c r="I27" s="156">
        <v>1166</v>
      </c>
      <c r="J27" s="156" t="s">
        <v>214</v>
      </c>
      <c r="K27" s="156"/>
      <c r="L27" s="156" t="s">
        <v>215</v>
      </c>
      <c r="M27" s="156" t="s">
        <v>57</v>
      </c>
      <c r="N27" s="156" t="s">
        <v>58</v>
      </c>
      <c r="O27" s="157">
        <v>46117</v>
      </c>
      <c r="P27" s="229">
        <v>629</v>
      </c>
      <c r="Q27" s="180" t="s">
        <v>59</v>
      </c>
      <c r="R27" s="180">
        <v>18.18</v>
      </c>
      <c r="S27" s="180">
        <v>8.1199999999999992</v>
      </c>
      <c r="T27" s="180">
        <v>1.46</v>
      </c>
      <c r="U27" s="180">
        <v>609.36</v>
      </c>
      <c r="V27" s="231">
        <v>609.36</v>
      </c>
      <c r="W27" s="157">
        <v>46118</v>
      </c>
      <c r="X27" s="156">
        <v>20260406</v>
      </c>
      <c r="Y27" s="156"/>
      <c r="Z27" s="156" t="s">
        <v>84</v>
      </c>
      <c r="AA27" s="156" t="s">
        <v>177</v>
      </c>
      <c r="AB27" s="156" t="s">
        <v>216</v>
      </c>
      <c r="AC27" s="156"/>
      <c r="AD27" s="156"/>
      <c r="AE27" s="158">
        <v>0.85781249999999998</v>
      </c>
      <c r="AF27" s="156" t="s">
        <v>178</v>
      </c>
      <c r="AG27" s="159" t="s">
        <v>137</v>
      </c>
      <c r="AH27" s="32"/>
      <c r="AJ27"/>
      <c r="AK27"/>
      <c r="AL27" s="32"/>
      <c r="AN27" s="37"/>
      <c r="AO27" s="220">
        <f t="shared" si="0"/>
        <v>46107</v>
      </c>
      <c r="AP27" s="221"/>
    </row>
    <row r="28" spans="1:42" ht="15" x14ac:dyDescent="0.25">
      <c r="A28" s="155">
        <v>1045649</v>
      </c>
      <c r="B28" s="156" t="s">
        <v>60</v>
      </c>
      <c r="C28" s="156" t="s">
        <v>56</v>
      </c>
      <c r="D28" s="157">
        <v>46118</v>
      </c>
      <c r="E28" s="157">
        <v>46118</v>
      </c>
      <c r="F28" s="156"/>
      <c r="G28" s="156">
        <v>678</v>
      </c>
      <c r="H28" s="156" t="s">
        <v>176</v>
      </c>
      <c r="I28" s="156">
        <v>1173</v>
      </c>
      <c r="J28" s="156">
        <v>161412</v>
      </c>
      <c r="K28" s="156"/>
      <c r="L28" s="156" t="s">
        <v>217</v>
      </c>
      <c r="M28" s="156" t="s">
        <v>57</v>
      </c>
      <c r="N28" s="156" t="s">
        <v>58</v>
      </c>
      <c r="O28" s="157">
        <v>46118</v>
      </c>
      <c r="P28" s="229">
        <v>89</v>
      </c>
      <c r="Q28" s="180" t="s">
        <v>59</v>
      </c>
      <c r="R28" s="180">
        <v>2.57</v>
      </c>
      <c r="S28" s="180">
        <v>1.1499999999999999</v>
      </c>
      <c r="T28" s="180">
        <v>0.21</v>
      </c>
      <c r="U28" s="180">
        <v>86.22</v>
      </c>
      <c r="V28" s="230">
        <v>0</v>
      </c>
      <c r="W28" s="156"/>
      <c r="X28" s="156">
        <v>20260407</v>
      </c>
      <c r="Y28" s="156"/>
      <c r="Z28" s="156" t="s">
        <v>84</v>
      </c>
      <c r="AA28" s="156" t="s">
        <v>177</v>
      </c>
      <c r="AB28" s="156" t="s">
        <v>95</v>
      </c>
      <c r="AC28" s="156"/>
      <c r="AD28" s="156"/>
      <c r="AE28" s="158">
        <v>0.60207175925925926</v>
      </c>
      <c r="AF28" s="156" t="s">
        <v>178</v>
      </c>
      <c r="AG28" s="159" t="s">
        <v>137</v>
      </c>
      <c r="AH28" s="32"/>
      <c r="AJ28"/>
      <c r="AK28"/>
      <c r="AL28" s="32"/>
      <c r="AN28" s="37"/>
      <c r="AO28" s="220">
        <f t="shared" si="0"/>
        <v>46108</v>
      </c>
      <c r="AP28" s="221"/>
    </row>
    <row r="29" spans="1:42" ht="15" x14ac:dyDescent="0.25">
      <c r="A29" s="155">
        <v>1045649</v>
      </c>
      <c r="B29" s="156" t="s">
        <v>60</v>
      </c>
      <c r="C29" s="156" t="s">
        <v>56</v>
      </c>
      <c r="D29" s="157">
        <v>46118</v>
      </c>
      <c r="E29" s="157">
        <v>46118</v>
      </c>
      <c r="F29" s="156"/>
      <c r="G29" s="156">
        <v>678</v>
      </c>
      <c r="H29" s="156" t="s">
        <v>176</v>
      </c>
      <c r="I29" s="156">
        <v>1175</v>
      </c>
      <c r="J29" s="156">
        <v>621268</v>
      </c>
      <c r="K29" s="156"/>
      <c r="L29" s="156" t="s">
        <v>218</v>
      </c>
      <c r="M29" s="156" t="s">
        <v>57</v>
      </c>
      <c r="N29" s="156" t="s">
        <v>58</v>
      </c>
      <c r="O29" s="157">
        <v>46118</v>
      </c>
      <c r="P29" s="229">
        <v>230</v>
      </c>
      <c r="Q29" s="180" t="s">
        <v>59</v>
      </c>
      <c r="R29" s="180">
        <v>6.65</v>
      </c>
      <c r="S29" s="180">
        <v>2.97</v>
      </c>
      <c r="T29" s="180">
        <v>0.53</v>
      </c>
      <c r="U29" s="180">
        <v>222.82</v>
      </c>
      <c r="V29" s="230">
        <v>0</v>
      </c>
      <c r="W29" s="156"/>
      <c r="X29" s="156">
        <v>20260407</v>
      </c>
      <c r="Y29" s="156"/>
      <c r="Z29" s="156" t="s">
        <v>84</v>
      </c>
      <c r="AA29" s="156" t="s">
        <v>177</v>
      </c>
      <c r="AB29" s="156" t="s">
        <v>95</v>
      </c>
      <c r="AC29" s="156"/>
      <c r="AD29" s="156"/>
      <c r="AE29" s="158">
        <v>0.78784722222222225</v>
      </c>
      <c r="AF29" s="156" t="s">
        <v>178</v>
      </c>
      <c r="AG29" s="159" t="s">
        <v>137</v>
      </c>
      <c r="AH29" s="32"/>
      <c r="AJ29"/>
      <c r="AK29"/>
      <c r="AL29" s="32"/>
      <c r="AO29" s="220">
        <f t="shared" ref="AO29:AO32" si="1">+AO28+1</f>
        <v>46109</v>
      </c>
      <c r="AP29" s="221"/>
    </row>
    <row r="30" spans="1:42" ht="15" x14ac:dyDescent="0.25">
      <c r="A30" s="155">
        <v>1045649</v>
      </c>
      <c r="B30" s="156" t="s">
        <v>60</v>
      </c>
      <c r="C30" s="156" t="s">
        <v>56</v>
      </c>
      <c r="D30" s="157">
        <v>46118</v>
      </c>
      <c r="E30" s="157">
        <v>46118</v>
      </c>
      <c r="F30" s="156"/>
      <c r="G30" s="156">
        <v>678</v>
      </c>
      <c r="H30" s="156" t="s">
        <v>176</v>
      </c>
      <c r="I30" s="156">
        <v>1177</v>
      </c>
      <c r="J30" s="156">
        <v>185717</v>
      </c>
      <c r="K30" s="156"/>
      <c r="L30" s="156" t="s">
        <v>187</v>
      </c>
      <c r="M30" s="156" t="s">
        <v>57</v>
      </c>
      <c r="N30" s="156" t="s">
        <v>58</v>
      </c>
      <c r="O30" s="157">
        <v>46118</v>
      </c>
      <c r="P30" s="229">
        <v>919</v>
      </c>
      <c r="Q30" s="180" t="s">
        <v>59</v>
      </c>
      <c r="R30" s="180">
        <v>26.56</v>
      </c>
      <c r="S30" s="180">
        <v>7.26</v>
      </c>
      <c r="T30" s="180">
        <v>1.31</v>
      </c>
      <c r="U30" s="180">
        <v>891.13</v>
      </c>
      <c r="V30" s="230">
        <v>0</v>
      </c>
      <c r="W30" s="156"/>
      <c r="X30" s="156">
        <v>20260407</v>
      </c>
      <c r="Y30" s="156"/>
      <c r="Z30" s="156" t="s">
        <v>84</v>
      </c>
      <c r="AA30" s="156" t="s">
        <v>177</v>
      </c>
      <c r="AB30" s="156" t="s">
        <v>133</v>
      </c>
      <c r="AC30" s="156"/>
      <c r="AD30" s="156"/>
      <c r="AE30" s="158">
        <v>0.78905092592592585</v>
      </c>
      <c r="AF30" s="156" t="s">
        <v>178</v>
      </c>
      <c r="AG30" s="159" t="s">
        <v>137</v>
      </c>
      <c r="AH30" s="32"/>
      <c r="AL30" s="32"/>
      <c r="AO30" s="220">
        <f t="shared" si="1"/>
        <v>46110</v>
      </c>
      <c r="AP30" s="221"/>
    </row>
    <row r="31" spans="1:42" ht="15" x14ac:dyDescent="0.25">
      <c r="A31" s="155">
        <v>1045649</v>
      </c>
      <c r="B31" s="156" t="s">
        <v>60</v>
      </c>
      <c r="C31" s="156" t="s">
        <v>56</v>
      </c>
      <c r="D31" s="157">
        <v>46118</v>
      </c>
      <c r="E31" s="157">
        <v>46118</v>
      </c>
      <c r="F31" s="156"/>
      <c r="G31" s="156">
        <v>678</v>
      </c>
      <c r="H31" s="156">
        <v>65656565</v>
      </c>
      <c r="I31" s="156">
        <v>1179</v>
      </c>
      <c r="J31" s="156">
        <v>19220</v>
      </c>
      <c r="K31" s="156"/>
      <c r="L31" s="156" t="s">
        <v>219</v>
      </c>
      <c r="M31" s="156" t="s">
        <v>57</v>
      </c>
      <c r="N31" s="156" t="s">
        <v>58</v>
      </c>
      <c r="O31" s="157">
        <v>46118</v>
      </c>
      <c r="P31" s="229">
        <v>459</v>
      </c>
      <c r="Q31" s="180" t="s">
        <v>59</v>
      </c>
      <c r="R31" s="180">
        <v>13.26</v>
      </c>
      <c r="S31" s="180">
        <v>5.92</v>
      </c>
      <c r="T31" s="180">
        <v>1.07</v>
      </c>
      <c r="U31" s="180">
        <v>444.67</v>
      </c>
      <c r="V31" s="230">
        <v>0</v>
      </c>
      <c r="W31" s="156"/>
      <c r="X31" s="156">
        <v>20260407</v>
      </c>
      <c r="Y31" s="156"/>
      <c r="Z31" s="156" t="s">
        <v>84</v>
      </c>
      <c r="AA31" s="156" t="s">
        <v>177</v>
      </c>
      <c r="AB31" s="156" t="s">
        <v>95</v>
      </c>
      <c r="AC31" s="156"/>
      <c r="AD31" s="156" t="s">
        <v>86</v>
      </c>
      <c r="AE31" s="158">
        <v>0.87340277777777775</v>
      </c>
      <c r="AF31" s="156" t="s">
        <v>178</v>
      </c>
      <c r="AG31" s="159" t="s">
        <v>137</v>
      </c>
      <c r="AH31" s="32"/>
      <c r="AL31" s="32"/>
      <c r="AO31" s="220">
        <f t="shared" si="1"/>
        <v>46111</v>
      </c>
      <c r="AP31" s="221"/>
    </row>
    <row r="32" spans="1:42" ht="15" x14ac:dyDescent="0.25">
      <c r="A32" s="155">
        <v>1045649</v>
      </c>
      <c r="B32" s="156" t="s">
        <v>60</v>
      </c>
      <c r="C32" s="156" t="s">
        <v>56</v>
      </c>
      <c r="D32" s="157">
        <v>46118</v>
      </c>
      <c r="E32" s="157">
        <v>46118</v>
      </c>
      <c r="F32" s="156"/>
      <c r="G32" s="156">
        <v>678</v>
      </c>
      <c r="H32" s="156" t="s">
        <v>176</v>
      </c>
      <c r="I32" s="156">
        <v>1183</v>
      </c>
      <c r="J32" s="156">
        <v>8400</v>
      </c>
      <c r="K32" s="156"/>
      <c r="L32" s="156" t="s">
        <v>220</v>
      </c>
      <c r="M32" s="156" t="s">
        <v>57</v>
      </c>
      <c r="N32" s="156" t="s">
        <v>58</v>
      </c>
      <c r="O32" s="157">
        <v>46118</v>
      </c>
      <c r="P32" s="229">
        <v>1149</v>
      </c>
      <c r="Q32" s="180" t="s">
        <v>59</v>
      </c>
      <c r="R32" s="180">
        <v>33.21</v>
      </c>
      <c r="S32" s="180">
        <v>9.08</v>
      </c>
      <c r="T32" s="180">
        <v>1.63</v>
      </c>
      <c r="U32" s="180">
        <v>1114.1600000000001</v>
      </c>
      <c r="V32" s="231">
        <v>2759</v>
      </c>
      <c r="W32" s="157">
        <v>46119</v>
      </c>
      <c r="X32" s="156">
        <v>20260407</v>
      </c>
      <c r="Y32" s="156"/>
      <c r="Z32" s="156" t="s">
        <v>85</v>
      </c>
      <c r="AA32" s="156" t="s">
        <v>177</v>
      </c>
      <c r="AB32" s="156" t="s">
        <v>95</v>
      </c>
      <c r="AC32" s="156"/>
      <c r="AD32" s="156"/>
      <c r="AE32" s="158">
        <v>0.88157407407407407</v>
      </c>
      <c r="AF32" s="156" t="s">
        <v>178</v>
      </c>
      <c r="AG32" s="159" t="s">
        <v>137</v>
      </c>
      <c r="AH32" s="32"/>
      <c r="AL32" s="32"/>
      <c r="AO32" s="220">
        <f t="shared" si="1"/>
        <v>46112</v>
      </c>
      <c r="AP32" s="221"/>
    </row>
    <row r="33" spans="1:38" ht="15" x14ac:dyDescent="0.25">
      <c r="A33" s="155">
        <v>1045649</v>
      </c>
      <c r="B33" s="156" t="s">
        <v>60</v>
      </c>
      <c r="C33" s="156" t="s">
        <v>56</v>
      </c>
      <c r="D33" s="157">
        <v>46119</v>
      </c>
      <c r="E33" s="157">
        <v>46119</v>
      </c>
      <c r="F33" s="156"/>
      <c r="G33" s="156">
        <v>679</v>
      </c>
      <c r="H33" s="156" t="s">
        <v>176</v>
      </c>
      <c r="I33" s="156">
        <v>1189</v>
      </c>
      <c r="J33" s="156">
        <v>80068</v>
      </c>
      <c r="K33" s="156"/>
      <c r="L33" s="156" t="s">
        <v>221</v>
      </c>
      <c r="M33" s="156" t="s">
        <v>57</v>
      </c>
      <c r="N33" s="156" t="s">
        <v>58</v>
      </c>
      <c r="O33" s="157">
        <v>46119</v>
      </c>
      <c r="P33" s="229">
        <v>580</v>
      </c>
      <c r="Q33" s="180" t="s">
        <v>59</v>
      </c>
      <c r="R33" s="180">
        <v>16.760000000000002</v>
      </c>
      <c r="S33" s="180">
        <v>4.58</v>
      </c>
      <c r="T33" s="180">
        <v>0.82</v>
      </c>
      <c r="U33" s="180">
        <v>562.41999999999996</v>
      </c>
      <c r="V33" s="230">
        <v>0</v>
      </c>
      <c r="W33" s="156"/>
      <c r="X33" s="156">
        <v>20260408</v>
      </c>
      <c r="Y33" s="156"/>
      <c r="Z33" s="156" t="s">
        <v>85</v>
      </c>
      <c r="AA33" s="156" t="s">
        <v>177</v>
      </c>
      <c r="AB33" s="156" t="s">
        <v>133</v>
      </c>
      <c r="AC33" s="156"/>
      <c r="AD33" s="156"/>
      <c r="AE33" s="158">
        <v>0.46379629629629626</v>
      </c>
      <c r="AF33" s="156" t="s">
        <v>178</v>
      </c>
      <c r="AG33" s="159" t="s">
        <v>137</v>
      </c>
      <c r="AH33" s="32"/>
    </row>
    <row r="34" spans="1:38" ht="15" x14ac:dyDescent="0.25">
      <c r="A34" s="155">
        <v>1045649</v>
      </c>
      <c r="B34" s="156" t="s">
        <v>60</v>
      </c>
      <c r="C34" s="156" t="s">
        <v>56</v>
      </c>
      <c r="D34" s="157">
        <v>46119</v>
      </c>
      <c r="E34" s="157">
        <v>46119</v>
      </c>
      <c r="F34" s="156"/>
      <c r="G34" s="156">
        <v>679</v>
      </c>
      <c r="H34" s="156" t="s">
        <v>176</v>
      </c>
      <c r="I34" s="156">
        <v>1191</v>
      </c>
      <c r="J34" s="156">
        <v>5953</v>
      </c>
      <c r="K34" s="156"/>
      <c r="L34" s="156" t="s">
        <v>222</v>
      </c>
      <c r="M34" s="156" t="s">
        <v>57</v>
      </c>
      <c r="N34" s="156" t="s">
        <v>58</v>
      </c>
      <c r="O34" s="157">
        <v>46119</v>
      </c>
      <c r="P34" s="229">
        <v>119</v>
      </c>
      <c r="Q34" s="180" t="s">
        <v>59</v>
      </c>
      <c r="R34" s="180">
        <v>3.44</v>
      </c>
      <c r="S34" s="180">
        <v>0.94</v>
      </c>
      <c r="T34" s="180">
        <v>0.17</v>
      </c>
      <c r="U34" s="180">
        <v>115.39</v>
      </c>
      <c r="V34" s="230">
        <v>0</v>
      </c>
      <c r="W34" s="156"/>
      <c r="X34" s="156">
        <v>20260408</v>
      </c>
      <c r="Y34" s="156"/>
      <c r="Z34" s="156" t="s">
        <v>85</v>
      </c>
      <c r="AA34" s="156" t="s">
        <v>177</v>
      </c>
      <c r="AB34" s="156" t="s">
        <v>95</v>
      </c>
      <c r="AC34" s="156"/>
      <c r="AD34" s="156"/>
      <c r="AE34" s="158">
        <v>0.46567129629629633</v>
      </c>
      <c r="AF34" s="156" t="s">
        <v>178</v>
      </c>
      <c r="AG34" s="159" t="s">
        <v>137</v>
      </c>
      <c r="AH34" s="32"/>
    </row>
    <row r="35" spans="1:38" ht="15" x14ac:dyDescent="0.25">
      <c r="A35" s="155">
        <v>1045649</v>
      </c>
      <c r="B35" s="156" t="s">
        <v>60</v>
      </c>
      <c r="C35" s="156" t="s">
        <v>56</v>
      </c>
      <c r="D35" s="157">
        <v>46119</v>
      </c>
      <c r="E35" s="157">
        <v>46119</v>
      </c>
      <c r="F35" s="156"/>
      <c r="G35" s="156">
        <v>679</v>
      </c>
      <c r="H35" s="156" t="s">
        <v>176</v>
      </c>
      <c r="I35" s="156">
        <v>1193</v>
      </c>
      <c r="J35" s="156">
        <v>469018</v>
      </c>
      <c r="K35" s="156"/>
      <c r="L35" s="156" t="s">
        <v>223</v>
      </c>
      <c r="M35" s="156" t="s">
        <v>57</v>
      </c>
      <c r="N35" s="156" t="s">
        <v>58</v>
      </c>
      <c r="O35" s="157">
        <v>46119</v>
      </c>
      <c r="P35" s="229">
        <v>189</v>
      </c>
      <c r="Q35" s="180" t="s">
        <v>59</v>
      </c>
      <c r="R35" s="180">
        <v>5.46</v>
      </c>
      <c r="S35" s="180">
        <v>2.44</v>
      </c>
      <c r="T35" s="180">
        <v>0.44</v>
      </c>
      <c r="U35" s="180">
        <v>183.1</v>
      </c>
      <c r="V35" s="231">
        <v>860.91</v>
      </c>
      <c r="W35" s="157">
        <v>46120</v>
      </c>
      <c r="X35" s="156">
        <v>20260408</v>
      </c>
      <c r="Y35" s="156"/>
      <c r="Z35" s="156" t="s">
        <v>84</v>
      </c>
      <c r="AA35" s="156" t="s">
        <v>177</v>
      </c>
      <c r="AB35" s="156" t="s">
        <v>95</v>
      </c>
      <c r="AC35" s="156"/>
      <c r="AD35" s="156"/>
      <c r="AE35" s="158">
        <v>0.88982638888888888</v>
      </c>
      <c r="AF35" s="156" t="s">
        <v>178</v>
      </c>
      <c r="AG35" s="159" t="s">
        <v>137</v>
      </c>
      <c r="AH35" s="32"/>
    </row>
    <row r="36" spans="1:38" ht="15" x14ac:dyDescent="0.25">
      <c r="A36" s="155">
        <v>1045649</v>
      </c>
      <c r="B36" s="156" t="s">
        <v>60</v>
      </c>
      <c r="C36" s="156" t="s">
        <v>56</v>
      </c>
      <c r="D36" s="157">
        <v>46120</v>
      </c>
      <c r="E36" s="157">
        <v>46120</v>
      </c>
      <c r="F36" s="156"/>
      <c r="G36" s="156">
        <v>681</v>
      </c>
      <c r="H36" s="156" t="s">
        <v>176</v>
      </c>
      <c r="I36" s="156">
        <v>1203</v>
      </c>
      <c r="J36" s="156">
        <v>35645</v>
      </c>
      <c r="K36" s="156"/>
      <c r="L36" s="156" t="s">
        <v>224</v>
      </c>
      <c r="M36" s="156" t="s">
        <v>57</v>
      </c>
      <c r="N36" s="156" t="s">
        <v>58</v>
      </c>
      <c r="O36" s="157">
        <v>46120</v>
      </c>
      <c r="P36" s="229">
        <v>129</v>
      </c>
      <c r="Q36" s="180" t="s">
        <v>59</v>
      </c>
      <c r="R36" s="180">
        <v>3.73</v>
      </c>
      <c r="S36" s="180">
        <v>1.67</v>
      </c>
      <c r="T36" s="180">
        <v>0.3</v>
      </c>
      <c r="U36" s="180">
        <v>124.97</v>
      </c>
      <c r="V36" s="230">
        <v>0</v>
      </c>
      <c r="W36" s="156"/>
      <c r="X36" s="156">
        <v>20260409</v>
      </c>
      <c r="Y36" s="156"/>
      <c r="Z36" s="156" t="s">
        <v>84</v>
      </c>
      <c r="AA36" s="156" t="s">
        <v>177</v>
      </c>
      <c r="AB36" s="156" t="s">
        <v>95</v>
      </c>
      <c r="AC36" s="156"/>
      <c r="AD36" s="156"/>
      <c r="AE36" s="158">
        <v>0.44934027777777774</v>
      </c>
      <c r="AF36" s="156" t="s">
        <v>178</v>
      </c>
      <c r="AG36" s="159" t="s">
        <v>137</v>
      </c>
      <c r="AH36" s="32"/>
    </row>
    <row r="37" spans="1:38" ht="15" x14ac:dyDescent="0.25">
      <c r="A37" s="155">
        <v>1045649</v>
      </c>
      <c r="B37" s="156" t="s">
        <v>60</v>
      </c>
      <c r="C37" s="156" t="s">
        <v>56</v>
      </c>
      <c r="D37" s="157">
        <v>46120</v>
      </c>
      <c r="E37" s="157">
        <v>46120</v>
      </c>
      <c r="F37" s="156"/>
      <c r="G37" s="156">
        <v>681</v>
      </c>
      <c r="H37" s="156" t="s">
        <v>176</v>
      </c>
      <c r="I37" s="156">
        <v>1206</v>
      </c>
      <c r="J37" s="156">
        <v>905366</v>
      </c>
      <c r="K37" s="156"/>
      <c r="L37" s="156" t="s">
        <v>225</v>
      </c>
      <c r="M37" s="156" t="s">
        <v>57</v>
      </c>
      <c r="N37" s="156" t="s">
        <v>58</v>
      </c>
      <c r="O37" s="157">
        <v>46120</v>
      </c>
      <c r="P37" s="229">
        <v>179</v>
      </c>
      <c r="Q37" s="180" t="s">
        <v>59</v>
      </c>
      <c r="R37" s="180">
        <v>5.17</v>
      </c>
      <c r="S37" s="180">
        <v>2.31</v>
      </c>
      <c r="T37" s="180">
        <v>0.42</v>
      </c>
      <c r="U37" s="180">
        <v>173.41</v>
      </c>
      <c r="V37" s="230">
        <v>0</v>
      </c>
      <c r="W37" s="156"/>
      <c r="X37" s="156">
        <v>20260409</v>
      </c>
      <c r="Y37" s="156"/>
      <c r="Z37" s="156" t="s">
        <v>84</v>
      </c>
      <c r="AA37" s="156" t="s">
        <v>177</v>
      </c>
      <c r="AB37" s="156" t="s">
        <v>95</v>
      </c>
      <c r="AC37" s="156"/>
      <c r="AD37" s="156"/>
      <c r="AE37" s="158">
        <v>0.82789351851851845</v>
      </c>
      <c r="AF37" s="156" t="s">
        <v>178</v>
      </c>
      <c r="AG37" s="159" t="s">
        <v>137</v>
      </c>
      <c r="AH37" s="32"/>
    </row>
    <row r="38" spans="1:38" ht="15" x14ac:dyDescent="0.25">
      <c r="A38" s="155">
        <v>1045649</v>
      </c>
      <c r="B38" s="156" t="s">
        <v>60</v>
      </c>
      <c r="C38" s="156" t="s">
        <v>56</v>
      </c>
      <c r="D38" s="157">
        <v>46120</v>
      </c>
      <c r="E38" s="157">
        <v>46120</v>
      </c>
      <c r="F38" s="156"/>
      <c r="G38" s="156">
        <v>681</v>
      </c>
      <c r="H38" s="156">
        <v>65656565</v>
      </c>
      <c r="I38" s="156">
        <v>1208</v>
      </c>
      <c r="J38" s="156">
        <v>4395</v>
      </c>
      <c r="K38" s="156"/>
      <c r="L38" s="156" t="s">
        <v>226</v>
      </c>
      <c r="M38" s="156" t="s">
        <v>57</v>
      </c>
      <c r="N38" s="156" t="s">
        <v>58</v>
      </c>
      <c r="O38" s="157">
        <v>46120</v>
      </c>
      <c r="P38" s="229">
        <v>47.25</v>
      </c>
      <c r="Q38" s="180" t="s">
        <v>59</v>
      </c>
      <c r="R38" s="180">
        <v>1.36</v>
      </c>
      <c r="S38" s="180">
        <v>0.6</v>
      </c>
      <c r="T38" s="180">
        <v>0.11</v>
      </c>
      <c r="U38" s="180">
        <v>45.78</v>
      </c>
      <c r="V38" s="230">
        <v>0</v>
      </c>
      <c r="W38" s="156"/>
      <c r="X38" s="156">
        <v>20260409</v>
      </c>
      <c r="Y38" s="156"/>
      <c r="Z38" s="156" t="s">
        <v>84</v>
      </c>
      <c r="AA38" s="156" t="s">
        <v>177</v>
      </c>
      <c r="AB38" s="156" t="s">
        <v>95</v>
      </c>
      <c r="AC38" s="156"/>
      <c r="AD38" s="156" t="s">
        <v>86</v>
      </c>
      <c r="AE38" s="158">
        <v>0.86785879629629636</v>
      </c>
      <c r="AF38" s="156" t="s">
        <v>178</v>
      </c>
      <c r="AG38" s="159" t="s">
        <v>137</v>
      </c>
      <c r="AH38" s="32"/>
      <c r="AL38" s="32"/>
    </row>
    <row r="39" spans="1:38" ht="15" x14ac:dyDescent="0.25">
      <c r="A39" s="155">
        <v>1045649</v>
      </c>
      <c r="B39" s="156" t="s">
        <v>60</v>
      </c>
      <c r="C39" s="156" t="s">
        <v>56</v>
      </c>
      <c r="D39" s="157">
        <v>46120</v>
      </c>
      <c r="E39" s="157">
        <v>46119</v>
      </c>
      <c r="F39" s="156"/>
      <c r="G39" s="156">
        <v>680</v>
      </c>
      <c r="H39" s="156" t="s">
        <v>176</v>
      </c>
      <c r="I39" s="156">
        <v>1198</v>
      </c>
      <c r="J39" s="156">
        <v>1126</v>
      </c>
      <c r="K39" s="156">
        <v>4</v>
      </c>
      <c r="L39" s="156" t="s">
        <v>227</v>
      </c>
      <c r="M39" s="156" t="s">
        <v>57</v>
      </c>
      <c r="N39" s="156" t="s">
        <v>58</v>
      </c>
      <c r="O39" s="157">
        <v>46119</v>
      </c>
      <c r="P39" s="229">
        <v>1399</v>
      </c>
      <c r="Q39" s="180" t="s">
        <v>59</v>
      </c>
      <c r="R39" s="180">
        <v>40.43</v>
      </c>
      <c r="S39" s="180">
        <v>11.05</v>
      </c>
      <c r="T39" s="180">
        <v>1.99</v>
      </c>
      <c r="U39" s="180">
        <v>1356.58</v>
      </c>
      <c r="V39" s="231">
        <v>1700.74</v>
      </c>
      <c r="W39" s="157">
        <v>46121</v>
      </c>
      <c r="X39" s="156">
        <v>20260409</v>
      </c>
      <c r="Y39" s="156" t="s">
        <v>228</v>
      </c>
      <c r="Z39" s="156" t="s">
        <v>85</v>
      </c>
      <c r="AA39" s="156" t="s">
        <v>177</v>
      </c>
      <c r="AB39" s="156" t="s">
        <v>95</v>
      </c>
      <c r="AC39" s="156" t="s">
        <v>89</v>
      </c>
      <c r="AD39" s="156"/>
      <c r="AE39" s="158">
        <v>0.92101851851851846</v>
      </c>
      <c r="AF39" s="156" t="s">
        <v>178</v>
      </c>
      <c r="AG39" s="159" t="s">
        <v>137</v>
      </c>
      <c r="AH39" s="32"/>
      <c r="AL39" s="32"/>
    </row>
    <row r="40" spans="1:38" ht="15" x14ac:dyDescent="0.25">
      <c r="A40" s="155">
        <v>1045649</v>
      </c>
      <c r="B40" s="156" t="s">
        <v>60</v>
      </c>
      <c r="C40" s="156" t="s">
        <v>56</v>
      </c>
      <c r="D40" s="157">
        <v>46121</v>
      </c>
      <c r="E40" s="157">
        <v>46121</v>
      </c>
      <c r="F40" s="156"/>
      <c r="G40" s="156">
        <v>682</v>
      </c>
      <c r="H40" s="156" t="s">
        <v>176</v>
      </c>
      <c r="I40" s="156">
        <v>1215</v>
      </c>
      <c r="J40" s="156">
        <v>866408</v>
      </c>
      <c r="K40" s="156"/>
      <c r="L40" s="156" t="s">
        <v>229</v>
      </c>
      <c r="M40" s="156" t="s">
        <v>57</v>
      </c>
      <c r="N40" s="156" t="s">
        <v>58</v>
      </c>
      <c r="O40" s="157">
        <v>46121</v>
      </c>
      <c r="P40" s="229">
        <v>1149</v>
      </c>
      <c r="Q40" s="180" t="s">
        <v>59</v>
      </c>
      <c r="R40" s="180">
        <v>33.21</v>
      </c>
      <c r="S40" s="180">
        <v>14.83</v>
      </c>
      <c r="T40" s="180">
        <v>2.67</v>
      </c>
      <c r="U40" s="180">
        <v>1113.1199999999999</v>
      </c>
      <c r="V40" s="230">
        <v>0</v>
      </c>
      <c r="W40" s="156"/>
      <c r="X40" s="156">
        <v>20260410</v>
      </c>
      <c r="Y40" s="156"/>
      <c r="Z40" s="156" t="s">
        <v>84</v>
      </c>
      <c r="AA40" s="156" t="s">
        <v>177</v>
      </c>
      <c r="AB40" s="156" t="s">
        <v>95</v>
      </c>
      <c r="AC40" s="156"/>
      <c r="AD40" s="156"/>
      <c r="AE40" s="158">
        <v>0.44587962962962963</v>
      </c>
      <c r="AF40" s="156" t="s">
        <v>178</v>
      </c>
      <c r="AG40" s="159" t="s">
        <v>137</v>
      </c>
      <c r="AH40" s="32"/>
      <c r="AL40" s="32"/>
    </row>
    <row r="41" spans="1:38" ht="15" x14ac:dyDescent="0.25">
      <c r="A41" s="155">
        <v>1045649</v>
      </c>
      <c r="B41" s="156" t="s">
        <v>60</v>
      </c>
      <c r="C41" s="156" t="s">
        <v>56</v>
      </c>
      <c r="D41" s="157">
        <v>46121</v>
      </c>
      <c r="E41" s="157">
        <v>46121</v>
      </c>
      <c r="F41" s="156"/>
      <c r="G41" s="156">
        <v>682</v>
      </c>
      <c r="H41" s="156" t="s">
        <v>176</v>
      </c>
      <c r="I41" s="156">
        <v>1217</v>
      </c>
      <c r="J41" s="156">
        <v>413876</v>
      </c>
      <c r="K41" s="156"/>
      <c r="L41" s="156" t="s">
        <v>230</v>
      </c>
      <c r="M41" s="156" t="s">
        <v>57</v>
      </c>
      <c r="N41" s="156" t="s">
        <v>58</v>
      </c>
      <c r="O41" s="157">
        <v>46121</v>
      </c>
      <c r="P41" s="229">
        <v>629</v>
      </c>
      <c r="Q41" s="180" t="s">
        <v>59</v>
      </c>
      <c r="R41" s="180">
        <v>18.18</v>
      </c>
      <c r="S41" s="180">
        <v>2.4500000000000002</v>
      </c>
      <c r="T41" s="180">
        <v>0.44</v>
      </c>
      <c r="U41" s="180">
        <v>610.38</v>
      </c>
      <c r="V41" s="231">
        <v>1723.5</v>
      </c>
      <c r="W41" s="157">
        <v>46122</v>
      </c>
      <c r="X41" s="156">
        <v>20260410</v>
      </c>
      <c r="Y41" s="156"/>
      <c r="Z41" s="156" t="s">
        <v>85</v>
      </c>
      <c r="AA41" s="156" t="s">
        <v>177</v>
      </c>
      <c r="AB41" s="156" t="s">
        <v>133</v>
      </c>
      <c r="AC41" s="156"/>
      <c r="AD41" s="156"/>
      <c r="AE41" s="158">
        <v>0.69548611111111114</v>
      </c>
      <c r="AF41" s="156" t="s">
        <v>178</v>
      </c>
      <c r="AG41" s="159" t="s">
        <v>137</v>
      </c>
      <c r="AH41" s="32"/>
      <c r="AL41" s="32"/>
    </row>
    <row r="42" spans="1:38" ht="15" x14ac:dyDescent="0.25">
      <c r="A42" s="155">
        <v>1045649</v>
      </c>
      <c r="B42" s="156" t="s">
        <v>60</v>
      </c>
      <c r="C42" s="156" t="s">
        <v>56</v>
      </c>
      <c r="D42" s="157">
        <v>46123</v>
      </c>
      <c r="E42" s="157">
        <v>46123</v>
      </c>
      <c r="F42" s="156"/>
      <c r="G42" s="156">
        <v>683</v>
      </c>
      <c r="H42" s="156" t="s">
        <v>176</v>
      </c>
      <c r="I42" s="156">
        <v>1223</v>
      </c>
      <c r="J42" s="156">
        <v>185767</v>
      </c>
      <c r="K42" s="156"/>
      <c r="L42" s="156" t="s">
        <v>231</v>
      </c>
      <c r="M42" s="156" t="s">
        <v>57</v>
      </c>
      <c r="N42" s="156" t="s">
        <v>58</v>
      </c>
      <c r="O42" s="157">
        <v>46122</v>
      </c>
      <c r="P42" s="229">
        <v>688</v>
      </c>
      <c r="Q42" s="180" t="s">
        <v>59</v>
      </c>
      <c r="R42" s="180">
        <v>19.88</v>
      </c>
      <c r="S42" s="180">
        <v>5.43</v>
      </c>
      <c r="T42" s="180">
        <v>0.98</v>
      </c>
      <c r="U42" s="180">
        <v>667.14</v>
      </c>
      <c r="V42" s="230">
        <v>0</v>
      </c>
      <c r="W42" s="156"/>
      <c r="X42" s="156">
        <v>20260413</v>
      </c>
      <c r="Y42" s="156"/>
      <c r="Z42" s="156" t="s">
        <v>85</v>
      </c>
      <c r="AA42" s="156" t="s">
        <v>177</v>
      </c>
      <c r="AB42" s="156" t="s">
        <v>133</v>
      </c>
      <c r="AC42" s="156"/>
      <c r="AD42" s="156"/>
      <c r="AE42" s="158">
        <v>0.47140046296296295</v>
      </c>
      <c r="AF42" s="156" t="s">
        <v>178</v>
      </c>
      <c r="AG42" s="159" t="s">
        <v>137</v>
      </c>
      <c r="AH42" s="32"/>
      <c r="AL42" s="32"/>
    </row>
    <row r="43" spans="1:38" ht="15" x14ac:dyDescent="0.25">
      <c r="A43" s="155">
        <v>1045649</v>
      </c>
      <c r="B43" s="156" t="s">
        <v>60</v>
      </c>
      <c r="C43" s="156" t="s">
        <v>56</v>
      </c>
      <c r="D43" s="157">
        <v>46123</v>
      </c>
      <c r="E43" s="157">
        <v>46123</v>
      </c>
      <c r="F43" s="156"/>
      <c r="G43" s="156">
        <v>683</v>
      </c>
      <c r="H43" s="156">
        <v>65656565</v>
      </c>
      <c r="I43" s="156">
        <v>1225</v>
      </c>
      <c r="J43" s="156">
        <v>565779</v>
      </c>
      <c r="K43" s="156"/>
      <c r="L43" s="156" t="s">
        <v>232</v>
      </c>
      <c r="M43" s="156" t="s">
        <v>57</v>
      </c>
      <c r="N43" s="156" t="s">
        <v>58</v>
      </c>
      <c r="O43" s="157">
        <v>46122</v>
      </c>
      <c r="P43" s="229">
        <v>450</v>
      </c>
      <c r="Q43" s="180" t="s">
        <v>59</v>
      </c>
      <c r="R43" s="180">
        <v>13</v>
      </c>
      <c r="S43" s="180">
        <v>5.8</v>
      </c>
      <c r="T43" s="180">
        <v>1.04</v>
      </c>
      <c r="U43" s="180">
        <v>435.96</v>
      </c>
      <c r="V43" s="230">
        <v>0</v>
      </c>
      <c r="W43" s="156"/>
      <c r="X43" s="156">
        <v>20260413</v>
      </c>
      <c r="Y43" s="156"/>
      <c r="Z43" s="156" t="s">
        <v>84</v>
      </c>
      <c r="AA43" s="156" t="s">
        <v>177</v>
      </c>
      <c r="AB43" s="156" t="s">
        <v>133</v>
      </c>
      <c r="AC43" s="156"/>
      <c r="AD43" s="156" t="s">
        <v>192</v>
      </c>
      <c r="AE43" s="158">
        <v>0.53274305555555557</v>
      </c>
      <c r="AF43" s="156" t="s">
        <v>178</v>
      </c>
      <c r="AG43" s="159" t="s">
        <v>137</v>
      </c>
      <c r="AH43" s="32"/>
      <c r="AL43" s="32"/>
    </row>
    <row r="44" spans="1:38" ht="15" x14ac:dyDescent="0.25">
      <c r="A44" s="155">
        <v>1045649</v>
      </c>
      <c r="B44" s="156" t="s">
        <v>60</v>
      </c>
      <c r="C44" s="156" t="s">
        <v>56</v>
      </c>
      <c r="D44" s="157">
        <v>46123</v>
      </c>
      <c r="E44" s="157">
        <v>46123</v>
      </c>
      <c r="F44" s="156"/>
      <c r="G44" s="156">
        <v>683</v>
      </c>
      <c r="H44" s="156" t="s">
        <v>176</v>
      </c>
      <c r="I44" s="156">
        <v>1228</v>
      </c>
      <c r="J44" s="156">
        <v>204493</v>
      </c>
      <c r="K44" s="156"/>
      <c r="L44" s="156" t="s">
        <v>233</v>
      </c>
      <c r="M44" s="156" t="s">
        <v>57</v>
      </c>
      <c r="N44" s="156" t="s">
        <v>58</v>
      </c>
      <c r="O44" s="157">
        <v>46122</v>
      </c>
      <c r="P44" s="229">
        <v>1099</v>
      </c>
      <c r="Q44" s="180" t="s">
        <v>59</v>
      </c>
      <c r="R44" s="180">
        <v>31.76</v>
      </c>
      <c r="S44" s="180">
        <v>14.18</v>
      </c>
      <c r="T44" s="180">
        <v>2.5499999999999998</v>
      </c>
      <c r="U44" s="180">
        <v>1064.69</v>
      </c>
      <c r="V44" s="230">
        <v>0</v>
      </c>
      <c r="W44" s="156"/>
      <c r="X44" s="156">
        <v>20260413</v>
      </c>
      <c r="Y44" s="156"/>
      <c r="Z44" s="156" t="s">
        <v>84</v>
      </c>
      <c r="AA44" s="156" t="s">
        <v>177</v>
      </c>
      <c r="AB44" s="156" t="s">
        <v>169</v>
      </c>
      <c r="AC44" s="156"/>
      <c r="AD44" s="156"/>
      <c r="AE44" s="158">
        <v>0.79880787037037038</v>
      </c>
      <c r="AF44" s="156" t="s">
        <v>178</v>
      </c>
      <c r="AG44" s="159" t="s">
        <v>137</v>
      </c>
      <c r="AH44" s="32"/>
      <c r="AL44" s="32"/>
    </row>
    <row r="45" spans="1:38" ht="15" x14ac:dyDescent="0.25">
      <c r="A45" s="155">
        <v>1045649</v>
      </c>
      <c r="B45" s="156" t="s">
        <v>60</v>
      </c>
      <c r="C45" s="156" t="s">
        <v>56</v>
      </c>
      <c r="D45" s="157">
        <v>46123</v>
      </c>
      <c r="E45" s="157">
        <v>46123</v>
      </c>
      <c r="F45" s="156"/>
      <c r="G45" s="156">
        <v>683</v>
      </c>
      <c r="H45" s="156" t="s">
        <v>176</v>
      </c>
      <c r="I45" s="156">
        <v>1231</v>
      </c>
      <c r="J45" s="156">
        <v>478473</v>
      </c>
      <c r="K45" s="156"/>
      <c r="L45" s="156" t="s">
        <v>234</v>
      </c>
      <c r="M45" s="156" t="s">
        <v>57</v>
      </c>
      <c r="N45" s="156" t="s">
        <v>58</v>
      </c>
      <c r="O45" s="157">
        <v>46122</v>
      </c>
      <c r="P45" s="229">
        <v>298</v>
      </c>
      <c r="Q45" s="180" t="s">
        <v>59</v>
      </c>
      <c r="R45" s="180">
        <v>8.61</v>
      </c>
      <c r="S45" s="180">
        <v>3.84</v>
      </c>
      <c r="T45" s="180">
        <v>0.69</v>
      </c>
      <c r="U45" s="180">
        <v>288.7</v>
      </c>
      <c r="V45" s="230">
        <v>0</v>
      </c>
      <c r="W45" s="156"/>
      <c r="X45" s="156">
        <v>20260413</v>
      </c>
      <c r="Y45" s="156"/>
      <c r="Z45" s="156" t="s">
        <v>84</v>
      </c>
      <c r="AA45" s="156" t="s">
        <v>177</v>
      </c>
      <c r="AB45" s="156" t="s">
        <v>95</v>
      </c>
      <c r="AC45" s="156"/>
      <c r="AD45" s="156"/>
      <c r="AE45" s="158">
        <v>0.86555555555555552</v>
      </c>
      <c r="AF45" s="156" t="s">
        <v>178</v>
      </c>
      <c r="AG45" s="159" t="s">
        <v>137</v>
      </c>
      <c r="AH45" s="32"/>
      <c r="AL45" s="32"/>
    </row>
    <row r="46" spans="1:38" ht="15" x14ac:dyDescent="0.25">
      <c r="A46" s="155">
        <v>1045649</v>
      </c>
      <c r="B46" s="156" t="s">
        <v>60</v>
      </c>
      <c r="C46" s="156" t="s">
        <v>56</v>
      </c>
      <c r="D46" s="157">
        <v>46123</v>
      </c>
      <c r="E46" s="157">
        <v>46123</v>
      </c>
      <c r="F46" s="156"/>
      <c r="G46" s="156">
        <v>684</v>
      </c>
      <c r="H46" s="156" t="s">
        <v>176</v>
      </c>
      <c r="I46" s="156">
        <v>1239</v>
      </c>
      <c r="J46" s="156">
        <v>9477</v>
      </c>
      <c r="K46" s="156">
        <v>5</v>
      </c>
      <c r="L46" s="156" t="s">
        <v>235</v>
      </c>
      <c r="M46" s="156" t="s">
        <v>57</v>
      </c>
      <c r="N46" s="156" t="s">
        <v>58</v>
      </c>
      <c r="O46" s="157">
        <v>46123</v>
      </c>
      <c r="P46" s="229">
        <v>629</v>
      </c>
      <c r="Q46" s="180" t="s">
        <v>59</v>
      </c>
      <c r="R46" s="180">
        <v>18.18</v>
      </c>
      <c r="S46" s="180">
        <v>4.97</v>
      </c>
      <c r="T46" s="180">
        <v>0.89</v>
      </c>
      <c r="U46" s="180">
        <v>609.92999999999995</v>
      </c>
      <c r="V46" s="230">
        <v>0</v>
      </c>
      <c r="W46" s="156"/>
      <c r="X46" s="156">
        <v>20260413</v>
      </c>
      <c r="Y46" s="156"/>
      <c r="Z46" s="156" t="s">
        <v>85</v>
      </c>
      <c r="AA46" s="156" t="s">
        <v>177</v>
      </c>
      <c r="AB46" s="156" t="s">
        <v>95</v>
      </c>
      <c r="AC46" s="156" t="s">
        <v>89</v>
      </c>
      <c r="AD46" s="156"/>
      <c r="AE46" s="158">
        <v>0.45717592592592587</v>
      </c>
      <c r="AF46" s="156" t="s">
        <v>178</v>
      </c>
      <c r="AG46" s="159" t="s">
        <v>137</v>
      </c>
      <c r="AH46" s="32"/>
      <c r="AL46" s="32"/>
    </row>
    <row r="47" spans="1:38" ht="15" x14ac:dyDescent="0.25">
      <c r="A47" s="155">
        <v>1045649</v>
      </c>
      <c r="B47" s="156" t="s">
        <v>60</v>
      </c>
      <c r="C47" s="156" t="s">
        <v>56</v>
      </c>
      <c r="D47" s="157">
        <v>46123</v>
      </c>
      <c r="E47" s="157">
        <v>46123</v>
      </c>
      <c r="F47" s="156"/>
      <c r="G47" s="156">
        <v>684</v>
      </c>
      <c r="H47" s="156">
        <v>65656565</v>
      </c>
      <c r="I47" s="156">
        <v>1245</v>
      </c>
      <c r="J47" s="156">
        <v>481752</v>
      </c>
      <c r="K47" s="156"/>
      <c r="L47" s="156" t="s">
        <v>236</v>
      </c>
      <c r="M47" s="156" t="s">
        <v>57</v>
      </c>
      <c r="N47" s="156" t="s">
        <v>58</v>
      </c>
      <c r="O47" s="157">
        <v>46123</v>
      </c>
      <c r="P47" s="229">
        <v>139.9</v>
      </c>
      <c r="Q47" s="180" t="s">
        <v>59</v>
      </c>
      <c r="R47" s="180">
        <v>4.04</v>
      </c>
      <c r="S47" s="180">
        <v>1.8</v>
      </c>
      <c r="T47" s="180">
        <v>0.32</v>
      </c>
      <c r="U47" s="180">
        <v>135.54</v>
      </c>
      <c r="V47" s="230">
        <v>0</v>
      </c>
      <c r="W47" s="156"/>
      <c r="X47" s="156">
        <v>20260413</v>
      </c>
      <c r="Y47" s="156"/>
      <c r="Z47" s="156" t="s">
        <v>84</v>
      </c>
      <c r="AA47" s="156" t="s">
        <v>177</v>
      </c>
      <c r="AB47" s="156" t="s">
        <v>95</v>
      </c>
      <c r="AC47" s="156"/>
      <c r="AD47" s="156" t="s">
        <v>86</v>
      </c>
      <c r="AE47" s="158">
        <v>0.70956018518518515</v>
      </c>
      <c r="AF47" s="156" t="s">
        <v>178</v>
      </c>
      <c r="AG47" s="159" t="s">
        <v>137</v>
      </c>
      <c r="AH47" s="32"/>
      <c r="AL47" s="32"/>
    </row>
    <row r="48" spans="1:38" ht="15" x14ac:dyDescent="0.25">
      <c r="A48" s="155">
        <v>1045649</v>
      </c>
      <c r="B48" s="156" t="s">
        <v>60</v>
      </c>
      <c r="C48" s="156" t="s">
        <v>56</v>
      </c>
      <c r="D48" s="157">
        <v>46123</v>
      </c>
      <c r="E48" s="157">
        <v>46123</v>
      </c>
      <c r="F48" s="156"/>
      <c r="G48" s="156">
        <v>684</v>
      </c>
      <c r="H48" s="156" t="s">
        <v>176</v>
      </c>
      <c r="I48" s="156">
        <v>1251</v>
      </c>
      <c r="J48" s="156">
        <v>572329</v>
      </c>
      <c r="K48" s="156"/>
      <c r="L48" s="156" t="s">
        <v>237</v>
      </c>
      <c r="M48" s="156" t="s">
        <v>57</v>
      </c>
      <c r="N48" s="156" t="s">
        <v>58</v>
      </c>
      <c r="O48" s="157">
        <v>46123</v>
      </c>
      <c r="P48" s="229">
        <v>173</v>
      </c>
      <c r="Q48" s="180" t="s">
        <v>59</v>
      </c>
      <c r="R48" s="180">
        <v>5</v>
      </c>
      <c r="S48" s="180">
        <v>2.23</v>
      </c>
      <c r="T48" s="180">
        <v>0.4</v>
      </c>
      <c r="U48" s="180">
        <v>167.6</v>
      </c>
      <c r="V48" s="230">
        <v>0</v>
      </c>
      <c r="W48" s="156"/>
      <c r="X48" s="156">
        <v>20260413</v>
      </c>
      <c r="Y48" s="156"/>
      <c r="Z48" s="156" t="s">
        <v>84</v>
      </c>
      <c r="AA48" s="156" t="s">
        <v>177</v>
      </c>
      <c r="AB48" s="156" t="s">
        <v>95</v>
      </c>
      <c r="AC48" s="156"/>
      <c r="AD48" s="156"/>
      <c r="AE48" s="158">
        <v>0.78140046296296306</v>
      </c>
      <c r="AF48" s="156" t="s">
        <v>178</v>
      </c>
      <c r="AG48" s="159" t="s">
        <v>137</v>
      </c>
      <c r="AH48" s="32"/>
      <c r="AL48" s="32"/>
    </row>
    <row r="49" spans="1:38" ht="15" x14ac:dyDescent="0.25">
      <c r="A49" s="155">
        <v>1045649</v>
      </c>
      <c r="B49" s="156" t="s">
        <v>60</v>
      </c>
      <c r="C49" s="156" t="s">
        <v>56</v>
      </c>
      <c r="D49" s="157">
        <v>46123</v>
      </c>
      <c r="E49" s="157">
        <v>46123</v>
      </c>
      <c r="F49" s="156"/>
      <c r="G49" s="156">
        <v>684</v>
      </c>
      <c r="H49" s="156" t="s">
        <v>176</v>
      </c>
      <c r="I49" s="156">
        <v>1254</v>
      </c>
      <c r="J49" s="156">
        <v>184828</v>
      </c>
      <c r="K49" s="156"/>
      <c r="L49" s="156" t="s">
        <v>238</v>
      </c>
      <c r="M49" s="156" t="s">
        <v>57</v>
      </c>
      <c r="N49" s="156" t="s">
        <v>58</v>
      </c>
      <c r="O49" s="157">
        <v>46123</v>
      </c>
      <c r="P49" s="229">
        <v>976</v>
      </c>
      <c r="Q49" s="180" t="s">
        <v>59</v>
      </c>
      <c r="R49" s="180">
        <v>28.21</v>
      </c>
      <c r="S49" s="180">
        <v>7.71</v>
      </c>
      <c r="T49" s="180">
        <v>1.39</v>
      </c>
      <c r="U49" s="180">
        <v>946.4</v>
      </c>
      <c r="V49" s="230">
        <v>0</v>
      </c>
      <c r="W49" s="156"/>
      <c r="X49" s="156">
        <v>20260413</v>
      </c>
      <c r="Y49" s="156"/>
      <c r="Z49" s="156" t="s">
        <v>84</v>
      </c>
      <c r="AA49" s="156" t="s">
        <v>177</v>
      </c>
      <c r="AB49" s="156" t="s">
        <v>133</v>
      </c>
      <c r="AC49" s="156"/>
      <c r="AD49" s="156"/>
      <c r="AE49" s="158">
        <v>0.78293981481481489</v>
      </c>
      <c r="AF49" s="156" t="s">
        <v>178</v>
      </c>
      <c r="AG49" s="159" t="s">
        <v>137</v>
      </c>
      <c r="AH49" s="32"/>
      <c r="AL49" s="32"/>
    </row>
    <row r="50" spans="1:38" ht="15" x14ac:dyDescent="0.25">
      <c r="A50" s="155">
        <v>1045649</v>
      </c>
      <c r="B50" s="156" t="s">
        <v>60</v>
      </c>
      <c r="C50" s="156" t="s">
        <v>56</v>
      </c>
      <c r="D50" s="157">
        <v>46123</v>
      </c>
      <c r="E50" s="157">
        <v>46123</v>
      </c>
      <c r="F50" s="156"/>
      <c r="G50" s="156">
        <v>684</v>
      </c>
      <c r="H50" s="156" t="s">
        <v>176</v>
      </c>
      <c r="I50" s="156">
        <v>1256</v>
      </c>
      <c r="J50" s="156">
        <v>62468</v>
      </c>
      <c r="K50" s="156"/>
      <c r="L50" s="156" t="s">
        <v>239</v>
      </c>
      <c r="M50" s="156" t="s">
        <v>57</v>
      </c>
      <c r="N50" s="156" t="s">
        <v>58</v>
      </c>
      <c r="O50" s="157">
        <v>46123</v>
      </c>
      <c r="P50" s="229">
        <v>1399</v>
      </c>
      <c r="Q50" s="180" t="s">
        <v>59</v>
      </c>
      <c r="R50" s="180">
        <v>40.43</v>
      </c>
      <c r="S50" s="180">
        <v>18.05</v>
      </c>
      <c r="T50" s="180">
        <v>3.25</v>
      </c>
      <c r="U50" s="180">
        <v>1355.32</v>
      </c>
      <c r="V50" s="231">
        <v>5671.28</v>
      </c>
      <c r="W50" s="157">
        <v>46125</v>
      </c>
      <c r="X50" s="156">
        <v>20260413</v>
      </c>
      <c r="Y50" s="156"/>
      <c r="Z50" s="156" t="s">
        <v>84</v>
      </c>
      <c r="AA50" s="156" t="s">
        <v>177</v>
      </c>
      <c r="AB50" s="156" t="s">
        <v>95</v>
      </c>
      <c r="AC50" s="156"/>
      <c r="AD50" s="156"/>
      <c r="AE50" s="158">
        <v>0.79873842592592592</v>
      </c>
      <c r="AF50" s="156" t="s">
        <v>178</v>
      </c>
      <c r="AG50" s="159" t="s">
        <v>137</v>
      </c>
      <c r="AH50" s="32"/>
      <c r="AL50" s="32"/>
    </row>
    <row r="51" spans="1:38" ht="15" x14ac:dyDescent="0.25">
      <c r="A51" s="155">
        <v>1045649</v>
      </c>
      <c r="B51" s="156" t="s">
        <v>60</v>
      </c>
      <c r="C51" s="156" t="s">
        <v>56</v>
      </c>
      <c r="D51" s="157">
        <v>46124</v>
      </c>
      <c r="E51" s="157">
        <v>46124</v>
      </c>
      <c r="F51" s="156"/>
      <c r="G51" s="156">
        <v>685</v>
      </c>
      <c r="H51" s="156" t="s">
        <v>176</v>
      </c>
      <c r="I51" s="156">
        <v>1266</v>
      </c>
      <c r="J51" s="156">
        <v>794518</v>
      </c>
      <c r="K51" s="156"/>
      <c r="L51" s="156" t="s">
        <v>240</v>
      </c>
      <c r="M51" s="156" t="s">
        <v>57</v>
      </c>
      <c r="N51" s="156" t="s">
        <v>58</v>
      </c>
      <c r="O51" s="157">
        <v>46124</v>
      </c>
      <c r="P51" s="229">
        <v>1799</v>
      </c>
      <c r="Q51" s="180" t="s">
        <v>59</v>
      </c>
      <c r="R51" s="180">
        <v>51.99</v>
      </c>
      <c r="S51" s="180">
        <v>23.21</v>
      </c>
      <c r="T51" s="180">
        <v>4.18</v>
      </c>
      <c r="U51" s="180">
        <v>1742.83</v>
      </c>
      <c r="V51" s="230">
        <v>0</v>
      </c>
      <c r="W51" s="156"/>
      <c r="X51" s="156">
        <v>20260413</v>
      </c>
      <c r="Y51" s="156"/>
      <c r="Z51" s="156" t="s">
        <v>84</v>
      </c>
      <c r="AA51" s="156" t="s">
        <v>177</v>
      </c>
      <c r="AB51" s="156" t="s">
        <v>134</v>
      </c>
      <c r="AC51" s="156"/>
      <c r="AD51" s="156"/>
      <c r="AE51" s="158">
        <v>0.47483796296296293</v>
      </c>
      <c r="AF51" s="156" t="s">
        <v>178</v>
      </c>
      <c r="AG51" s="159" t="s">
        <v>137</v>
      </c>
      <c r="AH51" s="32"/>
      <c r="AL51" s="32"/>
    </row>
    <row r="52" spans="1:38" ht="15" x14ac:dyDescent="0.25">
      <c r="A52" s="155">
        <v>1045649</v>
      </c>
      <c r="B52" s="156" t="s">
        <v>60</v>
      </c>
      <c r="C52" s="156" t="s">
        <v>56</v>
      </c>
      <c r="D52" s="157">
        <v>46124</v>
      </c>
      <c r="E52" s="157">
        <v>46124</v>
      </c>
      <c r="F52" s="156"/>
      <c r="G52" s="156">
        <v>685</v>
      </c>
      <c r="H52" s="156" t="s">
        <v>176</v>
      </c>
      <c r="I52" s="156">
        <v>1268</v>
      </c>
      <c r="J52" s="156">
        <v>819301</v>
      </c>
      <c r="K52" s="156"/>
      <c r="L52" s="156" t="s">
        <v>241</v>
      </c>
      <c r="M52" s="156" t="s">
        <v>57</v>
      </c>
      <c r="N52" s="156" t="s">
        <v>58</v>
      </c>
      <c r="O52" s="157">
        <v>46124</v>
      </c>
      <c r="P52" s="229">
        <v>1799</v>
      </c>
      <c r="Q52" s="180" t="s">
        <v>59</v>
      </c>
      <c r="R52" s="180">
        <v>51.99</v>
      </c>
      <c r="S52" s="180">
        <v>23.21</v>
      </c>
      <c r="T52" s="180">
        <v>4.18</v>
      </c>
      <c r="U52" s="180">
        <v>1742.83</v>
      </c>
      <c r="V52" s="230">
        <v>0</v>
      </c>
      <c r="W52" s="156"/>
      <c r="X52" s="156">
        <v>20260413</v>
      </c>
      <c r="Y52" s="156"/>
      <c r="Z52" s="156" t="s">
        <v>84</v>
      </c>
      <c r="AA52" s="156" t="s">
        <v>177</v>
      </c>
      <c r="AB52" s="156" t="s">
        <v>134</v>
      </c>
      <c r="AC52" s="156"/>
      <c r="AD52" s="156"/>
      <c r="AE52" s="158">
        <v>0.48023148148148148</v>
      </c>
      <c r="AF52" s="156" t="s">
        <v>178</v>
      </c>
      <c r="AG52" s="159" t="s">
        <v>137</v>
      </c>
      <c r="AH52" s="32"/>
    </row>
    <row r="53" spans="1:38" ht="15" x14ac:dyDescent="0.25">
      <c r="A53" s="155">
        <v>1045649</v>
      </c>
      <c r="B53" s="156" t="s">
        <v>60</v>
      </c>
      <c r="C53" s="156" t="s">
        <v>56</v>
      </c>
      <c r="D53" s="157">
        <v>46124</v>
      </c>
      <c r="E53" s="157">
        <v>46124</v>
      </c>
      <c r="F53" s="156"/>
      <c r="G53" s="156">
        <v>685</v>
      </c>
      <c r="H53" s="156" t="s">
        <v>176</v>
      </c>
      <c r="I53" s="156">
        <v>1270</v>
      </c>
      <c r="J53" s="156">
        <v>986614</v>
      </c>
      <c r="K53" s="156"/>
      <c r="L53" s="156" t="s">
        <v>242</v>
      </c>
      <c r="M53" s="156" t="s">
        <v>57</v>
      </c>
      <c r="N53" s="156" t="s">
        <v>58</v>
      </c>
      <c r="O53" s="157">
        <v>46124</v>
      </c>
      <c r="P53" s="229">
        <v>1008</v>
      </c>
      <c r="Q53" s="180" t="s">
        <v>59</v>
      </c>
      <c r="R53" s="180">
        <v>29.13</v>
      </c>
      <c r="S53" s="180">
        <v>5.95</v>
      </c>
      <c r="T53" s="180">
        <v>1.07</v>
      </c>
      <c r="U53" s="180">
        <v>977.8</v>
      </c>
      <c r="V53" s="230">
        <v>0</v>
      </c>
      <c r="W53" s="156"/>
      <c r="X53" s="156">
        <v>20260413</v>
      </c>
      <c r="Y53" s="156"/>
      <c r="Z53" s="156" t="s">
        <v>85</v>
      </c>
      <c r="AA53" s="156" t="s">
        <v>177</v>
      </c>
      <c r="AB53" s="156" t="s">
        <v>138</v>
      </c>
      <c r="AC53" s="156"/>
      <c r="AD53" s="156"/>
      <c r="AE53" s="158">
        <v>0.51530092592592591</v>
      </c>
      <c r="AF53" s="156" t="s">
        <v>178</v>
      </c>
      <c r="AG53" s="159" t="s">
        <v>137</v>
      </c>
      <c r="AH53" s="32"/>
    </row>
    <row r="54" spans="1:38" ht="15" x14ac:dyDescent="0.25">
      <c r="A54" s="155">
        <v>1045649</v>
      </c>
      <c r="B54" s="156" t="s">
        <v>60</v>
      </c>
      <c r="C54" s="156" t="s">
        <v>56</v>
      </c>
      <c r="D54" s="157">
        <v>46124</v>
      </c>
      <c r="E54" s="157">
        <v>46124</v>
      </c>
      <c r="F54" s="156"/>
      <c r="G54" s="156">
        <v>685</v>
      </c>
      <c r="H54" s="156" t="s">
        <v>176</v>
      </c>
      <c r="I54" s="156">
        <v>1272</v>
      </c>
      <c r="J54" s="156">
        <v>6266</v>
      </c>
      <c r="K54" s="156">
        <v>10</v>
      </c>
      <c r="L54" s="156" t="s">
        <v>243</v>
      </c>
      <c r="M54" s="156" t="s">
        <v>57</v>
      </c>
      <c r="N54" s="156" t="s">
        <v>58</v>
      </c>
      <c r="O54" s="157">
        <v>46124</v>
      </c>
      <c r="P54" s="229">
        <v>1248</v>
      </c>
      <c r="Q54" s="180" t="s">
        <v>59</v>
      </c>
      <c r="R54" s="180">
        <v>36.07</v>
      </c>
      <c r="S54" s="180">
        <v>7.37</v>
      </c>
      <c r="T54" s="180">
        <v>1.33</v>
      </c>
      <c r="U54" s="180">
        <v>1210.5999999999999</v>
      </c>
      <c r="V54" s="230">
        <v>0</v>
      </c>
      <c r="W54" s="156"/>
      <c r="X54" s="156">
        <v>20260413</v>
      </c>
      <c r="Y54" s="156"/>
      <c r="Z54" s="156" t="s">
        <v>85</v>
      </c>
      <c r="AA54" s="156" t="s">
        <v>177</v>
      </c>
      <c r="AB54" s="156" t="s">
        <v>135</v>
      </c>
      <c r="AC54" s="156" t="s">
        <v>89</v>
      </c>
      <c r="AD54" s="156"/>
      <c r="AE54" s="158">
        <v>0.68888888888888899</v>
      </c>
      <c r="AF54" s="156" t="s">
        <v>178</v>
      </c>
      <c r="AG54" s="159" t="s">
        <v>137</v>
      </c>
      <c r="AH54" s="32"/>
    </row>
    <row r="55" spans="1:38" ht="15" x14ac:dyDescent="0.25">
      <c r="A55" s="155">
        <v>1045649</v>
      </c>
      <c r="B55" s="156" t="s">
        <v>60</v>
      </c>
      <c r="C55" s="156" t="s">
        <v>56</v>
      </c>
      <c r="D55" s="157">
        <v>46124</v>
      </c>
      <c r="E55" s="157">
        <v>46124</v>
      </c>
      <c r="F55" s="156"/>
      <c r="G55" s="156">
        <v>685</v>
      </c>
      <c r="H55" s="156" t="s">
        <v>176</v>
      </c>
      <c r="I55" s="156">
        <v>1274</v>
      </c>
      <c r="J55" s="156">
        <v>934393</v>
      </c>
      <c r="K55" s="156"/>
      <c r="L55" s="156" t="s">
        <v>244</v>
      </c>
      <c r="M55" s="156" t="s">
        <v>57</v>
      </c>
      <c r="N55" s="156" t="s">
        <v>58</v>
      </c>
      <c r="O55" s="157">
        <v>46124</v>
      </c>
      <c r="P55" s="229">
        <v>499</v>
      </c>
      <c r="Q55" s="180" t="s">
        <v>59</v>
      </c>
      <c r="R55" s="180">
        <v>14.42</v>
      </c>
      <c r="S55" s="180">
        <v>6.44</v>
      </c>
      <c r="T55" s="180">
        <v>1.1599999999999999</v>
      </c>
      <c r="U55" s="180">
        <v>483.42</v>
      </c>
      <c r="V55" s="231">
        <v>6157.48</v>
      </c>
      <c r="W55" s="157">
        <v>46125</v>
      </c>
      <c r="X55" s="156">
        <v>20260413</v>
      </c>
      <c r="Y55" s="156"/>
      <c r="Z55" s="156" t="s">
        <v>84</v>
      </c>
      <c r="AA55" s="156" t="s">
        <v>177</v>
      </c>
      <c r="AB55" s="156" t="s">
        <v>95</v>
      </c>
      <c r="AC55" s="156"/>
      <c r="AD55" s="156"/>
      <c r="AE55" s="158">
        <v>0.71239583333333334</v>
      </c>
      <c r="AF55" s="156" t="s">
        <v>178</v>
      </c>
      <c r="AG55" s="159" t="s">
        <v>137</v>
      </c>
      <c r="AH55" s="32"/>
    </row>
    <row r="56" spans="1:38" ht="15" x14ac:dyDescent="0.25">
      <c r="A56" s="155">
        <v>1045649</v>
      </c>
      <c r="B56" s="156" t="s">
        <v>60</v>
      </c>
      <c r="C56" s="156" t="s">
        <v>56</v>
      </c>
      <c r="D56" s="157">
        <v>46125</v>
      </c>
      <c r="E56" s="157">
        <v>46125</v>
      </c>
      <c r="F56" s="156"/>
      <c r="G56" s="156">
        <v>686</v>
      </c>
      <c r="H56" s="156" t="s">
        <v>176</v>
      </c>
      <c r="I56" s="156">
        <v>1279</v>
      </c>
      <c r="J56" s="156">
        <v>162385</v>
      </c>
      <c r="K56" s="156"/>
      <c r="L56" s="156" t="s">
        <v>245</v>
      </c>
      <c r="M56" s="156" t="s">
        <v>57</v>
      </c>
      <c r="N56" s="156" t="s">
        <v>58</v>
      </c>
      <c r="O56" s="157">
        <v>46125</v>
      </c>
      <c r="P56" s="229">
        <v>1799</v>
      </c>
      <c r="Q56" s="180" t="s">
        <v>59</v>
      </c>
      <c r="R56" s="180">
        <v>51.99</v>
      </c>
      <c r="S56" s="180">
        <v>14.21</v>
      </c>
      <c r="T56" s="180">
        <v>2.56</v>
      </c>
      <c r="U56" s="180">
        <v>1744.45</v>
      </c>
      <c r="V56" s="230">
        <v>0</v>
      </c>
      <c r="W56" s="156"/>
      <c r="X56" s="156">
        <v>20260414</v>
      </c>
      <c r="Y56" s="156"/>
      <c r="Z56" s="156" t="s">
        <v>85</v>
      </c>
      <c r="AA56" s="156" t="s">
        <v>177</v>
      </c>
      <c r="AB56" s="156" t="s">
        <v>135</v>
      </c>
      <c r="AC56" s="156"/>
      <c r="AD56" s="156"/>
      <c r="AE56" s="158">
        <v>0.4306828703703704</v>
      </c>
      <c r="AF56" s="156" t="s">
        <v>178</v>
      </c>
      <c r="AG56" s="159" t="s">
        <v>137</v>
      </c>
      <c r="AH56" s="32"/>
    </row>
    <row r="57" spans="1:38" ht="15" x14ac:dyDescent="0.25">
      <c r="A57" s="155">
        <v>1045649</v>
      </c>
      <c r="B57" s="156" t="s">
        <v>60</v>
      </c>
      <c r="C57" s="156" t="s">
        <v>56</v>
      </c>
      <c r="D57" s="157">
        <v>46125</v>
      </c>
      <c r="E57" s="157">
        <v>46125</v>
      </c>
      <c r="F57" s="156"/>
      <c r="G57" s="156">
        <v>686</v>
      </c>
      <c r="H57" s="156" t="s">
        <v>176</v>
      </c>
      <c r="I57" s="156">
        <v>1281</v>
      </c>
      <c r="J57" s="156">
        <v>756256</v>
      </c>
      <c r="K57" s="156"/>
      <c r="L57" s="156" t="s">
        <v>246</v>
      </c>
      <c r="M57" s="156" t="s">
        <v>57</v>
      </c>
      <c r="N57" s="156" t="s">
        <v>58</v>
      </c>
      <c r="O57" s="157">
        <v>46125</v>
      </c>
      <c r="P57" s="229">
        <v>1999</v>
      </c>
      <c r="Q57" s="180" t="s">
        <v>59</v>
      </c>
      <c r="R57" s="180">
        <v>57.77</v>
      </c>
      <c r="S57" s="180">
        <v>25.79</v>
      </c>
      <c r="T57" s="180">
        <v>4.6399999999999997</v>
      </c>
      <c r="U57" s="180">
        <v>1936.59</v>
      </c>
      <c r="V57" s="230">
        <v>0</v>
      </c>
      <c r="W57" s="156"/>
      <c r="X57" s="156">
        <v>20260414</v>
      </c>
      <c r="Y57" s="156"/>
      <c r="Z57" s="156" t="s">
        <v>84</v>
      </c>
      <c r="AA57" s="156" t="s">
        <v>177</v>
      </c>
      <c r="AB57" s="156" t="s">
        <v>95</v>
      </c>
      <c r="AC57" s="156"/>
      <c r="AD57" s="156"/>
      <c r="AE57" s="158">
        <v>0.44438657407407406</v>
      </c>
      <c r="AF57" s="156" t="s">
        <v>178</v>
      </c>
      <c r="AG57" s="159" t="s">
        <v>137</v>
      </c>
      <c r="AH57" s="32"/>
    </row>
    <row r="58" spans="1:38" ht="15" x14ac:dyDescent="0.25">
      <c r="A58" s="155">
        <v>1045649</v>
      </c>
      <c r="B58" s="156" t="s">
        <v>60</v>
      </c>
      <c r="C58" s="156" t="s">
        <v>56</v>
      </c>
      <c r="D58" s="157">
        <v>46125</v>
      </c>
      <c r="E58" s="157">
        <v>46125</v>
      </c>
      <c r="F58" s="156"/>
      <c r="G58" s="156">
        <v>686</v>
      </c>
      <c r="H58" s="156" t="s">
        <v>176</v>
      </c>
      <c r="I58" s="156">
        <v>1284</v>
      </c>
      <c r="J58" s="156">
        <v>700229</v>
      </c>
      <c r="K58" s="156"/>
      <c r="L58" s="156" t="s">
        <v>247</v>
      </c>
      <c r="M58" s="156" t="s">
        <v>57</v>
      </c>
      <c r="N58" s="156" t="s">
        <v>58</v>
      </c>
      <c r="O58" s="157">
        <v>46125</v>
      </c>
      <c r="P58" s="229">
        <v>688</v>
      </c>
      <c r="Q58" s="180" t="s">
        <v>59</v>
      </c>
      <c r="R58" s="180">
        <v>19.88</v>
      </c>
      <c r="S58" s="180">
        <v>5.43</v>
      </c>
      <c r="T58" s="180">
        <v>0.98</v>
      </c>
      <c r="U58" s="180">
        <v>667.14</v>
      </c>
      <c r="V58" s="230">
        <v>0</v>
      </c>
      <c r="W58" s="156"/>
      <c r="X58" s="156">
        <v>20260414</v>
      </c>
      <c r="Y58" s="156"/>
      <c r="Z58" s="156" t="s">
        <v>84</v>
      </c>
      <c r="AA58" s="156" t="s">
        <v>177</v>
      </c>
      <c r="AB58" s="156" t="s">
        <v>134</v>
      </c>
      <c r="AC58" s="156"/>
      <c r="AD58" s="156"/>
      <c r="AE58" s="158">
        <v>0.7174652777777778</v>
      </c>
      <c r="AF58" s="156" t="s">
        <v>178</v>
      </c>
      <c r="AG58" s="159" t="s">
        <v>137</v>
      </c>
      <c r="AH58" s="32"/>
    </row>
    <row r="59" spans="1:38" ht="15" x14ac:dyDescent="0.25">
      <c r="A59" s="155">
        <v>1045649</v>
      </c>
      <c r="B59" s="156" t="s">
        <v>60</v>
      </c>
      <c r="C59" s="156" t="s">
        <v>56</v>
      </c>
      <c r="D59" s="157">
        <v>46125</v>
      </c>
      <c r="E59" s="157">
        <v>46125</v>
      </c>
      <c r="F59" s="156"/>
      <c r="G59" s="156">
        <v>686</v>
      </c>
      <c r="H59" s="156" t="s">
        <v>176</v>
      </c>
      <c r="I59" s="156">
        <v>1288</v>
      </c>
      <c r="J59" s="156">
        <v>276635</v>
      </c>
      <c r="K59" s="156"/>
      <c r="L59" s="156" t="s">
        <v>248</v>
      </c>
      <c r="M59" s="156" t="s">
        <v>57</v>
      </c>
      <c r="N59" s="156" t="s">
        <v>58</v>
      </c>
      <c r="O59" s="157">
        <v>46125</v>
      </c>
      <c r="P59" s="229">
        <v>1000</v>
      </c>
      <c r="Q59" s="180" t="s">
        <v>59</v>
      </c>
      <c r="R59" s="180">
        <v>28.9</v>
      </c>
      <c r="S59" s="180">
        <v>12.9</v>
      </c>
      <c r="T59" s="180">
        <v>2.3199999999999998</v>
      </c>
      <c r="U59" s="180">
        <v>968.78</v>
      </c>
      <c r="V59" s="230">
        <v>0</v>
      </c>
      <c r="W59" s="156"/>
      <c r="X59" s="156">
        <v>20260414</v>
      </c>
      <c r="Y59" s="156"/>
      <c r="Z59" s="156" t="s">
        <v>84</v>
      </c>
      <c r="AA59" s="156" t="s">
        <v>177</v>
      </c>
      <c r="AB59" s="156" t="s">
        <v>134</v>
      </c>
      <c r="AC59" s="156"/>
      <c r="AD59" s="156"/>
      <c r="AE59" s="158">
        <v>0.82281249999999995</v>
      </c>
      <c r="AF59" s="156" t="s">
        <v>178</v>
      </c>
      <c r="AG59" s="159" t="s">
        <v>137</v>
      </c>
      <c r="AH59" s="32"/>
    </row>
    <row r="60" spans="1:38" ht="15" x14ac:dyDescent="0.25">
      <c r="A60" s="155">
        <v>1045649</v>
      </c>
      <c r="B60" s="156" t="s">
        <v>60</v>
      </c>
      <c r="C60" s="156" t="s">
        <v>56</v>
      </c>
      <c r="D60" s="157">
        <v>46125</v>
      </c>
      <c r="E60" s="157">
        <v>46125</v>
      </c>
      <c r="F60" s="156"/>
      <c r="G60" s="156">
        <v>686</v>
      </c>
      <c r="H60" s="156" t="s">
        <v>176</v>
      </c>
      <c r="I60" s="156">
        <v>1290</v>
      </c>
      <c r="J60" s="156">
        <v>194622</v>
      </c>
      <c r="K60" s="156"/>
      <c r="L60" s="156" t="s">
        <v>187</v>
      </c>
      <c r="M60" s="156" t="s">
        <v>57</v>
      </c>
      <c r="N60" s="156" t="s">
        <v>58</v>
      </c>
      <c r="O60" s="157">
        <v>46125</v>
      </c>
      <c r="P60" s="229">
        <v>799</v>
      </c>
      <c r="Q60" s="180" t="s">
        <v>59</v>
      </c>
      <c r="R60" s="180">
        <v>23.09</v>
      </c>
      <c r="S60" s="180">
        <v>6.31</v>
      </c>
      <c r="T60" s="180">
        <v>1.1399999999999999</v>
      </c>
      <c r="U60" s="180">
        <v>774.77</v>
      </c>
      <c r="V60" s="230">
        <v>0</v>
      </c>
      <c r="W60" s="156"/>
      <c r="X60" s="156">
        <v>20260414</v>
      </c>
      <c r="Y60" s="156"/>
      <c r="Z60" s="156" t="s">
        <v>84</v>
      </c>
      <c r="AA60" s="156" t="s">
        <v>177</v>
      </c>
      <c r="AB60" s="156" t="s">
        <v>133</v>
      </c>
      <c r="AC60" s="156"/>
      <c r="AD60" s="156"/>
      <c r="AE60" s="158">
        <v>0.82314814814814818</v>
      </c>
      <c r="AF60" s="156" t="s">
        <v>178</v>
      </c>
      <c r="AG60" s="159" t="s">
        <v>137</v>
      </c>
      <c r="AH60" s="32"/>
    </row>
    <row r="61" spans="1:38" ht="15" x14ac:dyDescent="0.25">
      <c r="A61" s="155">
        <v>1045649</v>
      </c>
      <c r="B61" s="156" t="s">
        <v>60</v>
      </c>
      <c r="C61" s="156" t="s">
        <v>56</v>
      </c>
      <c r="D61" s="157">
        <v>46125</v>
      </c>
      <c r="E61" s="157">
        <v>46125</v>
      </c>
      <c r="F61" s="156"/>
      <c r="G61" s="156">
        <v>686</v>
      </c>
      <c r="H61" s="156" t="s">
        <v>176</v>
      </c>
      <c r="I61" s="156">
        <v>1292</v>
      </c>
      <c r="J61" s="156">
        <v>280803</v>
      </c>
      <c r="K61" s="156"/>
      <c r="L61" s="156" t="s">
        <v>248</v>
      </c>
      <c r="M61" s="156" t="s">
        <v>57</v>
      </c>
      <c r="N61" s="156" t="s">
        <v>58</v>
      </c>
      <c r="O61" s="157">
        <v>46125</v>
      </c>
      <c r="P61" s="229">
        <v>89</v>
      </c>
      <c r="Q61" s="180" t="s">
        <v>59</v>
      </c>
      <c r="R61" s="180">
        <v>2.57</v>
      </c>
      <c r="S61" s="180">
        <v>1.1499999999999999</v>
      </c>
      <c r="T61" s="180">
        <v>0.21</v>
      </c>
      <c r="U61" s="180">
        <v>86.22</v>
      </c>
      <c r="V61" s="231">
        <v>6177.95</v>
      </c>
      <c r="W61" s="157">
        <v>46126</v>
      </c>
      <c r="X61" s="156">
        <v>20260414</v>
      </c>
      <c r="Y61" s="156"/>
      <c r="Z61" s="156" t="s">
        <v>84</v>
      </c>
      <c r="AA61" s="156" t="s">
        <v>177</v>
      </c>
      <c r="AB61" s="156" t="s">
        <v>134</v>
      </c>
      <c r="AC61" s="156"/>
      <c r="AD61" s="156"/>
      <c r="AE61" s="158">
        <v>0.82358796296296299</v>
      </c>
      <c r="AF61" s="156" t="s">
        <v>178</v>
      </c>
      <c r="AG61" s="159" t="s">
        <v>137</v>
      </c>
      <c r="AH61" s="32"/>
    </row>
    <row r="62" spans="1:38" ht="15" x14ac:dyDescent="0.25">
      <c r="A62" s="155">
        <v>1045649</v>
      </c>
      <c r="B62" s="156" t="s">
        <v>60</v>
      </c>
      <c r="C62" s="156" t="s">
        <v>56</v>
      </c>
      <c r="D62" s="157">
        <v>46126</v>
      </c>
      <c r="E62" s="157">
        <v>46126</v>
      </c>
      <c r="F62" s="156"/>
      <c r="G62" s="156">
        <v>687</v>
      </c>
      <c r="H62" s="156" t="s">
        <v>176</v>
      </c>
      <c r="I62" s="156">
        <v>1298</v>
      </c>
      <c r="J62" s="156">
        <v>645709</v>
      </c>
      <c r="K62" s="156">
        <v>2</v>
      </c>
      <c r="L62" s="156" t="s">
        <v>249</v>
      </c>
      <c r="M62" s="156" t="s">
        <v>57</v>
      </c>
      <c r="N62" s="156" t="s">
        <v>58</v>
      </c>
      <c r="O62" s="157">
        <v>46126</v>
      </c>
      <c r="P62" s="229">
        <v>299</v>
      </c>
      <c r="Q62" s="180" t="s">
        <v>59</v>
      </c>
      <c r="R62" s="180">
        <v>13.87</v>
      </c>
      <c r="S62" s="180">
        <v>1.1599999999999999</v>
      </c>
      <c r="T62" s="180">
        <v>0.21</v>
      </c>
      <c r="U62" s="180">
        <v>284.92</v>
      </c>
      <c r="V62" s="230">
        <v>0</v>
      </c>
      <c r="W62" s="156"/>
      <c r="X62" s="156">
        <v>20260415</v>
      </c>
      <c r="Y62" s="156"/>
      <c r="Z62" s="156" t="s">
        <v>85</v>
      </c>
      <c r="AA62" s="156" t="s">
        <v>177</v>
      </c>
      <c r="AB62" s="156" t="s">
        <v>134</v>
      </c>
      <c r="AC62" s="156" t="s">
        <v>87</v>
      </c>
      <c r="AD62" s="156"/>
      <c r="AE62" s="158">
        <v>0.48192129629629626</v>
      </c>
      <c r="AF62" s="156" t="s">
        <v>178</v>
      </c>
      <c r="AG62" s="159" t="s">
        <v>137</v>
      </c>
      <c r="AH62" s="32"/>
    </row>
    <row r="63" spans="1:38" ht="15" x14ac:dyDescent="0.25">
      <c r="A63" s="155">
        <v>1045649</v>
      </c>
      <c r="B63" s="156" t="s">
        <v>60</v>
      </c>
      <c r="C63" s="156" t="s">
        <v>56</v>
      </c>
      <c r="D63" s="157">
        <v>46126</v>
      </c>
      <c r="E63" s="157">
        <v>46126</v>
      </c>
      <c r="F63" s="156"/>
      <c r="G63" s="156">
        <v>687</v>
      </c>
      <c r="H63" s="156" t="s">
        <v>176</v>
      </c>
      <c r="I63" s="156">
        <v>1300</v>
      </c>
      <c r="J63" s="156">
        <v>423197</v>
      </c>
      <c r="K63" s="156"/>
      <c r="L63" s="156" t="s">
        <v>250</v>
      </c>
      <c r="M63" s="156" t="s">
        <v>57</v>
      </c>
      <c r="N63" s="156" t="s">
        <v>58</v>
      </c>
      <c r="O63" s="157">
        <v>46126</v>
      </c>
      <c r="P63" s="229">
        <v>1699</v>
      </c>
      <c r="Q63" s="180" t="s">
        <v>59</v>
      </c>
      <c r="R63" s="180">
        <v>49.1</v>
      </c>
      <c r="S63" s="180">
        <v>21.92</v>
      </c>
      <c r="T63" s="180">
        <v>3.95</v>
      </c>
      <c r="U63" s="180">
        <v>1645.95</v>
      </c>
      <c r="V63" s="230">
        <v>0</v>
      </c>
      <c r="W63" s="156"/>
      <c r="X63" s="156">
        <v>20260415</v>
      </c>
      <c r="Y63" s="156"/>
      <c r="Z63" s="156" t="s">
        <v>84</v>
      </c>
      <c r="AA63" s="156" t="s">
        <v>177</v>
      </c>
      <c r="AB63" s="156" t="s">
        <v>95</v>
      </c>
      <c r="AC63" s="156"/>
      <c r="AD63" s="156"/>
      <c r="AE63" s="158">
        <v>0.50071759259259252</v>
      </c>
      <c r="AF63" s="156" t="s">
        <v>178</v>
      </c>
      <c r="AG63" s="159" t="s">
        <v>137</v>
      </c>
      <c r="AH63" s="32"/>
    </row>
    <row r="64" spans="1:38" ht="15" x14ac:dyDescent="0.25">
      <c r="A64" s="155">
        <v>1045649</v>
      </c>
      <c r="B64" s="156" t="s">
        <v>60</v>
      </c>
      <c r="C64" s="156" t="s">
        <v>56</v>
      </c>
      <c r="D64" s="157">
        <v>46126</v>
      </c>
      <c r="E64" s="157">
        <v>46126</v>
      </c>
      <c r="F64" s="156"/>
      <c r="G64" s="156">
        <v>687</v>
      </c>
      <c r="H64" s="156">
        <v>65656565</v>
      </c>
      <c r="I64" s="156">
        <v>1302</v>
      </c>
      <c r="J64" s="156">
        <v>554387</v>
      </c>
      <c r="K64" s="156"/>
      <c r="L64" s="156" t="s">
        <v>251</v>
      </c>
      <c r="M64" s="156" t="s">
        <v>57</v>
      </c>
      <c r="N64" s="156" t="s">
        <v>58</v>
      </c>
      <c r="O64" s="157">
        <v>46126</v>
      </c>
      <c r="P64" s="229">
        <v>89</v>
      </c>
      <c r="Q64" s="180" t="s">
        <v>59</v>
      </c>
      <c r="R64" s="180">
        <v>2.57</v>
      </c>
      <c r="S64" s="180">
        <v>1.1499999999999999</v>
      </c>
      <c r="T64" s="180">
        <v>0.21</v>
      </c>
      <c r="U64" s="180">
        <v>86.22</v>
      </c>
      <c r="V64" s="230">
        <v>0</v>
      </c>
      <c r="W64" s="156"/>
      <c r="X64" s="156">
        <v>20260415</v>
      </c>
      <c r="Y64" s="156"/>
      <c r="Z64" s="156" t="s">
        <v>84</v>
      </c>
      <c r="AA64" s="156" t="s">
        <v>177</v>
      </c>
      <c r="AB64" s="156" t="s">
        <v>95</v>
      </c>
      <c r="AC64" s="156"/>
      <c r="AD64" s="156" t="s">
        <v>86</v>
      </c>
      <c r="AE64" s="158">
        <v>0.5527199074074074</v>
      </c>
      <c r="AF64" s="156" t="s">
        <v>178</v>
      </c>
      <c r="AG64" s="159" t="s">
        <v>137</v>
      </c>
      <c r="AH64" s="32"/>
    </row>
    <row r="65" spans="1:34" ht="15" x14ac:dyDescent="0.25">
      <c r="A65" s="155">
        <v>1045649</v>
      </c>
      <c r="B65" s="156" t="s">
        <v>60</v>
      </c>
      <c r="C65" s="156" t="s">
        <v>56</v>
      </c>
      <c r="D65" s="157">
        <v>46126</v>
      </c>
      <c r="E65" s="157">
        <v>46126</v>
      </c>
      <c r="F65" s="156"/>
      <c r="G65" s="156">
        <v>687</v>
      </c>
      <c r="H65" s="156" t="s">
        <v>176</v>
      </c>
      <c r="I65" s="156">
        <v>1305</v>
      </c>
      <c r="J65" s="156">
        <v>3750</v>
      </c>
      <c r="K65" s="156"/>
      <c r="L65" s="156" t="s">
        <v>252</v>
      </c>
      <c r="M65" s="156" t="s">
        <v>57</v>
      </c>
      <c r="N65" s="156" t="s">
        <v>58</v>
      </c>
      <c r="O65" s="157">
        <v>46126</v>
      </c>
      <c r="P65" s="229">
        <v>688</v>
      </c>
      <c r="Q65" s="180" t="s">
        <v>59</v>
      </c>
      <c r="R65" s="180">
        <v>19.88</v>
      </c>
      <c r="S65" s="180">
        <v>5.43</v>
      </c>
      <c r="T65" s="180">
        <v>0.98</v>
      </c>
      <c r="U65" s="180">
        <v>667.14</v>
      </c>
      <c r="V65" s="231">
        <v>2684.23</v>
      </c>
      <c r="W65" s="157">
        <v>46127</v>
      </c>
      <c r="X65" s="156">
        <v>20260415</v>
      </c>
      <c r="Y65" s="156"/>
      <c r="Z65" s="156" t="s">
        <v>85</v>
      </c>
      <c r="AA65" s="156" t="s">
        <v>177</v>
      </c>
      <c r="AB65" s="156" t="s">
        <v>95</v>
      </c>
      <c r="AC65" s="156"/>
      <c r="AD65" s="156"/>
      <c r="AE65" s="158">
        <v>0.8103703703703703</v>
      </c>
      <c r="AF65" s="156" t="s">
        <v>178</v>
      </c>
      <c r="AG65" s="159" t="s">
        <v>137</v>
      </c>
      <c r="AH65" s="32"/>
    </row>
    <row r="66" spans="1:34" ht="15" x14ac:dyDescent="0.25">
      <c r="A66" s="155">
        <v>1045649</v>
      </c>
      <c r="B66" s="156" t="s">
        <v>60</v>
      </c>
      <c r="C66" s="156" t="s">
        <v>56</v>
      </c>
      <c r="D66" s="157">
        <v>46127</v>
      </c>
      <c r="E66" s="157">
        <v>46127</v>
      </c>
      <c r="F66" s="156"/>
      <c r="G66" s="156">
        <v>688</v>
      </c>
      <c r="H66" s="156" t="s">
        <v>176</v>
      </c>
      <c r="I66" s="156">
        <v>1310</v>
      </c>
      <c r="J66" s="156">
        <v>605630</v>
      </c>
      <c r="K66" s="156"/>
      <c r="L66" s="156" t="s">
        <v>253</v>
      </c>
      <c r="M66" s="156" t="s">
        <v>57</v>
      </c>
      <c r="N66" s="156" t="s">
        <v>58</v>
      </c>
      <c r="O66" s="157">
        <v>46127</v>
      </c>
      <c r="P66" s="229">
        <v>1799</v>
      </c>
      <c r="Q66" s="180" t="s">
        <v>59</v>
      </c>
      <c r="R66" s="180">
        <v>51.99</v>
      </c>
      <c r="S66" s="180">
        <v>23.21</v>
      </c>
      <c r="T66" s="180">
        <v>4.18</v>
      </c>
      <c r="U66" s="180">
        <v>1742.83</v>
      </c>
      <c r="V66" s="230">
        <v>0</v>
      </c>
      <c r="W66" s="156"/>
      <c r="X66" s="156">
        <v>20260416</v>
      </c>
      <c r="Y66" s="156"/>
      <c r="Z66" s="156" t="s">
        <v>84</v>
      </c>
      <c r="AA66" s="156" t="s">
        <v>177</v>
      </c>
      <c r="AB66" s="156" t="s">
        <v>95</v>
      </c>
      <c r="AC66" s="156"/>
      <c r="AD66" s="156"/>
      <c r="AE66" s="158">
        <v>0.50868055555555558</v>
      </c>
      <c r="AF66" s="156" t="s">
        <v>178</v>
      </c>
      <c r="AG66" s="159" t="s">
        <v>137</v>
      </c>
      <c r="AH66" s="32"/>
    </row>
    <row r="67" spans="1:34" ht="15" x14ac:dyDescent="0.25">
      <c r="A67" s="155">
        <v>1045649</v>
      </c>
      <c r="B67" s="156" t="s">
        <v>60</v>
      </c>
      <c r="C67" s="156" t="s">
        <v>56</v>
      </c>
      <c r="D67" s="157">
        <v>46127</v>
      </c>
      <c r="E67" s="157">
        <v>46127</v>
      </c>
      <c r="F67" s="156"/>
      <c r="G67" s="156">
        <v>688</v>
      </c>
      <c r="H67" s="156">
        <v>65656565</v>
      </c>
      <c r="I67" s="156">
        <v>1312</v>
      </c>
      <c r="J67" s="156">
        <v>837823</v>
      </c>
      <c r="K67" s="156"/>
      <c r="L67" s="156" t="s">
        <v>254</v>
      </c>
      <c r="M67" s="156" t="s">
        <v>57</v>
      </c>
      <c r="N67" s="156" t="s">
        <v>58</v>
      </c>
      <c r="O67" s="157">
        <v>46127</v>
      </c>
      <c r="P67" s="229">
        <v>179.9</v>
      </c>
      <c r="Q67" s="180" t="s">
        <v>59</v>
      </c>
      <c r="R67" s="180">
        <v>5.19</v>
      </c>
      <c r="S67" s="180">
        <v>2.31</v>
      </c>
      <c r="T67" s="180">
        <v>0.42</v>
      </c>
      <c r="U67" s="180">
        <v>174.29</v>
      </c>
      <c r="V67" s="230">
        <v>0</v>
      </c>
      <c r="W67" s="156"/>
      <c r="X67" s="156">
        <v>20260416</v>
      </c>
      <c r="Y67" s="156"/>
      <c r="Z67" s="156" t="s">
        <v>84</v>
      </c>
      <c r="AA67" s="156" t="s">
        <v>177</v>
      </c>
      <c r="AB67" s="156" t="s">
        <v>95</v>
      </c>
      <c r="AC67" s="156"/>
      <c r="AD67" s="156" t="s">
        <v>86</v>
      </c>
      <c r="AE67" s="158">
        <v>0.81826388888888879</v>
      </c>
      <c r="AF67" s="156" t="s">
        <v>178</v>
      </c>
      <c r="AG67" s="159" t="s">
        <v>137</v>
      </c>
      <c r="AH67" s="32"/>
    </row>
    <row r="68" spans="1:34" ht="15" x14ac:dyDescent="0.25">
      <c r="A68" s="155">
        <v>1045649</v>
      </c>
      <c r="B68" s="156" t="s">
        <v>60</v>
      </c>
      <c r="C68" s="156" t="s">
        <v>56</v>
      </c>
      <c r="D68" s="157">
        <v>46127</v>
      </c>
      <c r="E68" s="157">
        <v>46127</v>
      </c>
      <c r="F68" s="156"/>
      <c r="G68" s="156">
        <v>688</v>
      </c>
      <c r="H68" s="156" t="s">
        <v>176</v>
      </c>
      <c r="I68" s="156">
        <v>1315</v>
      </c>
      <c r="J68" s="156">
        <v>8930</v>
      </c>
      <c r="K68" s="156"/>
      <c r="L68" s="156" t="s">
        <v>255</v>
      </c>
      <c r="M68" s="156" t="s">
        <v>57</v>
      </c>
      <c r="N68" s="156" t="s">
        <v>58</v>
      </c>
      <c r="O68" s="157">
        <v>46127</v>
      </c>
      <c r="P68" s="229">
        <v>69</v>
      </c>
      <c r="Q68" s="180" t="s">
        <v>59</v>
      </c>
      <c r="R68" s="180">
        <v>1.99</v>
      </c>
      <c r="S68" s="180">
        <v>0.89</v>
      </c>
      <c r="T68" s="180">
        <v>0.16</v>
      </c>
      <c r="U68" s="180">
        <v>66.849999999999994</v>
      </c>
      <c r="V68" s="231">
        <v>1983.97</v>
      </c>
      <c r="W68" s="157">
        <v>46128</v>
      </c>
      <c r="X68" s="156">
        <v>20260416</v>
      </c>
      <c r="Y68" s="156"/>
      <c r="Z68" s="156" t="s">
        <v>84</v>
      </c>
      <c r="AA68" s="156" t="s">
        <v>177</v>
      </c>
      <c r="AB68" s="156" t="s">
        <v>95</v>
      </c>
      <c r="AC68" s="156"/>
      <c r="AD68" s="156"/>
      <c r="AE68" s="158">
        <v>0.8890393518518519</v>
      </c>
      <c r="AF68" s="156" t="s">
        <v>178</v>
      </c>
      <c r="AG68" s="159" t="s">
        <v>137</v>
      </c>
      <c r="AH68" s="32"/>
    </row>
    <row r="69" spans="1:34" ht="15" x14ac:dyDescent="0.25">
      <c r="A69" s="155">
        <v>1045649</v>
      </c>
      <c r="B69" s="156" t="s">
        <v>60</v>
      </c>
      <c r="C69" s="156" t="s">
        <v>56</v>
      </c>
      <c r="D69" s="157">
        <v>46128</v>
      </c>
      <c r="E69" s="157">
        <v>46128</v>
      </c>
      <c r="F69" s="156"/>
      <c r="G69" s="156">
        <v>689</v>
      </c>
      <c r="H69" s="156" t="s">
        <v>176</v>
      </c>
      <c r="I69" s="156">
        <v>1320</v>
      </c>
      <c r="J69" s="156">
        <v>117039</v>
      </c>
      <c r="K69" s="156"/>
      <c r="L69" s="156" t="s">
        <v>256</v>
      </c>
      <c r="M69" s="156" t="s">
        <v>57</v>
      </c>
      <c r="N69" s="156" t="s">
        <v>58</v>
      </c>
      <c r="O69" s="157">
        <v>46128</v>
      </c>
      <c r="P69" s="229">
        <v>69</v>
      </c>
      <c r="Q69" s="180" t="s">
        <v>59</v>
      </c>
      <c r="R69" s="180">
        <v>1.99</v>
      </c>
      <c r="S69" s="180">
        <v>0.89</v>
      </c>
      <c r="T69" s="180">
        <v>0.16</v>
      </c>
      <c r="U69" s="180">
        <v>66.849999999999994</v>
      </c>
      <c r="V69" s="230">
        <v>0</v>
      </c>
      <c r="W69" s="156"/>
      <c r="X69" s="156">
        <v>20260417</v>
      </c>
      <c r="Y69" s="156"/>
      <c r="Z69" s="156" t="s">
        <v>84</v>
      </c>
      <c r="AA69" s="156" t="s">
        <v>177</v>
      </c>
      <c r="AB69" s="156" t="s">
        <v>134</v>
      </c>
      <c r="AC69" s="156"/>
      <c r="AD69" s="156"/>
      <c r="AE69" s="158">
        <v>0.44806712962962963</v>
      </c>
      <c r="AF69" s="156" t="s">
        <v>178</v>
      </c>
      <c r="AG69" s="159" t="s">
        <v>137</v>
      </c>
      <c r="AH69" s="32"/>
    </row>
    <row r="70" spans="1:34" ht="15" x14ac:dyDescent="0.25">
      <c r="A70" s="155">
        <v>1045649</v>
      </c>
      <c r="B70" s="156" t="s">
        <v>60</v>
      </c>
      <c r="C70" s="156" t="s">
        <v>56</v>
      </c>
      <c r="D70" s="157">
        <v>46128</v>
      </c>
      <c r="E70" s="157">
        <v>46128</v>
      </c>
      <c r="F70" s="156"/>
      <c r="G70" s="156">
        <v>689</v>
      </c>
      <c r="H70" s="156" t="s">
        <v>176</v>
      </c>
      <c r="I70" s="156">
        <v>1322</v>
      </c>
      <c r="J70" s="156">
        <v>110752</v>
      </c>
      <c r="K70" s="156"/>
      <c r="L70" s="156" t="s">
        <v>257</v>
      </c>
      <c r="M70" s="156" t="s">
        <v>57</v>
      </c>
      <c r="N70" s="156" t="s">
        <v>58</v>
      </c>
      <c r="O70" s="157">
        <v>46128</v>
      </c>
      <c r="P70" s="229">
        <v>1699</v>
      </c>
      <c r="Q70" s="180" t="s">
        <v>59</v>
      </c>
      <c r="R70" s="180">
        <v>49.1</v>
      </c>
      <c r="S70" s="180">
        <v>21.92</v>
      </c>
      <c r="T70" s="180">
        <v>3.95</v>
      </c>
      <c r="U70" s="180">
        <v>1645.95</v>
      </c>
      <c r="V70" s="230">
        <v>0</v>
      </c>
      <c r="W70" s="156"/>
      <c r="X70" s="156">
        <v>20260417</v>
      </c>
      <c r="Y70" s="156"/>
      <c r="Z70" s="156" t="s">
        <v>84</v>
      </c>
      <c r="AA70" s="156" t="s">
        <v>177</v>
      </c>
      <c r="AB70" s="156" t="s">
        <v>95</v>
      </c>
      <c r="AC70" s="156"/>
      <c r="AD70" s="156"/>
      <c r="AE70" s="158">
        <v>0.62247685185185186</v>
      </c>
      <c r="AF70" s="156" t="s">
        <v>178</v>
      </c>
      <c r="AG70" s="159" t="s">
        <v>137</v>
      </c>
      <c r="AH70" s="32"/>
    </row>
    <row r="71" spans="1:34" ht="15" x14ac:dyDescent="0.25">
      <c r="A71" s="155">
        <v>1045649</v>
      </c>
      <c r="B71" s="156" t="s">
        <v>60</v>
      </c>
      <c r="C71" s="156" t="s">
        <v>56</v>
      </c>
      <c r="D71" s="157">
        <v>46128</v>
      </c>
      <c r="E71" s="157">
        <v>46128</v>
      </c>
      <c r="F71" s="156"/>
      <c r="G71" s="156">
        <v>689</v>
      </c>
      <c r="H71" s="156" t="s">
        <v>176</v>
      </c>
      <c r="I71" s="156">
        <v>1324</v>
      </c>
      <c r="J71" s="156">
        <v>32947</v>
      </c>
      <c r="K71" s="156"/>
      <c r="L71" s="156" t="s">
        <v>258</v>
      </c>
      <c r="M71" s="156" t="s">
        <v>57</v>
      </c>
      <c r="N71" s="156" t="s">
        <v>58</v>
      </c>
      <c r="O71" s="157">
        <v>46128</v>
      </c>
      <c r="P71" s="229">
        <v>89</v>
      </c>
      <c r="Q71" s="180" t="s">
        <v>59</v>
      </c>
      <c r="R71" s="180">
        <v>2.57</v>
      </c>
      <c r="S71" s="180">
        <v>0.52</v>
      </c>
      <c r="T71" s="180">
        <v>0.09</v>
      </c>
      <c r="U71" s="180">
        <v>86.34</v>
      </c>
      <c r="V71" s="230">
        <v>0</v>
      </c>
      <c r="W71" s="156"/>
      <c r="X71" s="156">
        <v>20260417</v>
      </c>
      <c r="Y71" s="156"/>
      <c r="Z71" s="156" t="s">
        <v>85</v>
      </c>
      <c r="AA71" s="156" t="s">
        <v>177</v>
      </c>
      <c r="AB71" s="156" t="s">
        <v>133</v>
      </c>
      <c r="AC71" s="156"/>
      <c r="AD71" s="156"/>
      <c r="AE71" s="158">
        <v>0.62732638888888892</v>
      </c>
      <c r="AF71" s="156" t="s">
        <v>178</v>
      </c>
      <c r="AG71" s="159" t="s">
        <v>137</v>
      </c>
      <c r="AH71" s="32"/>
    </row>
    <row r="72" spans="1:34" ht="15" x14ac:dyDescent="0.25">
      <c r="A72" s="155">
        <v>1045649</v>
      </c>
      <c r="B72" s="156" t="s">
        <v>60</v>
      </c>
      <c r="C72" s="156" t="s">
        <v>56</v>
      </c>
      <c r="D72" s="157">
        <v>46128</v>
      </c>
      <c r="E72" s="157">
        <v>46128</v>
      </c>
      <c r="F72" s="156"/>
      <c r="G72" s="156">
        <v>689</v>
      </c>
      <c r="H72" s="156" t="s">
        <v>176</v>
      </c>
      <c r="I72" s="156">
        <v>1327</v>
      </c>
      <c r="J72" s="156">
        <v>394256</v>
      </c>
      <c r="K72" s="156">
        <v>3</v>
      </c>
      <c r="L72" s="156" t="s">
        <v>259</v>
      </c>
      <c r="M72" s="156" t="s">
        <v>57</v>
      </c>
      <c r="N72" s="156" t="s">
        <v>58</v>
      </c>
      <c r="O72" s="157">
        <v>46128</v>
      </c>
      <c r="P72" s="229">
        <v>1699</v>
      </c>
      <c r="Q72" s="180" t="s">
        <v>59</v>
      </c>
      <c r="R72" s="180">
        <v>78.83</v>
      </c>
      <c r="S72" s="180">
        <v>13.42</v>
      </c>
      <c r="T72" s="180">
        <v>2.42</v>
      </c>
      <c r="U72" s="180">
        <v>1617.75</v>
      </c>
      <c r="V72" s="230">
        <v>0</v>
      </c>
      <c r="W72" s="156"/>
      <c r="X72" s="156">
        <v>20260417</v>
      </c>
      <c r="Y72" s="156"/>
      <c r="Z72" s="156" t="s">
        <v>85</v>
      </c>
      <c r="AA72" s="156" t="s">
        <v>177</v>
      </c>
      <c r="AB72" s="156" t="s">
        <v>134</v>
      </c>
      <c r="AC72" s="156" t="s">
        <v>87</v>
      </c>
      <c r="AD72" s="156"/>
      <c r="AE72" s="158">
        <v>0.71164351851851848</v>
      </c>
      <c r="AF72" s="156" t="s">
        <v>178</v>
      </c>
      <c r="AG72" s="159" t="s">
        <v>137</v>
      </c>
      <c r="AH72" s="32"/>
    </row>
    <row r="73" spans="1:34" ht="15" x14ac:dyDescent="0.25">
      <c r="A73" s="155">
        <v>1045649</v>
      </c>
      <c r="B73" s="156" t="s">
        <v>60</v>
      </c>
      <c r="C73" s="156" t="s">
        <v>56</v>
      </c>
      <c r="D73" s="157">
        <v>46128</v>
      </c>
      <c r="E73" s="157">
        <v>46128</v>
      </c>
      <c r="F73" s="156"/>
      <c r="G73" s="156">
        <v>689</v>
      </c>
      <c r="H73" s="156" t="s">
        <v>176</v>
      </c>
      <c r="I73" s="156">
        <v>1330</v>
      </c>
      <c r="J73" s="156">
        <v>899666</v>
      </c>
      <c r="K73" s="156"/>
      <c r="L73" s="156" t="s">
        <v>260</v>
      </c>
      <c r="M73" s="156" t="s">
        <v>57</v>
      </c>
      <c r="N73" s="156" t="s">
        <v>58</v>
      </c>
      <c r="O73" s="157">
        <v>46128</v>
      </c>
      <c r="P73" s="229">
        <v>149</v>
      </c>
      <c r="Q73" s="180" t="s">
        <v>59</v>
      </c>
      <c r="R73" s="180">
        <v>4.3099999999999996</v>
      </c>
      <c r="S73" s="180">
        <v>1.93</v>
      </c>
      <c r="T73" s="180">
        <v>0.35</v>
      </c>
      <c r="U73" s="180">
        <v>144.34</v>
      </c>
      <c r="V73" s="231">
        <v>3561.23</v>
      </c>
      <c r="W73" s="157">
        <v>46129</v>
      </c>
      <c r="X73" s="156">
        <v>20260417</v>
      </c>
      <c r="Y73" s="156"/>
      <c r="Z73" s="156" t="s">
        <v>84</v>
      </c>
      <c r="AA73" s="156" t="s">
        <v>177</v>
      </c>
      <c r="AB73" s="156" t="s">
        <v>95</v>
      </c>
      <c r="AC73" s="156"/>
      <c r="AD73" s="156"/>
      <c r="AE73" s="158">
        <v>0.73954861111111114</v>
      </c>
      <c r="AF73" s="156" t="s">
        <v>178</v>
      </c>
      <c r="AG73" s="159" t="s">
        <v>137</v>
      </c>
      <c r="AH73" s="32"/>
    </row>
    <row r="74" spans="1:34" ht="15" x14ac:dyDescent="0.25">
      <c r="A74" s="155">
        <v>1045649</v>
      </c>
      <c r="B74" s="156" t="s">
        <v>55</v>
      </c>
      <c r="C74" s="156" t="s">
        <v>56</v>
      </c>
      <c r="D74" s="157">
        <v>46130</v>
      </c>
      <c r="E74" s="157">
        <v>46130</v>
      </c>
      <c r="F74" s="156"/>
      <c r="G74" s="156">
        <v>690</v>
      </c>
      <c r="H74" s="156" t="s">
        <v>176</v>
      </c>
      <c r="I74" s="156">
        <v>1346</v>
      </c>
      <c r="J74" s="156">
        <v>117800</v>
      </c>
      <c r="K74" s="156"/>
      <c r="L74" s="156" t="s">
        <v>261</v>
      </c>
      <c r="M74" s="156" t="s">
        <v>57</v>
      </c>
      <c r="N74" s="156" t="s">
        <v>58</v>
      </c>
      <c r="O74" s="157">
        <v>46130</v>
      </c>
      <c r="P74" s="229">
        <v>189</v>
      </c>
      <c r="Q74" s="180" t="s">
        <v>59</v>
      </c>
      <c r="R74" s="180">
        <v>5.46</v>
      </c>
      <c r="S74" s="180">
        <v>2.15</v>
      </c>
      <c r="T74" s="180">
        <v>0.39</v>
      </c>
      <c r="U74" s="180">
        <v>183.15</v>
      </c>
      <c r="V74" s="231">
        <v>183.15</v>
      </c>
      <c r="W74" s="157">
        <v>46132</v>
      </c>
      <c r="X74" s="156">
        <v>20260420</v>
      </c>
      <c r="Y74" s="156"/>
      <c r="Z74" s="156" t="s">
        <v>84</v>
      </c>
      <c r="AA74" s="156" t="s">
        <v>177</v>
      </c>
      <c r="AB74" s="156" t="s">
        <v>182</v>
      </c>
      <c r="AC74" s="156"/>
      <c r="AD74" s="156"/>
      <c r="AE74" s="158">
        <v>0.76960648148148147</v>
      </c>
      <c r="AF74" s="156" t="s">
        <v>178</v>
      </c>
      <c r="AG74" s="159" t="s">
        <v>137</v>
      </c>
      <c r="AH74" s="32"/>
    </row>
    <row r="75" spans="1:34" ht="15" x14ac:dyDescent="0.25">
      <c r="A75" s="155">
        <v>1045649</v>
      </c>
      <c r="B75" s="156" t="s">
        <v>60</v>
      </c>
      <c r="C75" s="156" t="s">
        <v>56</v>
      </c>
      <c r="D75" s="157">
        <v>46130</v>
      </c>
      <c r="E75" s="157">
        <v>46130</v>
      </c>
      <c r="F75" s="156"/>
      <c r="G75" s="156">
        <v>690</v>
      </c>
      <c r="H75" s="156" t="s">
        <v>176</v>
      </c>
      <c r="I75" s="156">
        <v>1337</v>
      </c>
      <c r="J75" s="156">
        <v>8338</v>
      </c>
      <c r="K75" s="156"/>
      <c r="L75" s="156" t="s">
        <v>262</v>
      </c>
      <c r="M75" s="156" t="s">
        <v>57</v>
      </c>
      <c r="N75" s="156" t="s">
        <v>58</v>
      </c>
      <c r="O75" s="157">
        <v>46130</v>
      </c>
      <c r="P75" s="229">
        <v>459</v>
      </c>
      <c r="Q75" s="180" t="s">
        <v>59</v>
      </c>
      <c r="R75" s="180">
        <v>13.27</v>
      </c>
      <c r="S75" s="180">
        <v>2.71</v>
      </c>
      <c r="T75" s="180">
        <v>0.49</v>
      </c>
      <c r="U75" s="180">
        <v>445.24</v>
      </c>
      <c r="V75" s="230">
        <v>0</v>
      </c>
      <c r="W75" s="156"/>
      <c r="X75" s="156">
        <v>20260420</v>
      </c>
      <c r="Y75" s="156"/>
      <c r="Z75" s="156" t="s">
        <v>85</v>
      </c>
      <c r="AA75" s="156" t="s">
        <v>177</v>
      </c>
      <c r="AB75" s="156" t="s">
        <v>95</v>
      </c>
      <c r="AC75" s="156"/>
      <c r="AD75" s="156"/>
      <c r="AE75" s="158">
        <v>0.46384259259259258</v>
      </c>
      <c r="AF75" s="156" t="s">
        <v>178</v>
      </c>
      <c r="AG75" s="159" t="s">
        <v>137</v>
      </c>
      <c r="AH75" s="32"/>
    </row>
    <row r="76" spans="1:34" ht="15" x14ac:dyDescent="0.25">
      <c r="A76" s="155">
        <v>1045649</v>
      </c>
      <c r="B76" s="156" t="s">
        <v>60</v>
      </c>
      <c r="C76" s="156" t="s">
        <v>56</v>
      </c>
      <c r="D76" s="157">
        <v>46130</v>
      </c>
      <c r="E76" s="157">
        <v>46130</v>
      </c>
      <c r="F76" s="156"/>
      <c r="G76" s="156">
        <v>690</v>
      </c>
      <c r="H76" s="156" t="s">
        <v>176</v>
      </c>
      <c r="I76" s="156">
        <v>1341</v>
      </c>
      <c r="J76" s="156">
        <v>44001</v>
      </c>
      <c r="K76" s="156"/>
      <c r="L76" s="156" t="s">
        <v>263</v>
      </c>
      <c r="M76" s="156" t="s">
        <v>57</v>
      </c>
      <c r="N76" s="156" t="s">
        <v>58</v>
      </c>
      <c r="O76" s="157">
        <v>46130</v>
      </c>
      <c r="P76" s="229">
        <v>1248</v>
      </c>
      <c r="Q76" s="180" t="s">
        <v>59</v>
      </c>
      <c r="R76" s="180">
        <v>36.07</v>
      </c>
      <c r="S76" s="180">
        <v>16.100000000000001</v>
      </c>
      <c r="T76" s="180">
        <v>2.9</v>
      </c>
      <c r="U76" s="180">
        <v>1209.03</v>
      </c>
      <c r="V76" s="230">
        <v>0</v>
      </c>
      <c r="W76" s="156"/>
      <c r="X76" s="156">
        <v>20260420</v>
      </c>
      <c r="Y76" s="156"/>
      <c r="Z76" s="156" t="s">
        <v>84</v>
      </c>
      <c r="AA76" s="156" t="s">
        <v>177</v>
      </c>
      <c r="AB76" s="156" t="s">
        <v>138</v>
      </c>
      <c r="AC76" s="156"/>
      <c r="AD76" s="156"/>
      <c r="AE76" s="158">
        <v>0.67623842592592587</v>
      </c>
      <c r="AF76" s="156" t="s">
        <v>178</v>
      </c>
      <c r="AG76" s="159" t="s">
        <v>137</v>
      </c>
      <c r="AH76" s="32"/>
    </row>
    <row r="77" spans="1:34" ht="15" x14ac:dyDescent="0.25">
      <c r="A77" s="155">
        <v>1045649</v>
      </c>
      <c r="B77" s="156" t="s">
        <v>60</v>
      </c>
      <c r="C77" s="156" t="s">
        <v>56</v>
      </c>
      <c r="D77" s="157">
        <v>46130</v>
      </c>
      <c r="E77" s="157">
        <v>46130</v>
      </c>
      <c r="F77" s="156"/>
      <c r="G77" s="156">
        <v>690</v>
      </c>
      <c r="H77" s="156" t="s">
        <v>176</v>
      </c>
      <c r="I77" s="156">
        <v>1343</v>
      </c>
      <c r="J77" s="156">
        <v>1928</v>
      </c>
      <c r="K77" s="156"/>
      <c r="L77" s="156" t="s">
        <v>264</v>
      </c>
      <c r="M77" s="156" t="s">
        <v>57</v>
      </c>
      <c r="N77" s="156" t="s">
        <v>58</v>
      </c>
      <c r="O77" s="157">
        <v>46130</v>
      </c>
      <c r="P77" s="229">
        <v>1999</v>
      </c>
      <c r="Q77" s="180" t="s">
        <v>59</v>
      </c>
      <c r="R77" s="180">
        <v>57.77</v>
      </c>
      <c r="S77" s="180">
        <v>15.79</v>
      </c>
      <c r="T77" s="180">
        <v>2.84</v>
      </c>
      <c r="U77" s="180">
        <v>1938.39</v>
      </c>
      <c r="V77" s="231">
        <v>3592.66</v>
      </c>
      <c r="W77" s="157">
        <v>46132</v>
      </c>
      <c r="X77" s="156">
        <v>20260420</v>
      </c>
      <c r="Y77" s="156"/>
      <c r="Z77" s="156" t="s">
        <v>85</v>
      </c>
      <c r="AA77" s="156" t="s">
        <v>177</v>
      </c>
      <c r="AB77" s="156" t="s">
        <v>95</v>
      </c>
      <c r="AC77" s="156"/>
      <c r="AD77" s="156"/>
      <c r="AE77" s="158">
        <v>0.68582175925925926</v>
      </c>
      <c r="AF77" s="156" t="s">
        <v>178</v>
      </c>
      <c r="AG77" s="159" t="s">
        <v>137</v>
      </c>
      <c r="AH77" s="32"/>
    </row>
    <row r="78" spans="1:34" ht="15" x14ac:dyDescent="0.25">
      <c r="A78" s="155">
        <v>1045649</v>
      </c>
      <c r="B78" s="156" t="s">
        <v>213</v>
      </c>
      <c r="C78" s="156" t="s">
        <v>56</v>
      </c>
      <c r="D78" s="157">
        <v>46130</v>
      </c>
      <c r="E78" s="157">
        <v>46130</v>
      </c>
      <c r="F78" s="156"/>
      <c r="G78" s="156">
        <v>690</v>
      </c>
      <c r="H78" s="156" t="s">
        <v>176</v>
      </c>
      <c r="I78" s="156">
        <v>1339</v>
      </c>
      <c r="J78" s="156" t="s">
        <v>265</v>
      </c>
      <c r="K78" s="156"/>
      <c r="L78" s="156" t="s">
        <v>266</v>
      </c>
      <c r="M78" s="156" t="s">
        <v>57</v>
      </c>
      <c r="N78" s="156" t="s">
        <v>58</v>
      </c>
      <c r="O78" s="157">
        <v>46130</v>
      </c>
      <c r="P78" s="229">
        <v>629</v>
      </c>
      <c r="Q78" s="180" t="s">
        <v>59</v>
      </c>
      <c r="R78" s="180">
        <v>18.18</v>
      </c>
      <c r="S78" s="180">
        <v>8.1199999999999992</v>
      </c>
      <c r="T78" s="180">
        <v>1.46</v>
      </c>
      <c r="U78" s="180">
        <v>609.36</v>
      </c>
      <c r="V78" s="231">
        <v>609.36</v>
      </c>
      <c r="W78" s="157">
        <v>46132</v>
      </c>
      <c r="X78" s="156">
        <v>20260420</v>
      </c>
      <c r="Y78" s="156"/>
      <c r="Z78" s="156" t="s">
        <v>84</v>
      </c>
      <c r="AA78" s="156" t="s">
        <v>177</v>
      </c>
      <c r="AB78" s="156" t="s">
        <v>216</v>
      </c>
      <c r="AC78" s="156"/>
      <c r="AD78" s="156"/>
      <c r="AE78" s="158">
        <v>0.59211805555555552</v>
      </c>
      <c r="AF78" s="156" t="s">
        <v>178</v>
      </c>
      <c r="AG78" s="159" t="s">
        <v>137</v>
      </c>
      <c r="AH78" s="32"/>
    </row>
    <row r="79" spans="1:34" ht="15" x14ac:dyDescent="0.25">
      <c r="A79" s="155">
        <v>1045649</v>
      </c>
      <c r="B79" s="156" t="s">
        <v>60</v>
      </c>
      <c r="C79" s="156" t="s">
        <v>56</v>
      </c>
      <c r="D79" s="157">
        <v>46131</v>
      </c>
      <c r="E79" s="157">
        <v>46131</v>
      </c>
      <c r="F79" s="156"/>
      <c r="G79" s="156">
        <v>691</v>
      </c>
      <c r="H79" s="156" t="s">
        <v>176</v>
      </c>
      <c r="I79" s="156">
        <v>1355</v>
      </c>
      <c r="J79" s="156">
        <v>191198</v>
      </c>
      <c r="K79" s="156"/>
      <c r="L79" s="156" t="s">
        <v>267</v>
      </c>
      <c r="M79" s="156" t="s">
        <v>57</v>
      </c>
      <c r="N79" s="156" t="s">
        <v>58</v>
      </c>
      <c r="O79" s="157">
        <v>46131</v>
      </c>
      <c r="P79" s="229">
        <v>179.9</v>
      </c>
      <c r="Q79" s="180" t="s">
        <v>59</v>
      </c>
      <c r="R79" s="180">
        <v>5.2</v>
      </c>
      <c r="S79" s="180">
        <v>2.3199999999999998</v>
      </c>
      <c r="T79" s="180">
        <v>0.42</v>
      </c>
      <c r="U79" s="180">
        <v>174.28</v>
      </c>
      <c r="V79" s="230">
        <v>0</v>
      </c>
      <c r="W79" s="156"/>
      <c r="X79" s="156">
        <v>20260420</v>
      </c>
      <c r="Y79" s="156"/>
      <c r="Z79" s="156" t="s">
        <v>84</v>
      </c>
      <c r="AA79" s="156" t="s">
        <v>177</v>
      </c>
      <c r="AB79" s="156" t="s">
        <v>95</v>
      </c>
      <c r="AC79" s="156"/>
      <c r="AD79" s="156"/>
      <c r="AE79" s="158">
        <v>0.45774305555555556</v>
      </c>
      <c r="AF79" s="156" t="s">
        <v>178</v>
      </c>
      <c r="AG79" s="159" t="s">
        <v>137</v>
      </c>
      <c r="AH79" s="32"/>
    </row>
    <row r="80" spans="1:34" ht="15" x14ac:dyDescent="0.25">
      <c r="A80" s="155">
        <v>1045649</v>
      </c>
      <c r="B80" s="156" t="s">
        <v>60</v>
      </c>
      <c r="C80" s="156" t="s">
        <v>56</v>
      </c>
      <c r="D80" s="157">
        <v>46131</v>
      </c>
      <c r="E80" s="157">
        <v>46131</v>
      </c>
      <c r="F80" s="156"/>
      <c r="G80" s="156">
        <v>691</v>
      </c>
      <c r="H80" s="156">
        <v>65656565</v>
      </c>
      <c r="I80" s="156">
        <v>1359</v>
      </c>
      <c r="J80" s="156">
        <v>151551</v>
      </c>
      <c r="K80" s="156"/>
      <c r="L80" s="156" t="s">
        <v>268</v>
      </c>
      <c r="M80" s="156" t="s">
        <v>57</v>
      </c>
      <c r="N80" s="156" t="s">
        <v>58</v>
      </c>
      <c r="O80" s="157">
        <v>46131</v>
      </c>
      <c r="P80" s="229">
        <v>62.9</v>
      </c>
      <c r="Q80" s="180" t="s">
        <v>59</v>
      </c>
      <c r="R80" s="180">
        <v>1.81</v>
      </c>
      <c r="S80" s="180">
        <v>0.8</v>
      </c>
      <c r="T80" s="180">
        <v>0.14000000000000001</v>
      </c>
      <c r="U80" s="180">
        <v>60.95</v>
      </c>
      <c r="V80" s="230">
        <v>0</v>
      </c>
      <c r="W80" s="156"/>
      <c r="X80" s="156">
        <v>20260420</v>
      </c>
      <c r="Y80" s="156"/>
      <c r="Z80" s="156" t="s">
        <v>84</v>
      </c>
      <c r="AA80" s="156" t="s">
        <v>177</v>
      </c>
      <c r="AB80" s="156" t="s">
        <v>138</v>
      </c>
      <c r="AC80" s="156"/>
      <c r="AD80" s="156" t="s">
        <v>86</v>
      </c>
      <c r="AE80" s="158">
        <v>0.70517361111111121</v>
      </c>
      <c r="AF80" s="156" t="s">
        <v>178</v>
      </c>
      <c r="AG80" s="159" t="s">
        <v>137</v>
      </c>
      <c r="AH80" s="32"/>
    </row>
    <row r="81" spans="1:34" ht="15" x14ac:dyDescent="0.25">
      <c r="A81" s="155">
        <v>1045649</v>
      </c>
      <c r="B81" s="156" t="s">
        <v>60</v>
      </c>
      <c r="C81" s="156" t="s">
        <v>56</v>
      </c>
      <c r="D81" s="157">
        <v>46131</v>
      </c>
      <c r="E81" s="157">
        <v>46131</v>
      </c>
      <c r="F81" s="156"/>
      <c r="G81" s="156">
        <v>691</v>
      </c>
      <c r="H81" s="156" t="s">
        <v>176</v>
      </c>
      <c r="I81" s="156">
        <v>1363</v>
      </c>
      <c r="J81" s="156">
        <v>259797</v>
      </c>
      <c r="K81" s="156"/>
      <c r="L81" s="156" t="s">
        <v>269</v>
      </c>
      <c r="M81" s="156" t="s">
        <v>57</v>
      </c>
      <c r="N81" s="156" t="s">
        <v>58</v>
      </c>
      <c r="O81" s="157">
        <v>46131</v>
      </c>
      <c r="P81" s="229">
        <v>3199</v>
      </c>
      <c r="Q81" s="180" t="s">
        <v>59</v>
      </c>
      <c r="R81" s="180">
        <v>92.45</v>
      </c>
      <c r="S81" s="180">
        <v>41.27</v>
      </c>
      <c r="T81" s="180">
        <v>7.43</v>
      </c>
      <c r="U81" s="180">
        <v>3099.12</v>
      </c>
      <c r="V81" s="230">
        <v>0</v>
      </c>
      <c r="W81" s="156"/>
      <c r="X81" s="156">
        <v>20260420</v>
      </c>
      <c r="Y81" s="156"/>
      <c r="Z81" s="156" t="s">
        <v>84</v>
      </c>
      <c r="AA81" s="156" t="s">
        <v>177</v>
      </c>
      <c r="AB81" s="156" t="s">
        <v>95</v>
      </c>
      <c r="AC81" s="156"/>
      <c r="AD81" s="156"/>
      <c r="AE81" s="158">
        <v>0.75504629629629638</v>
      </c>
      <c r="AF81" s="156" t="s">
        <v>178</v>
      </c>
      <c r="AG81" s="159" t="s">
        <v>137</v>
      </c>
      <c r="AH81" s="32"/>
    </row>
    <row r="82" spans="1:34" ht="15" x14ac:dyDescent="0.25">
      <c r="A82" s="155">
        <v>1045649</v>
      </c>
      <c r="B82" s="156" t="s">
        <v>60</v>
      </c>
      <c r="C82" s="156" t="s">
        <v>56</v>
      </c>
      <c r="D82" s="157">
        <v>46131</v>
      </c>
      <c r="E82" s="157">
        <v>46131</v>
      </c>
      <c r="F82" s="156"/>
      <c r="G82" s="156">
        <v>691</v>
      </c>
      <c r="H82" s="156" t="s">
        <v>176</v>
      </c>
      <c r="I82" s="156">
        <v>1367</v>
      </c>
      <c r="J82" s="156">
        <v>923930</v>
      </c>
      <c r="K82" s="156"/>
      <c r="L82" s="156" t="s">
        <v>270</v>
      </c>
      <c r="M82" s="156" t="s">
        <v>57</v>
      </c>
      <c r="N82" s="156" t="s">
        <v>58</v>
      </c>
      <c r="O82" s="157">
        <v>46131</v>
      </c>
      <c r="P82" s="229">
        <v>1000</v>
      </c>
      <c r="Q82" s="180" t="s">
        <v>59</v>
      </c>
      <c r="R82" s="180">
        <v>28.9</v>
      </c>
      <c r="S82" s="180">
        <v>12.9</v>
      </c>
      <c r="T82" s="180">
        <v>2.3199999999999998</v>
      </c>
      <c r="U82" s="180">
        <v>968.78</v>
      </c>
      <c r="V82" s="230">
        <v>0</v>
      </c>
      <c r="W82" s="156"/>
      <c r="X82" s="156">
        <v>20260420</v>
      </c>
      <c r="Y82" s="156"/>
      <c r="Z82" s="156" t="s">
        <v>84</v>
      </c>
      <c r="AA82" s="156" t="s">
        <v>177</v>
      </c>
      <c r="AB82" s="156" t="s">
        <v>138</v>
      </c>
      <c r="AC82" s="156"/>
      <c r="AD82" s="156"/>
      <c r="AE82" s="158">
        <v>0.77840277777777767</v>
      </c>
      <c r="AF82" s="156" t="s">
        <v>178</v>
      </c>
      <c r="AG82" s="159" t="s">
        <v>137</v>
      </c>
      <c r="AH82" s="32"/>
    </row>
    <row r="83" spans="1:34" ht="15" x14ac:dyDescent="0.25">
      <c r="A83" s="155">
        <v>1045649</v>
      </c>
      <c r="B83" s="156" t="s">
        <v>60</v>
      </c>
      <c r="C83" s="156" t="s">
        <v>56</v>
      </c>
      <c r="D83" s="157">
        <v>46131</v>
      </c>
      <c r="E83" s="157">
        <v>46131</v>
      </c>
      <c r="F83" s="156"/>
      <c r="G83" s="156">
        <v>691</v>
      </c>
      <c r="H83" s="156" t="s">
        <v>176</v>
      </c>
      <c r="I83" s="156">
        <v>1369</v>
      </c>
      <c r="J83" s="156">
        <v>15387</v>
      </c>
      <c r="K83" s="156">
        <v>3</v>
      </c>
      <c r="L83" s="156" t="s">
        <v>271</v>
      </c>
      <c r="M83" s="156" t="s">
        <v>57</v>
      </c>
      <c r="N83" s="156" t="s">
        <v>58</v>
      </c>
      <c r="O83" s="157">
        <v>46131</v>
      </c>
      <c r="P83" s="229">
        <v>799</v>
      </c>
      <c r="Q83" s="180" t="s">
        <v>59</v>
      </c>
      <c r="R83" s="180">
        <v>23.09</v>
      </c>
      <c r="S83" s="180">
        <v>6.31</v>
      </c>
      <c r="T83" s="180">
        <v>1.1399999999999999</v>
      </c>
      <c r="U83" s="180">
        <v>774.77</v>
      </c>
      <c r="V83" s="230">
        <v>0</v>
      </c>
      <c r="W83" s="156"/>
      <c r="X83" s="156">
        <v>20260420</v>
      </c>
      <c r="Y83" s="156"/>
      <c r="Z83" s="156" t="s">
        <v>85</v>
      </c>
      <c r="AA83" s="156" t="s">
        <v>177</v>
      </c>
      <c r="AB83" s="156" t="s">
        <v>135</v>
      </c>
      <c r="AC83" s="156" t="s">
        <v>89</v>
      </c>
      <c r="AD83" s="156"/>
      <c r="AE83" s="158">
        <v>0.7790393518518518</v>
      </c>
      <c r="AF83" s="156" t="s">
        <v>178</v>
      </c>
      <c r="AG83" s="159" t="s">
        <v>137</v>
      </c>
      <c r="AH83" s="32"/>
    </row>
    <row r="84" spans="1:34" ht="15" x14ac:dyDescent="0.25">
      <c r="A84" s="155">
        <v>1045649</v>
      </c>
      <c r="B84" s="156" t="s">
        <v>60</v>
      </c>
      <c r="C84" s="156" t="s">
        <v>56</v>
      </c>
      <c r="D84" s="157">
        <v>46131</v>
      </c>
      <c r="E84" s="157">
        <v>46131</v>
      </c>
      <c r="F84" s="156"/>
      <c r="G84" s="156">
        <v>691</v>
      </c>
      <c r="H84" s="156" t="s">
        <v>176</v>
      </c>
      <c r="I84" s="156">
        <v>1371</v>
      </c>
      <c r="J84" s="156">
        <v>69723</v>
      </c>
      <c r="K84" s="156">
        <v>2</v>
      </c>
      <c r="L84" s="156" t="s">
        <v>272</v>
      </c>
      <c r="M84" s="156" t="s">
        <v>57</v>
      </c>
      <c r="N84" s="156" t="s">
        <v>58</v>
      </c>
      <c r="O84" s="157">
        <v>46131</v>
      </c>
      <c r="P84" s="229">
        <v>359</v>
      </c>
      <c r="Q84" s="180" t="s">
        <v>59</v>
      </c>
      <c r="R84" s="180">
        <v>10.38</v>
      </c>
      <c r="S84" s="180">
        <v>2.84</v>
      </c>
      <c r="T84" s="180">
        <v>0.51</v>
      </c>
      <c r="U84" s="180">
        <v>348.11</v>
      </c>
      <c r="V84" s="231">
        <v>5426.01</v>
      </c>
      <c r="W84" s="157">
        <v>46132</v>
      </c>
      <c r="X84" s="156">
        <v>20260420</v>
      </c>
      <c r="Y84" s="156"/>
      <c r="Z84" s="156" t="s">
        <v>85</v>
      </c>
      <c r="AA84" s="156" t="s">
        <v>177</v>
      </c>
      <c r="AB84" s="156" t="s">
        <v>135</v>
      </c>
      <c r="AC84" s="156" t="s">
        <v>89</v>
      </c>
      <c r="AD84" s="156"/>
      <c r="AE84" s="158">
        <v>0.86885416666666659</v>
      </c>
      <c r="AF84" s="156" t="s">
        <v>178</v>
      </c>
      <c r="AG84" s="159" t="s">
        <v>137</v>
      </c>
      <c r="AH84" s="32"/>
    </row>
    <row r="85" spans="1:34" ht="15" x14ac:dyDescent="0.25">
      <c r="A85" s="155">
        <v>1045649</v>
      </c>
      <c r="B85" s="156" t="s">
        <v>213</v>
      </c>
      <c r="C85" s="156" t="s">
        <v>56</v>
      </c>
      <c r="D85" s="157">
        <v>46131</v>
      </c>
      <c r="E85" s="157">
        <v>46131</v>
      </c>
      <c r="F85" s="156"/>
      <c r="G85" s="156">
        <v>691</v>
      </c>
      <c r="H85" s="156" t="s">
        <v>176</v>
      </c>
      <c r="I85" s="156">
        <v>1357</v>
      </c>
      <c r="J85" s="156" t="s">
        <v>273</v>
      </c>
      <c r="K85" s="156"/>
      <c r="L85" s="156" t="s">
        <v>274</v>
      </c>
      <c r="M85" s="156" t="s">
        <v>57</v>
      </c>
      <c r="N85" s="156" t="s">
        <v>58</v>
      </c>
      <c r="O85" s="157">
        <v>46131</v>
      </c>
      <c r="P85" s="229">
        <v>659</v>
      </c>
      <c r="Q85" s="180" t="s">
        <v>59</v>
      </c>
      <c r="R85" s="180">
        <v>19.05</v>
      </c>
      <c r="S85" s="180">
        <v>8.51</v>
      </c>
      <c r="T85" s="180">
        <v>1.53</v>
      </c>
      <c r="U85" s="180">
        <v>638.41999999999996</v>
      </c>
      <c r="V85" s="231">
        <v>638.41999999999996</v>
      </c>
      <c r="W85" s="157">
        <v>46132</v>
      </c>
      <c r="X85" s="156">
        <v>20260420</v>
      </c>
      <c r="Y85" s="156"/>
      <c r="Z85" s="156" t="s">
        <v>84</v>
      </c>
      <c r="AA85" s="156" t="s">
        <v>177</v>
      </c>
      <c r="AB85" s="156" t="s">
        <v>216</v>
      </c>
      <c r="AC85" s="156"/>
      <c r="AD85" s="156"/>
      <c r="AE85" s="158">
        <v>0.62313657407407408</v>
      </c>
      <c r="AF85" s="156" t="s">
        <v>178</v>
      </c>
      <c r="AG85" s="159" t="s">
        <v>137</v>
      </c>
      <c r="AH85" s="32"/>
    </row>
    <row r="86" spans="1:34" ht="15" x14ac:dyDescent="0.25">
      <c r="A86" s="155">
        <v>1045649</v>
      </c>
      <c r="B86" s="156" t="s">
        <v>60</v>
      </c>
      <c r="C86" s="156" t="s">
        <v>56</v>
      </c>
      <c r="D86" s="157">
        <v>46132</v>
      </c>
      <c r="E86" s="157">
        <v>46132</v>
      </c>
      <c r="F86" s="156"/>
      <c r="G86" s="156">
        <v>692</v>
      </c>
      <c r="H86" s="156">
        <v>65656565</v>
      </c>
      <c r="I86" s="156">
        <v>1376</v>
      </c>
      <c r="J86" s="156">
        <v>890388</v>
      </c>
      <c r="K86" s="156"/>
      <c r="L86" s="156" t="s">
        <v>275</v>
      </c>
      <c r="M86" s="156" t="s">
        <v>57</v>
      </c>
      <c r="N86" s="156" t="s">
        <v>58</v>
      </c>
      <c r="O86" s="157">
        <v>46132</v>
      </c>
      <c r="P86" s="229">
        <v>9</v>
      </c>
      <c r="Q86" s="180" t="s">
        <v>59</v>
      </c>
      <c r="R86" s="180">
        <v>0.26</v>
      </c>
      <c r="S86" s="180">
        <v>0.12</v>
      </c>
      <c r="T86" s="180">
        <v>0.02</v>
      </c>
      <c r="U86" s="180">
        <v>8.7200000000000006</v>
      </c>
      <c r="V86" s="230">
        <v>0</v>
      </c>
      <c r="W86" s="156"/>
      <c r="X86" s="156">
        <v>20260421</v>
      </c>
      <c r="Y86" s="156"/>
      <c r="Z86" s="156" t="s">
        <v>84</v>
      </c>
      <c r="AA86" s="156" t="s">
        <v>177</v>
      </c>
      <c r="AB86" s="156" t="s">
        <v>138</v>
      </c>
      <c r="AC86" s="156"/>
      <c r="AD86" s="156" t="s">
        <v>86</v>
      </c>
      <c r="AE86" s="158">
        <v>0.51528935185185187</v>
      </c>
      <c r="AF86" s="156" t="s">
        <v>178</v>
      </c>
      <c r="AG86" s="159" t="s">
        <v>137</v>
      </c>
      <c r="AH86" s="32"/>
    </row>
    <row r="87" spans="1:34" ht="15" x14ac:dyDescent="0.25">
      <c r="A87" s="155">
        <v>1045649</v>
      </c>
      <c r="B87" s="156" t="s">
        <v>60</v>
      </c>
      <c r="C87" s="156" t="s">
        <v>56</v>
      </c>
      <c r="D87" s="157">
        <v>46132</v>
      </c>
      <c r="E87" s="157">
        <v>46132</v>
      </c>
      <c r="F87" s="156"/>
      <c r="G87" s="156">
        <v>692</v>
      </c>
      <c r="H87" s="156" t="s">
        <v>176</v>
      </c>
      <c r="I87" s="156">
        <v>1379</v>
      </c>
      <c r="J87" s="156">
        <v>832484</v>
      </c>
      <c r="K87" s="156"/>
      <c r="L87" s="156" t="s">
        <v>276</v>
      </c>
      <c r="M87" s="156" t="s">
        <v>57</v>
      </c>
      <c r="N87" s="156" t="s">
        <v>58</v>
      </c>
      <c r="O87" s="157">
        <v>46132</v>
      </c>
      <c r="P87" s="229">
        <v>629</v>
      </c>
      <c r="Q87" s="180" t="s">
        <v>59</v>
      </c>
      <c r="R87" s="180">
        <v>18.18</v>
      </c>
      <c r="S87" s="180">
        <v>4.97</v>
      </c>
      <c r="T87" s="180">
        <v>0.89</v>
      </c>
      <c r="U87" s="180">
        <v>609.92999999999995</v>
      </c>
      <c r="V87" s="230">
        <v>0</v>
      </c>
      <c r="W87" s="156"/>
      <c r="X87" s="156">
        <v>20260421</v>
      </c>
      <c r="Y87" s="156"/>
      <c r="Z87" s="156" t="s">
        <v>85</v>
      </c>
      <c r="AA87" s="156" t="s">
        <v>177</v>
      </c>
      <c r="AB87" s="156" t="s">
        <v>134</v>
      </c>
      <c r="AC87" s="156"/>
      <c r="AD87" s="156"/>
      <c r="AE87" s="158">
        <v>0.52053240740740747</v>
      </c>
      <c r="AF87" s="156" t="s">
        <v>178</v>
      </c>
      <c r="AG87" s="159" t="s">
        <v>137</v>
      </c>
      <c r="AH87" s="32"/>
    </row>
    <row r="88" spans="1:34" ht="15" x14ac:dyDescent="0.25">
      <c r="A88" s="155">
        <v>1045649</v>
      </c>
      <c r="B88" s="156" t="s">
        <v>60</v>
      </c>
      <c r="C88" s="156" t="s">
        <v>56</v>
      </c>
      <c r="D88" s="157">
        <v>46132</v>
      </c>
      <c r="E88" s="157">
        <v>46132</v>
      </c>
      <c r="F88" s="156"/>
      <c r="G88" s="156">
        <v>692</v>
      </c>
      <c r="H88" s="156" t="s">
        <v>176</v>
      </c>
      <c r="I88" s="156">
        <v>1386</v>
      </c>
      <c r="J88" s="156">
        <v>219132</v>
      </c>
      <c r="K88" s="156"/>
      <c r="L88" s="156" t="s">
        <v>277</v>
      </c>
      <c r="M88" s="156" t="s">
        <v>57</v>
      </c>
      <c r="N88" s="156" t="s">
        <v>58</v>
      </c>
      <c r="O88" s="157">
        <v>46132</v>
      </c>
      <c r="P88" s="229">
        <v>1749</v>
      </c>
      <c r="Q88" s="180" t="s">
        <v>59</v>
      </c>
      <c r="R88" s="180">
        <v>50.55</v>
      </c>
      <c r="S88" s="180">
        <v>22.57</v>
      </c>
      <c r="T88" s="180">
        <v>4.0599999999999996</v>
      </c>
      <c r="U88" s="180">
        <v>1694.39</v>
      </c>
      <c r="V88" s="230">
        <v>0</v>
      </c>
      <c r="W88" s="156"/>
      <c r="X88" s="156">
        <v>20260421</v>
      </c>
      <c r="Y88" s="156"/>
      <c r="Z88" s="156" t="s">
        <v>84</v>
      </c>
      <c r="AA88" s="156" t="s">
        <v>177</v>
      </c>
      <c r="AB88" s="156" t="s">
        <v>137</v>
      </c>
      <c r="AC88" s="156"/>
      <c r="AD88" s="156"/>
      <c r="AE88" s="158">
        <v>0.66466435185185191</v>
      </c>
      <c r="AF88" s="156" t="s">
        <v>178</v>
      </c>
      <c r="AG88" s="159" t="s">
        <v>137</v>
      </c>
      <c r="AH88" s="32"/>
    </row>
    <row r="89" spans="1:34" ht="15" x14ac:dyDescent="0.25">
      <c r="A89" s="155">
        <v>1045649</v>
      </c>
      <c r="B89" s="156" t="s">
        <v>60</v>
      </c>
      <c r="C89" s="156" t="s">
        <v>56</v>
      </c>
      <c r="D89" s="157">
        <v>46132</v>
      </c>
      <c r="E89" s="157">
        <v>46132</v>
      </c>
      <c r="F89" s="156"/>
      <c r="G89" s="156">
        <v>692</v>
      </c>
      <c r="H89" s="156" t="s">
        <v>176</v>
      </c>
      <c r="I89" s="156">
        <v>1392</v>
      </c>
      <c r="J89" s="156">
        <v>622431</v>
      </c>
      <c r="K89" s="156"/>
      <c r="L89" s="156" t="s">
        <v>186</v>
      </c>
      <c r="M89" s="156" t="s">
        <v>57</v>
      </c>
      <c r="N89" s="156" t="s">
        <v>58</v>
      </c>
      <c r="O89" s="157">
        <v>46132</v>
      </c>
      <c r="P89" s="229">
        <v>19.899999999999999</v>
      </c>
      <c r="Q89" s="180" t="s">
        <v>59</v>
      </c>
      <c r="R89" s="180">
        <v>0.57999999999999996</v>
      </c>
      <c r="S89" s="180">
        <v>0.26</v>
      </c>
      <c r="T89" s="180">
        <v>0.05</v>
      </c>
      <c r="U89" s="180">
        <v>19.27</v>
      </c>
      <c r="V89" s="230">
        <v>0</v>
      </c>
      <c r="W89" s="156"/>
      <c r="X89" s="156">
        <v>20260421</v>
      </c>
      <c r="Y89" s="156"/>
      <c r="Z89" s="156" t="s">
        <v>84</v>
      </c>
      <c r="AA89" s="156" t="s">
        <v>177</v>
      </c>
      <c r="AB89" s="156" t="s">
        <v>134</v>
      </c>
      <c r="AC89" s="156"/>
      <c r="AD89" s="156"/>
      <c r="AE89" s="158">
        <v>0.86741898148148155</v>
      </c>
      <c r="AF89" s="156" t="s">
        <v>178</v>
      </c>
      <c r="AG89" s="159" t="s">
        <v>137</v>
      </c>
      <c r="AH89" s="32"/>
    </row>
    <row r="90" spans="1:34" ht="15" x14ac:dyDescent="0.25">
      <c r="A90" s="155">
        <v>1045649</v>
      </c>
      <c r="B90" s="156" t="s">
        <v>60</v>
      </c>
      <c r="C90" s="156" t="s">
        <v>56</v>
      </c>
      <c r="D90" s="157">
        <v>46132</v>
      </c>
      <c r="E90" s="157">
        <v>46132</v>
      </c>
      <c r="F90" s="156"/>
      <c r="G90" s="156">
        <v>692</v>
      </c>
      <c r="H90" s="156" t="s">
        <v>176</v>
      </c>
      <c r="I90" s="156">
        <v>1394</v>
      </c>
      <c r="J90" s="156">
        <v>887884</v>
      </c>
      <c r="K90" s="156"/>
      <c r="L90" s="156" t="s">
        <v>278</v>
      </c>
      <c r="M90" s="156" t="s">
        <v>57</v>
      </c>
      <c r="N90" s="156" t="s">
        <v>58</v>
      </c>
      <c r="O90" s="157">
        <v>46132</v>
      </c>
      <c r="P90" s="229">
        <v>629</v>
      </c>
      <c r="Q90" s="180" t="s">
        <v>59</v>
      </c>
      <c r="R90" s="180">
        <v>18.18</v>
      </c>
      <c r="S90" s="180">
        <v>8.1199999999999992</v>
      </c>
      <c r="T90" s="180">
        <v>1.46</v>
      </c>
      <c r="U90" s="180">
        <v>609.36</v>
      </c>
      <c r="V90" s="231">
        <v>2941.67</v>
      </c>
      <c r="W90" s="157">
        <v>46133</v>
      </c>
      <c r="X90" s="156">
        <v>20260421</v>
      </c>
      <c r="Y90" s="156"/>
      <c r="Z90" s="156" t="s">
        <v>84</v>
      </c>
      <c r="AA90" s="156" t="s">
        <v>177</v>
      </c>
      <c r="AB90" s="156" t="s">
        <v>95</v>
      </c>
      <c r="AC90" s="156"/>
      <c r="AD90" s="156"/>
      <c r="AE90" s="158">
        <v>0.87059027777777775</v>
      </c>
      <c r="AF90" s="156" t="s">
        <v>178</v>
      </c>
      <c r="AG90" s="159" t="s">
        <v>137</v>
      </c>
      <c r="AH90" s="32"/>
    </row>
    <row r="91" spans="1:34" ht="15" x14ac:dyDescent="0.25">
      <c r="A91" s="217"/>
      <c r="B91" s="164"/>
      <c r="C91" s="164"/>
      <c r="D91" s="165"/>
      <c r="E91" s="165"/>
      <c r="F91" s="164"/>
      <c r="G91" s="164"/>
      <c r="H91" s="164"/>
      <c r="I91" s="164"/>
      <c r="J91" s="164"/>
      <c r="K91" s="164"/>
      <c r="L91" s="164"/>
      <c r="M91" s="164"/>
      <c r="N91" s="164"/>
      <c r="O91" s="165"/>
      <c r="P91" s="166"/>
      <c r="Q91" s="164"/>
      <c r="R91" s="218"/>
      <c r="S91" s="218"/>
      <c r="T91" s="218"/>
      <c r="U91" s="218"/>
      <c r="V91" s="169"/>
      <c r="W91" s="164"/>
      <c r="X91" s="164"/>
      <c r="Y91" s="164"/>
      <c r="Z91" s="156"/>
      <c r="AA91" s="156"/>
      <c r="AB91" s="156"/>
      <c r="AC91" s="156"/>
      <c r="AD91" s="156"/>
      <c r="AE91" s="158"/>
      <c r="AF91" s="164"/>
      <c r="AG91" s="168"/>
      <c r="AH91" s="32"/>
    </row>
    <row r="92" spans="1:34" ht="15" x14ac:dyDescent="0.25">
      <c r="A92" s="217"/>
      <c r="B92" s="164"/>
      <c r="C92" s="164"/>
      <c r="D92" s="165"/>
      <c r="E92" s="165"/>
      <c r="F92" s="164"/>
      <c r="G92" s="164"/>
      <c r="H92" s="164"/>
      <c r="I92" s="164"/>
      <c r="J92" s="164"/>
      <c r="K92" s="164"/>
      <c r="L92" s="164"/>
      <c r="M92" s="164"/>
      <c r="N92" s="164"/>
      <c r="O92" s="165"/>
      <c r="P92" s="166"/>
      <c r="Q92" s="164"/>
      <c r="R92" s="218"/>
      <c r="S92" s="218"/>
      <c r="T92" s="218"/>
      <c r="U92" s="218"/>
      <c r="V92" s="169"/>
      <c r="W92" s="164"/>
      <c r="X92" s="164"/>
      <c r="Y92" s="164"/>
      <c r="Z92" s="156"/>
      <c r="AA92" s="156"/>
      <c r="AB92" s="156"/>
      <c r="AC92" s="156"/>
      <c r="AD92" s="156"/>
      <c r="AE92" s="158"/>
      <c r="AF92" s="164"/>
      <c r="AG92" s="168"/>
      <c r="AH92" s="32"/>
    </row>
    <row r="93" spans="1:34" ht="15" x14ac:dyDescent="0.25">
      <c r="A93" s="217"/>
      <c r="B93" s="164"/>
      <c r="C93" s="164"/>
      <c r="D93" s="165"/>
      <c r="E93" s="165"/>
      <c r="F93" s="164"/>
      <c r="G93" s="164"/>
      <c r="H93" s="164"/>
      <c r="I93" s="164"/>
      <c r="J93" s="164"/>
      <c r="K93" s="164"/>
      <c r="L93" s="164"/>
      <c r="M93" s="164"/>
      <c r="N93" s="164"/>
      <c r="O93" s="165"/>
      <c r="P93" s="166"/>
      <c r="Q93" s="164"/>
      <c r="R93" s="218"/>
      <c r="S93" s="218"/>
      <c r="T93" s="218"/>
      <c r="U93" s="218"/>
      <c r="V93" s="169"/>
      <c r="W93" s="164"/>
      <c r="X93" s="164"/>
      <c r="Y93" s="164"/>
      <c r="Z93" s="156"/>
      <c r="AA93" s="156"/>
      <c r="AB93" s="156"/>
      <c r="AC93" s="156"/>
      <c r="AD93" s="156"/>
      <c r="AE93" s="158"/>
      <c r="AF93" s="164"/>
      <c r="AG93" s="168"/>
      <c r="AH93" s="32"/>
    </row>
    <row r="94" spans="1:34" ht="15" x14ac:dyDescent="0.25">
      <c r="A94" s="217"/>
      <c r="B94" s="164"/>
      <c r="C94" s="164"/>
      <c r="D94" s="165"/>
      <c r="E94" s="165"/>
      <c r="F94" s="164"/>
      <c r="G94" s="164"/>
      <c r="H94" s="164"/>
      <c r="I94" s="164"/>
      <c r="J94" s="164"/>
      <c r="K94" s="164"/>
      <c r="L94" s="164"/>
      <c r="M94" s="164"/>
      <c r="N94" s="164"/>
      <c r="O94" s="165"/>
      <c r="P94" s="166"/>
      <c r="Q94" s="164"/>
      <c r="R94" s="218"/>
      <c r="S94" s="218"/>
      <c r="T94" s="218"/>
      <c r="U94" s="218"/>
      <c r="V94" s="169"/>
      <c r="W94" s="165"/>
      <c r="X94" s="164"/>
      <c r="Y94" s="164"/>
      <c r="Z94" s="156"/>
      <c r="AA94" s="156"/>
      <c r="AB94" s="156"/>
      <c r="AC94" s="156"/>
      <c r="AD94" s="156"/>
      <c r="AE94" s="158"/>
      <c r="AF94" s="164"/>
      <c r="AG94" s="168"/>
      <c r="AH94" s="32"/>
    </row>
    <row r="95" spans="1:34" ht="15" x14ac:dyDescent="0.25">
      <c r="A95" s="217"/>
      <c r="B95" s="164"/>
      <c r="C95" s="164"/>
      <c r="D95" s="165"/>
      <c r="E95" s="165"/>
      <c r="F95" s="164"/>
      <c r="G95" s="164"/>
      <c r="H95" s="164"/>
      <c r="I95" s="164"/>
      <c r="J95" s="164"/>
      <c r="K95" s="164"/>
      <c r="L95" s="164"/>
      <c r="M95" s="164"/>
      <c r="N95" s="164"/>
      <c r="O95" s="165"/>
      <c r="P95" s="166"/>
      <c r="Q95" s="164"/>
      <c r="R95" s="218"/>
      <c r="S95" s="218"/>
      <c r="T95" s="218"/>
      <c r="U95" s="218"/>
      <c r="V95" s="169"/>
      <c r="W95" s="164"/>
      <c r="X95" s="164"/>
      <c r="Y95" s="164"/>
      <c r="Z95" s="156"/>
      <c r="AA95" s="156"/>
      <c r="AB95" s="156"/>
      <c r="AC95" s="156"/>
      <c r="AD95" s="156"/>
      <c r="AE95" s="158"/>
      <c r="AF95" s="164"/>
      <c r="AG95" s="168"/>
      <c r="AH95" s="32"/>
    </row>
    <row r="96" spans="1:34" ht="15" x14ac:dyDescent="0.25">
      <c r="A96" s="217"/>
      <c r="B96" s="164"/>
      <c r="C96" s="164"/>
      <c r="D96" s="165"/>
      <c r="E96" s="165"/>
      <c r="F96" s="164"/>
      <c r="G96" s="164"/>
      <c r="H96" s="164"/>
      <c r="I96" s="164"/>
      <c r="J96" s="164"/>
      <c r="K96" s="164"/>
      <c r="L96" s="164"/>
      <c r="M96" s="164"/>
      <c r="N96" s="164"/>
      <c r="O96" s="165"/>
      <c r="P96" s="166"/>
      <c r="Q96" s="164"/>
      <c r="R96" s="218"/>
      <c r="S96" s="218"/>
      <c r="T96" s="218"/>
      <c r="U96" s="218"/>
      <c r="V96" s="169"/>
      <c r="W96" s="164"/>
      <c r="X96" s="164"/>
      <c r="Y96" s="164"/>
      <c r="Z96" s="156"/>
      <c r="AA96" s="156"/>
      <c r="AB96" s="156"/>
      <c r="AC96" s="156"/>
      <c r="AD96" s="156"/>
      <c r="AE96" s="158"/>
      <c r="AF96" s="164"/>
      <c r="AG96" s="168"/>
      <c r="AH96" s="32"/>
    </row>
    <row r="97" spans="1:34" ht="15" x14ac:dyDescent="0.25">
      <c r="A97" s="217"/>
      <c r="B97" s="164"/>
      <c r="C97" s="164"/>
      <c r="D97" s="165"/>
      <c r="E97" s="165"/>
      <c r="F97" s="164"/>
      <c r="G97" s="164"/>
      <c r="H97" s="164"/>
      <c r="I97" s="164"/>
      <c r="J97" s="164"/>
      <c r="K97" s="164"/>
      <c r="L97" s="164"/>
      <c r="M97" s="164"/>
      <c r="N97" s="164"/>
      <c r="O97" s="165"/>
      <c r="P97" s="166"/>
      <c r="Q97" s="164"/>
      <c r="R97" s="218"/>
      <c r="S97" s="218"/>
      <c r="T97" s="218"/>
      <c r="U97" s="218"/>
      <c r="V97" s="169"/>
      <c r="W97" s="164"/>
      <c r="X97" s="164"/>
      <c r="Y97" s="164"/>
      <c r="Z97" s="156"/>
      <c r="AA97" s="156"/>
      <c r="AB97" s="156"/>
      <c r="AC97" s="156"/>
      <c r="AD97" s="156"/>
      <c r="AE97" s="158"/>
      <c r="AF97" s="164"/>
      <c r="AG97" s="168"/>
      <c r="AH97" s="32"/>
    </row>
    <row r="98" spans="1:34" ht="15" x14ac:dyDescent="0.25">
      <c r="A98" s="217"/>
      <c r="B98" s="164"/>
      <c r="C98" s="164"/>
      <c r="D98" s="165"/>
      <c r="E98" s="165"/>
      <c r="F98" s="164"/>
      <c r="G98" s="164"/>
      <c r="H98" s="164"/>
      <c r="I98" s="164"/>
      <c r="J98" s="164"/>
      <c r="K98" s="164"/>
      <c r="L98" s="164"/>
      <c r="M98" s="164"/>
      <c r="N98" s="164"/>
      <c r="O98" s="165"/>
      <c r="P98" s="166"/>
      <c r="Q98" s="164"/>
      <c r="R98" s="218"/>
      <c r="S98" s="218"/>
      <c r="T98" s="218"/>
      <c r="U98" s="218"/>
      <c r="V98" s="169"/>
      <c r="W98" s="164"/>
      <c r="X98" s="164"/>
      <c r="Y98" s="164"/>
      <c r="Z98" s="156"/>
      <c r="AA98" s="156"/>
      <c r="AB98" s="156"/>
      <c r="AC98" s="156"/>
      <c r="AD98" s="156"/>
      <c r="AE98" s="158"/>
      <c r="AF98" s="164"/>
      <c r="AG98" s="168"/>
      <c r="AH98" s="32"/>
    </row>
    <row r="99" spans="1:34" ht="15" x14ac:dyDescent="0.25">
      <c r="A99" s="217"/>
      <c r="B99" s="164"/>
      <c r="C99" s="164"/>
      <c r="D99" s="165"/>
      <c r="E99" s="165"/>
      <c r="F99" s="164"/>
      <c r="G99" s="164"/>
      <c r="H99" s="164"/>
      <c r="I99" s="164"/>
      <c r="J99" s="164"/>
      <c r="K99" s="164"/>
      <c r="L99" s="164"/>
      <c r="M99" s="164"/>
      <c r="N99" s="164"/>
      <c r="O99" s="165"/>
      <c r="P99" s="166"/>
      <c r="Q99" s="164"/>
      <c r="R99" s="218"/>
      <c r="S99" s="218"/>
      <c r="T99" s="218"/>
      <c r="U99" s="218"/>
      <c r="V99" s="169"/>
      <c r="W99" s="164"/>
      <c r="X99" s="164"/>
      <c r="Y99" s="164"/>
      <c r="Z99" s="156"/>
      <c r="AA99" s="156"/>
      <c r="AB99" s="156"/>
      <c r="AC99" s="156"/>
      <c r="AD99" s="156"/>
      <c r="AE99" s="158"/>
      <c r="AF99" s="164"/>
      <c r="AG99" s="168"/>
      <c r="AH99" s="32"/>
    </row>
    <row r="100" spans="1:34" ht="15" x14ac:dyDescent="0.25">
      <c r="A100" s="217"/>
      <c r="B100" s="164"/>
      <c r="C100" s="164"/>
      <c r="D100" s="165"/>
      <c r="E100" s="165"/>
      <c r="F100" s="164"/>
      <c r="G100" s="164"/>
      <c r="H100" s="164"/>
      <c r="I100" s="164"/>
      <c r="J100" s="164"/>
      <c r="K100" s="164"/>
      <c r="L100" s="164"/>
      <c r="M100" s="164"/>
      <c r="N100" s="164"/>
      <c r="O100" s="165"/>
      <c r="P100" s="166"/>
      <c r="Q100" s="164"/>
      <c r="R100" s="218"/>
      <c r="S100" s="218"/>
      <c r="T100" s="218"/>
      <c r="U100" s="218"/>
      <c r="V100" s="169"/>
      <c r="W100" s="164"/>
      <c r="X100" s="164"/>
      <c r="Y100" s="164"/>
      <c r="Z100" s="156"/>
      <c r="AA100" s="156"/>
      <c r="AB100" s="156"/>
      <c r="AC100" s="156"/>
      <c r="AD100" s="156"/>
      <c r="AE100" s="158"/>
      <c r="AF100" s="164"/>
      <c r="AG100" s="168"/>
      <c r="AH100" s="32"/>
    </row>
    <row r="101" spans="1:34" ht="15" x14ac:dyDescent="0.25">
      <c r="A101" s="217"/>
      <c r="B101" s="164"/>
      <c r="C101" s="164"/>
      <c r="D101" s="165"/>
      <c r="E101" s="165"/>
      <c r="F101" s="164"/>
      <c r="G101" s="164"/>
      <c r="H101" s="164"/>
      <c r="I101" s="164"/>
      <c r="J101" s="164"/>
      <c r="K101" s="164"/>
      <c r="L101" s="164"/>
      <c r="M101" s="164"/>
      <c r="N101" s="164"/>
      <c r="O101" s="165"/>
      <c r="P101" s="166"/>
      <c r="Q101" s="164"/>
      <c r="R101" s="218"/>
      <c r="S101" s="218"/>
      <c r="T101" s="218"/>
      <c r="U101" s="218"/>
      <c r="V101" s="169"/>
      <c r="W101" s="165"/>
      <c r="X101" s="164"/>
      <c r="Y101" s="164"/>
      <c r="Z101" s="156"/>
      <c r="AA101" s="156"/>
      <c r="AB101" s="156"/>
      <c r="AC101" s="156"/>
      <c r="AD101" s="156"/>
      <c r="AE101" s="158"/>
      <c r="AF101" s="164"/>
      <c r="AG101" s="168"/>
      <c r="AH101" s="32"/>
    </row>
    <row r="102" spans="1:34" ht="15" x14ac:dyDescent="0.25">
      <c r="A102" s="217"/>
      <c r="B102" s="164"/>
      <c r="C102" s="164"/>
      <c r="D102" s="165"/>
      <c r="E102" s="165"/>
      <c r="F102" s="164"/>
      <c r="G102" s="164"/>
      <c r="H102" s="164"/>
      <c r="I102" s="164"/>
      <c r="J102" s="164"/>
      <c r="K102" s="164"/>
      <c r="L102" s="164"/>
      <c r="M102" s="164"/>
      <c r="N102" s="164"/>
      <c r="O102" s="165"/>
      <c r="P102" s="166"/>
      <c r="Q102" s="164"/>
      <c r="R102" s="218"/>
      <c r="S102" s="218"/>
      <c r="T102" s="218"/>
      <c r="U102" s="218"/>
      <c r="V102" s="169"/>
      <c r="W102" s="164"/>
      <c r="X102" s="164"/>
      <c r="Y102" s="164"/>
      <c r="Z102" s="156"/>
      <c r="AA102" s="156"/>
      <c r="AB102" s="156"/>
      <c r="AC102" s="156"/>
      <c r="AD102" s="156"/>
      <c r="AE102" s="158"/>
      <c r="AF102" s="164"/>
      <c r="AG102" s="168"/>
      <c r="AH102" s="32"/>
    </row>
    <row r="103" spans="1:34" ht="15" x14ac:dyDescent="0.25">
      <c r="A103" s="217"/>
      <c r="B103" s="164"/>
      <c r="C103" s="164"/>
      <c r="D103" s="165"/>
      <c r="E103" s="165"/>
      <c r="F103" s="164"/>
      <c r="G103" s="164"/>
      <c r="H103" s="164"/>
      <c r="I103" s="164"/>
      <c r="J103" s="164"/>
      <c r="K103" s="164"/>
      <c r="L103" s="164"/>
      <c r="M103" s="164"/>
      <c r="N103" s="164"/>
      <c r="O103" s="165"/>
      <c r="P103" s="166"/>
      <c r="Q103" s="164"/>
      <c r="R103" s="218"/>
      <c r="S103" s="218"/>
      <c r="T103" s="218"/>
      <c r="U103" s="218"/>
      <c r="V103" s="169"/>
      <c r="W103" s="164"/>
      <c r="X103" s="164"/>
      <c r="Y103" s="164"/>
      <c r="Z103" s="156"/>
      <c r="AA103" s="156"/>
      <c r="AB103" s="156"/>
      <c r="AC103" s="156"/>
      <c r="AD103" s="156"/>
      <c r="AE103" s="158"/>
      <c r="AF103" s="164"/>
      <c r="AG103" s="168"/>
      <c r="AH103" s="32"/>
    </row>
    <row r="104" spans="1:34" ht="15" x14ac:dyDescent="0.25">
      <c r="A104" s="217"/>
      <c r="B104" s="164"/>
      <c r="C104" s="164"/>
      <c r="D104" s="165"/>
      <c r="E104" s="165"/>
      <c r="F104" s="164"/>
      <c r="G104" s="164"/>
      <c r="H104" s="164"/>
      <c r="I104" s="164"/>
      <c r="J104" s="164"/>
      <c r="K104" s="164"/>
      <c r="L104" s="164"/>
      <c r="M104" s="164"/>
      <c r="N104" s="164"/>
      <c r="O104" s="165"/>
      <c r="P104" s="166"/>
      <c r="Q104" s="164"/>
      <c r="R104" s="218"/>
      <c r="S104" s="218"/>
      <c r="T104" s="218"/>
      <c r="U104" s="218"/>
      <c r="V104" s="169"/>
      <c r="W104" s="164"/>
      <c r="X104" s="164"/>
      <c r="Y104" s="164"/>
      <c r="Z104" s="156"/>
      <c r="AA104" s="156"/>
      <c r="AB104" s="156"/>
      <c r="AC104" s="156"/>
      <c r="AD104" s="156"/>
      <c r="AE104" s="158"/>
      <c r="AF104" s="164"/>
      <c r="AG104" s="168"/>
      <c r="AH104" s="32"/>
    </row>
    <row r="105" spans="1:34" ht="15" x14ac:dyDescent="0.25">
      <c r="A105" s="217"/>
      <c r="B105" s="164"/>
      <c r="C105" s="164"/>
      <c r="D105" s="165"/>
      <c r="E105" s="165"/>
      <c r="F105" s="164"/>
      <c r="G105" s="164"/>
      <c r="H105" s="164"/>
      <c r="I105" s="164"/>
      <c r="J105" s="164"/>
      <c r="K105" s="164"/>
      <c r="L105" s="164"/>
      <c r="M105" s="164"/>
      <c r="N105" s="164"/>
      <c r="O105" s="165"/>
      <c r="P105" s="166"/>
      <c r="Q105" s="164"/>
      <c r="R105" s="218"/>
      <c r="S105" s="218"/>
      <c r="T105" s="218"/>
      <c r="U105" s="218"/>
      <c r="V105" s="169"/>
      <c r="W105" s="164"/>
      <c r="X105" s="164"/>
      <c r="Y105" s="164"/>
      <c r="Z105" s="156"/>
      <c r="AA105" s="156"/>
      <c r="AB105" s="156"/>
      <c r="AC105" s="156"/>
      <c r="AD105" s="156"/>
      <c r="AE105" s="158"/>
      <c r="AF105" s="164"/>
      <c r="AG105" s="168"/>
      <c r="AH105" s="32"/>
    </row>
    <row r="106" spans="1:34" ht="15" x14ac:dyDescent="0.25">
      <c r="A106" s="217"/>
      <c r="B106" s="164"/>
      <c r="C106" s="164"/>
      <c r="D106" s="165"/>
      <c r="E106" s="165"/>
      <c r="F106" s="164"/>
      <c r="G106" s="164"/>
      <c r="H106" s="164"/>
      <c r="I106" s="164"/>
      <c r="J106" s="164"/>
      <c r="K106" s="164"/>
      <c r="L106" s="164"/>
      <c r="M106" s="164"/>
      <c r="N106" s="164"/>
      <c r="O106" s="165"/>
      <c r="P106" s="166"/>
      <c r="Q106" s="164"/>
      <c r="R106" s="218"/>
      <c r="S106" s="218"/>
      <c r="T106" s="218"/>
      <c r="U106" s="218"/>
      <c r="V106" s="169"/>
      <c r="W106" s="164"/>
      <c r="X106" s="164"/>
      <c r="Y106" s="164"/>
      <c r="Z106" s="156"/>
      <c r="AA106" s="156"/>
      <c r="AB106" s="156"/>
      <c r="AC106" s="156"/>
      <c r="AD106" s="156"/>
      <c r="AE106" s="158"/>
      <c r="AF106" s="164"/>
      <c r="AG106" s="168"/>
      <c r="AH106" s="32"/>
    </row>
    <row r="107" spans="1:34" ht="15" x14ac:dyDescent="0.25">
      <c r="A107" s="217"/>
      <c r="B107" s="164"/>
      <c r="C107" s="164"/>
      <c r="D107" s="165"/>
      <c r="E107" s="165"/>
      <c r="F107" s="164"/>
      <c r="G107" s="164"/>
      <c r="H107" s="164"/>
      <c r="I107" s="164"/>
      <c r="J107" s="164"/>
      <c r="K107" s="164"/>
      <c r="L107" s="164"/>
      <c r="M107" s="164"/>
      <c r="N107" s="164"/>
      <c r="O107" s="165"/>
      <c r="P107" s="166"/>
      <c r="Q107" s="164"/>
      <c r="R107" s="218"/>
      <c r="S107" s="218"/>
      <c r="T107" s="218"/>
      <c r="U107" s="218"/>
      <c r="V107" s="169"/>
      <c r="W107" s="164"/>
      <c r="X107" s="164"/>
      <c r="Y107" s="164"/>
      <c r="Z107" s="156"/>
      <c r="AA107" s="156"/>
      <c r="AB107" s="156"/>
      <c r="AC107" s="156"/>
      <c r="AD107" s="156"/>
      <c r="AE107" s="158"/>
      <c r="AF107" s="164"/>
      <c r="AG107" s="168"/>
      <c r="AH107" s="32"/>
    </row>
    <row r="108" spans="1:34" ht="15" x14ac:dyDescent="0.25">
      <c r="A108" s="217"/>
      <c r="B108" s="164"/>
      <c r="C108" s="164"/>
      <c r="D108" s="165"/>
      <c r="E108" s="165"/>
      <c r="F108" s="164"/>
      <c r="G108" s="164"/>
      <c r="H108" s="164"/>
      <c r="I108" s="164"/>
      <c r="J108" s="164"/>
      <c r="K108" s="164"/>
      <c r="L108" s="164"/>
      <c r="M108" s="164"/>
      <c r="N108" s="164"/>
      <c r="O108" s="165"/>
      <c r="P108" s="166"/>
      <c r="Q108" s="164"/>
      <c r="R108" s="218"/>
      <c r="S108" s="218"/>
      <c r="T108" s="218"/>
      <c r="U108" s="218"/>
      <c r="V108" s="169"/>
      <c r="W108" s="164"/>
      <c r="X108" s="164"/>
      <c r="Y108" s="164"/>
      <c r="Z108" s="156"/>
      <c r="AA108" s="156"/>
      <c r="AB108" s="156"/>
      <c r="AC108" s="156"/>
      <c r="AD108" s="156"/>
      <c r="AE108" s="158"/>
      <c r="AF108" s="164"/>
      <c r="AG108" s="168"/>
      <c r="AH108" s="32"/>
    </row>
    <row r="109" spans="1:34" ht="15" x14ac:dyDescent="0.25">
      <c r="A109" s="217"/>
      <c r="B109" s="164"/>
      <c r="C109" s="164"/>
      <c r="D109" s="165"/>
      <c r="E109" s="165"/>
      <c r="F109" s="164"/>
      <c r="G109" s="164"/>
      <c r="H109" s="164"/>
      <c r="I109" s="164"/>
      <c r="J109" s="164"/>
      <c r="K109" s="164"/>
      <c r="L109" s="164"/>
      <c r="M109" s="164"/>
      <c r="N109" s="164"/>
      <c r="O109" s="165"/>
      <c r="P109" s="166"/>
      <c r="Q109" s="164"/>
      <c r="R109" s="218"/>
      <c r="S109" s="218"/>
      <c r="T109" s="218"/>
      <c r="U109" s="218"/>
      <c r="V109" s="169"/>
      <c r="W109" s="164"/>
      <c r="X109" s="164"/>
      <c r="Y109" s="164"/>
      <c r="Z109" s="156"/>
      <c r="AA109" s="156"/>
      <c r="AB109" s="156"/>
      <c r="AC109" s="156"/>
      <c r="AD109" s="156"/>
      <c r="AE109" s="158"/>
      <c r="AF109" s="164"/>
      <c r="AG109" s="168"/>
      <c r="AH109" s="32"/>
    </row>
    <row r="110" spans="1:34" ht="15" x14ac:dyDescent="0.25">
      <c r="A110" s="217"/>
      <c r="B110" s="164"/>
      <c r="C110" s="164"/>
      <c r="D110" s="165"/>
      <c r="E110" s="165"/>
      <c r="F110" s="164"/>
      <c r="G110" s="164"/>
      <c r="H110" s="164"/>
      <c r="I110" s="164"/>
      <c r="J110" s="164"/>
      <c r="K110" s="164"/>
      <c r="L110" s="164"/>
      <c r="M110" s="164"/>
      <c r="N110" s="164"/>
      <c r="O110" s="165"/>
      <c r="P110" s="166"/>
      <c r="Q110" s="164"/>
      <c r="R110" s="218"/>
      <c r="S110" s="218"/>
      <c r="T110" s="218"/>
      <c r="U110" s="218"/>
      <c r="V110" s="169"/>
      <c r="W110" s="164"/>
      <c r="X110" s="164"/>
      <c r="Y110" s="164"/>
      <c r="Z110" s="156"/>
      <c r="AA110" s="156"/>
      <c r="AB110" s="156"/>
      <c r="AC110" s="156"/>
      <c r="AD110" s="156"/>
      <c r="AE110" s="158"/>
      <c r="AF110" s="164"/>
      <c r="AG110" s="168"/>
      <c r="AH110" s="32"/>
    </row>
    <row r="111" spans="1:34" ht="15" x14ac:dyDescent="0.25">
      <c r="A111" s="217"/>
      <c r="B111" s="164"/>
      <c r="C111" s="164"/>
      <c r="D111" s="165"/>
      <c r="E111" s="165"/>
      <c r="F111" s="164"/>
      <c r="G111" s="164"/>
      <c r="H111" s="164"/>
      <c r="I111" s="164"/>
      <c r="J111" s="164"/>
      <c r="K111" s="164"/>
      <c r="L111" s="164"/>
      <c r="M111" s="164"/>
      <c r="N111" s="164"/>
      <c r="O111" s="165"/>
      <c r="P111" s="166"/>
      <c r="Q111" s="164"/>
      <c r="R111" s="218"/>
      <c r="S111" s="218"/>
      <c r="T111" s="218"/>
      <c r="U111" s="218"/>
      <c r="V111" s="169"/>
      <c r="W111" s="164"/>
      <c r="X111" s="164"/>
      <c r="Y111" s="164"/>
      <c r="Z111" s="156"/>
      <c r="AA111" s="156"/>
      <c r="AB111" s="156"/>
      <c r="AC111" s="156"/>
      <c r="AD111" s="156"/>
      <c r="AE111" s="158"/>
      <c r="AF111" s="164"/>
      <c r="AG111" s="168"/>
      <c r="AH111" s="32"/>
    </row>
    <row r="112" spans="1:34" ht="15" x14ac:dyDescent="0.25">
      <c r="A112" s="217"/>
      <c r="B112" s="164"/>
      <c r="C112" s="164"/>
      <c r="D112" s="165"/>
      <c r="E112" s="165"/>
      <c r="F112" s="164"/>
      <c r="G112" s="164"/>
      <c r="H112" s="164"/>
      <c r="I112" s="164"/>
      <c r="J112" s="164"/>
      <c r="K112" s="164"/>
      <c r="L112" s="164"/>
      <c r="M112" s="164"/>
      <c r="N112" s="164"/>
      <c r="O112" s="165"/>
      <c r="P112" s="166"/>
      <c r="Q112" s="164"/>
      <c r="R112" s="218"/>
      <c r="S112" s="218"/>
      <c r="T112" s="218"/>
      <c r="U112" s="218"/>
      <c r="V112" s="169"/>
      <c r="W112" s="164"/>
      <c r="X112" s="164"/>
      <c r="Y112" s="164"/>
      <c r="Z112" s="156"/>
      <c r="AA112" s="156"/>
      <c r="AB112" s="156"/>
      <c r="AC112" s="156"/>
      <c r="AD112" s="156"/>
      <c r="AE112" s="158"/>
      <c r="AF112" s="164"/>
      <c r="AG112" s="168"/>
      <c r="AH112" s="32"/>
    </row>
    <row r="113" spans="1:34" ht="15" x14ac:dyDescent="0.25">
      <c r="A113" s="217"/>
      <c r="B113" s="164"/>
      <c r="C113" s="164"/>
      <c r="D113" s="165"/>
      <c r="E113" s="165"/>
      <c r="F113" s="164"/>
      <c r="G113" s="164"/>
      <c r="H113" s="164"/>
      <c r="I113" s="164"/>
      <c r="J113" s="164"/>
      <c r="K113" s="164"/>
      <c r="L113" s="164"/>
      <c r="M113" s="164"/>
      <c r="N113" s="164"/>
      <c r="O113" s="165"/>
      <c r="P113" s="166"/>
      <c r="Q113" s="164"/>
      <c r="R113" s="218"/>
      <c r="S113" s="218"/>
      <c r="T113" s="218"/>
      <c r="U113" s="218"/>
      <c r="V113" s="169"/>
      <c r="W113" s="165"/>
      <c r="X113" s="164"/>
      <c r="Y113" s="164"/>
      <c r="Z113" s="156"/>
      <c r="AA113" s="156"/>
      <c r="AB113" s="156"/>
      <c r="AC113" s="156"/>
      <c r="AD113" s="156"/>
      <c r="AE113" s="158"/>
      <c r="AF113" s="164"/>
      <c r="AG113" s="168"/>
      <c r="AH113" s="32"/>
    </row>
    <row r="114" spans="1:34" ht="15" x14ac:dyDescent="0.25">
      <c r="A114" s="217"/>
      <c r="B114" s="164"/>
      <c r="C114" s="164"/>
      <c r="D114" s="165"/>
      <c r="E114" s="165"/>
      <c r="F114" s="164"/>
      <c r="G114" s="164"/>
      <c r="H114" s="164"/>
      <c r="I114" s="164"/>
      <c r="J114" s="164"/>
      <c r="K114" s="164"/>
      <c r="L114" s="164"/>
      <c r="M114" s="164"/>
      <c r="N114" s="164"/>
      <c r="O114" s="165"/>
      <c r="P114" s="166"/>
      <c r="Q114" s="164"/>
      <c r="R114" s="218"/>
      <c r="S114" s="218"/>
      <c r="T114" s="218"/>
      <c r="U114" s="218"/>
      <c r="V114" s="169"/>
      <c r="W114" s="164"/>
      <c r="X114" s="164"/>
      <c r="Y114" s="164"/>
      <c r="Z114" s="156"/>
      <c r="AA114" s="156"/>
      <c r="AB114" s="156"/>
      <c r="AC114" s="156"/>
      <c r="AD114" s="156"/>
      <c r="AE114" s="158"/>
      <c r="AF114" s="164"/>
      <c r="AG114" s="168"/>
      <c r="AH114" s="32"/>
    </row>
    <row r="115" spans="1:34" ht="15" x14ac:dyDescent="0.25">
      <c r="A115" s="217"/>
      <c r="B115" s="164"/>
      <c r="C115" s="164"/>
      <c r="D115" s="165"/>
      <c r="E115" s="165"/>
      <c r="F115" s="164"/>
      <c r="G115" s="164"/>
      <c r="H115" s="164"/>
      <c r="I115" s="164"/>
      <c r="J115" s="164"/>
      <c r="K115" s="164"/>
      <c r="L115" s="164"/>
      <c r="M115" s="164"/>
      <c r="N115" s="164"/>
      <c r="O115" s="165"/>
      <c r="P115" s="166"/>
      <c r="Q115" s="164"/>
      <c r="R115" s="218"/>
      <c r="S115" s="218"/>
      <c r="T115" s="218"/>
      <c r="U115" s="218"/>
      <c r="V115" s="169"/>
      <c r="W115" s="164"/>
      <c r="X115" s="164"/>
      <c r="Y115" s="164"/>
      <c r="Z115" s="156"/>
      <c r="AA115" s="156"/>
      <c r="AB115" s="156"/>
      <c r="AC115" s="156"/>
      <c r="AD115" s="156"/>
      <c r="AE115" s="158"/>
      <c r="AF115" s="164"/>
      <c r="AG115" s="168"/>
      <c r="AH115" s="32"/>
    </row>
    <row r="116" spans="1:34" ht="15" x14ac:dyDescent="0.25">
      <c r="A116" s="217"/>
      <c r="B116" s="164"/>
      <c r="C116" s="164"/>
      <c r="D116" s="165"/>
      <c r="E116" s="165"/>
      <c r="F116" s="164"/>
      <c r="G116" s="164"/>
      <c r="H116" s="164"/>
      <c r="I116" s="164"/>
      <c r="J116" s="164"/>
      <c r="K116" s="164"/>
      <c r="L116" s="164"/>
      <c r="M116" s="164"/>
      <c r="N116" s="164"/>
      <c r="O116" s="165"/>
      <c r="P116" s="166"/>
      <c r="Q116" s="164"/>
      <c r="R116" s="218"/>
      <c r="S116" s="218"/>
      <c r="T116" s="218"/>
      <c r="U116" s="218"/>
      <c r="V116" s="169"/>
      <c r="W116" s="164"/>
      <c r="X116" s="164"/>
      <c r="Y116" s="164"/>
      <c r="Z116" s="156"/>
      <c r="AA116" s="156"/>
      <c r="AB116" s="156"/>
      <c r="AC116" s="156"/>
      <c r="AD116" s="156"/>
      <c r="AE116" s="158"/>
      <c r="AF116" s="164"/>
      <c r="AG116" s="168"/>
      <c r="AH116" s="32"/>
    </row>
    <row r="117" spans="1:34" ht="15" x14ac:dyDescent="0.25">
      <c r="A117" s="217"/>
      <c r="B117" s="164"/>
      <c r="C117" s="164"/>
      <c r="D117" s="165"/>
      <c r="E117" s="165"/>
      <c r="F117" s="164"/>
      <c r="G117" s="164"/>
      <c r="H117" s="164"/>
      <c r="I117" s="164"/>
      <c r="J117" s="164"/>
      <c r="K117" s="164"/>
      <c r="L117" s="164"/>
      <c r="M117" s="164"/>
      <c r="N117" s="164"/>
      <c r="O117" s="165"/>
      <c r="P117" s="166"/>
      <c r="Q117" s="164"/>
      <c r="R117" s="218"/>
      <c r="S117" s="218"/>
      <c r="T117" s="218"/>
      <c r="U117" s="218"/>
      <c r="V117" s="169"/>
      <c r="W117" s="164"/>
      <c r="X117" s="164"/>
      <c r="Y117" s="164"/>
      <c r="Z117" s="156"/>
      <c r="AA117" s="156"/>
      <c r="AB117" s="156"/>
      <c r="AC117" s="156"/>
      <c r="AD117" s="156"/>
      <c r="AE117" s="158"/>
      <c r="AF117" s="164"/>
      <c r="AG117" s="168"/>
      <c r="AH117" s="32"/>
    </row>
    <row r="118" spans="1:34" ht="15" x14ac:dyDescent="0.25">
      <c r="A118" s="217"/>
      <c r="B118" s="164"/>
      <c r="C118" s="164"/>
      <c r="D118" s="165"/>
      <c r="E118" s="165"/>
      <c r="F118" s="164"/>
      <c r="G118" s="164"/>
      <c r="H118" s="164"/>
      <c r="I118" s="164"/>
      <c r="J118" s="164"/>
      <c r="K118" s="164"/>
      <c r="L118" s="164"/>
      <c r="M118" s="164"/>
      <c r="N118" s="164"/>
      <c r="O118" s="165"/>
      <c r="P118" s="166"/>
      <c r="Q118" s="164"/>
      <c r="R118" s="218"/>
      <c r="S118" s="218"/>
      <c r="T118" s="218"/>
      <c r="U118" s="218"/>
      <c r="V118" s="169"/>
      <c r="W118" s="164"/>
      <c r="X118" s="164"/>
      <c r="Y118" s="164"/>
      <c r="Z118" s="156"/>
      <c r="AA118" s="156"/>
      <c r="AB118" s="156"/>
      <c r="AC118" s="156"/>
      <c r="AD118" s="156"/>
      <c r="AE118" s="158"/>
      <c r="AF118" s="164"/>
      <c r="AG118" s="168"/>
      <c r="AH118" s="32"/>
    </row>
    <row r="119" spans="1:34" ht="15" x14ac:dyDescent="0.25">
      <c r="A119" s="217"/>
      <c r="B119" s="164"/>
      <c r="C119" s="164"/>
      <c r="D119" s="165"/>
      <c r="E119" s="165"/>
      <c r="F119" s="164"/>
      <c r="G119" s="164"/>
      <c r="H119" s="164"/>
      <c r="I119" s="164"/>
      <c r="J119" s="164"/>
      <c r="K119" s="164"/>
      <c r="L119" s="164"/>
      <c r="M119" s="164"/>
      <c r="N119" s="164"/>
      <c r="O119" s="165"/>
      <c r="P119" s="166"/>
      <c r="Q119" s="164"/>
      <c r="R119" s="218"/>
      <c r="S119" s="218"/>
      <c r="T119" s="218"/>
      <c r="U119" s="218"/>
      <c r="V119" s="169"/>
      <c r="W119" s="164"/>
      <c r="X119" s="164"/>
      <c r="Y119" s="164"/>
      <c r="Z119" s="156"/>
      <c r="AA119" s="156"/>
      <c r="AB119" s="156"/>
      <c r="AC119" s="156"/>
      <c r="AD119" s="156"/>
      <c r="AE119" s="158"/>
      <c r="AF119" s="164"/>
      <c r="AG119" s="168"/>
      <c r="AH119" s="32"/>
    </row>
    <row r="120" spans="1:34" ht="15" x14ac:dyDescent="0.25">
      <c r="A120" s="217"/>
      <c r="B120" s="164"/>
      <c r="C120" s="164"/>
      <c r="D120" s="165"/>
      <c r="E120" s="165"/>
      <c r="F120" s="164"/>
      <c r="G120" s="164"/>
      <c r="H120" s="164"/>
      <c r="I120" s="164"/>
      <c r="J120" s="164"/>
      <c r="K120" s="164"/>
      <c r="L120" s="164"/>
      <c r="M120" s="164"/>
      <c r="N120" s="164"/>
      <c r="O120" s="165"/>
      <c r="P120" s="166"/>
      <c r="Q120" s="164"/>
      <c r="R120" s="218"/>
      <c r="S120" s="218"/>
      <c r="T120" s="218"/>
      <c r="U120" s="218"/>
      <c r="V120" s="169"/>
      <c r="W120" s="164"/>
      <c r="X120" s="164"/>
      <c r="Y120" s="164"/>
      <c r="Z120" s="156"/>
      <c r="AA120" s="156"/>
      <c r="AB120" s="156"/>
      <c r="AC120" s="156"/>
      <c r="AD120" s="156"/>
      <c r="AE120" s="158"/>
      <c r="AF120" s="164"/>
      <c r="AG120" s="168"/>
      <c r="AH120" s="32"/>
    </row>
    <row r="121" spans="1:34" ht="15" x14ac:dyDescent="0.25">
      <c r="A121" s="217"/>
      <c r="B121" s="164"/>
      <c r="C121" s="164"/>
      <c r="D121" s="165"/>
      <c r="E121" s="165"/>
      <c r="F121" s="164"/>
      <c r="G121" s="164"/>
      <c r="H121" s="164"/>
      <c r="I121" s="164"/>
      <c r="J121" s="164"/>
      <c r="K121" s="164"/>
      <c r="L121" s="164"/>
      <c r="M121" s="164"/>
      <c r="N121" s="164"/>
      <c r="O121" s="165"/>
      <c r="P121" s="166"/>
      <c r="Q121" s="164"/>
      <c r="R121" s="218"/>
      <c r="S121" s="218"/>
      <c r="T121" s="218"/>
      <c r="U121" s="218"/>
      <c r="V121" s="169"/>
      <c r="W121" s="164"/>
      <c r="X121" s="164"/>
      <c r="Y121" s="164"/>
      <c r="Z121" s="156"/>
      <c r="AA121" s="156"/>
      <c r="AB121" s="156"/>
      <c r="AC121" s="156"/>
      <c r="AD121" s="156"/>
      <c r="AE121" s="158"/>
      <c r="AF121" s="164"/>
      <c r="AG121" s="168"/>
      <c r="AH121" s="32"/>
    </row>
    <row r="122" spans="1:34" ht="15" x14ac:dyDescent="0.25">
      <c r="A122" s="217"/>
      <c r="B122" s="164"/>
      <c r="C122" s="164"/>
      <c r="D122" s="165"/>
      <c r="E122" s="165"/>
      <c r="F122" s="164"/>
      <c r="G122" s="164"/>
      <c r="H122" s="164"/>
      <c r="I122" s="164"/>
      <c r="J122" s="164"/>
      <c r="K122" s="164"/>
      <c r="L122" s="164"/>
      <c r="M122" s="164"/>
      <c r="N122" s="164"/>
      <c r="O122" s="165"/>
      <c r="P122" s="166"/>
      <c r="Q122" s="164"/>
      <c r="R122" s="218"/>
      <c r="S122" s="218"/>
      <c r="T122" s="218"/>
      <c r="U122" s="218"/>
      <c r="V122" s="169"/>
      <c r="W122" s="164"/>
      <c r="X122" s="164"/>
      <c r="Y122" s="164"/>
      <c r="Z122" s="156"/>
      <c r="AA122" s="156"/>
      <c r="AB122" s="156"/>
      <c r="AC122" s="156"/>
      <c r="AD122" s="156"/>
      <c r="AE122" s="158"/>
      <c r="AF122" s="164"/>
      <c r="AG122" s="168"/>
      <c r="AH122" s="32"/>
    </row>
    <row r="123" spans="1:34" ht="15" x14ac:dyDescent="0.25">
      <c r="A123" s="217"/>
      <c r="B123" s="164"/>
      <c r="C123" s="164"/>
      <c r="D123" s="165"/>
      <c r="E123" s="165"/>
      <c r="F123" s="164"/>
      <c r="G123" s="164"/>
      <c r="H123" s="164"/>
      <c r="I123" s="164"/>
      <c r="J123" s="164"/>
      <c r="K123" s="164"/>
      <c r="L123" s="164"/>
      <c r="M123" s="164"/>
      <c r="N123" s="164"/>
      <c r="O123" s="165"/>
      <c r="P123" s="166"/>
      <c r="Q123" s="164"/>
      <c r="R123" s="218"/>
      <c r="S123" s="218"/>
      <c r="T123" s="218"/>
      <c r="U123" s="218"/>
      <c r="V123" s="169"/>
      <c r="W123" s="164"/>
      <c r="X123" s="164"/>
      <c r="Y123" s="164"/>
      <c r="Z123" s="156"/>
      <c r="AA123" s="156"/>
      <c r="AB123" s="156"/>
      <c r="AC123" s="156"/>
      <c r="AD123" s="156"/>
      <c r="AE123" s="158"/>
      <c r="AF123" s="164"/>
      <c r="AG123" s="168"/>
      <c r="AH123" s="32"/>
    </row>
    <row r="124" spans="1:34" ht="15" x14ac:dyDescent="0.25">
      <c r="A124" s="217"/>
      <c r="B124" s="164"/>
      <c r="C124" s="164"/>
      <c r="D124" s="165"/>
      <c r="E124" s="165"/>
      <c r="F124" s="164"/>
      <c r="G124" s="164"/>
      <c r="H124" s="164"/>
      <c r="I124" s="164"/>
      <c r="J124" s="164"/>
      <c r="K124" s="164"/>
      <c r="L124" s="164"/>
      <c r="M124" s="164"/>
      <c r="N124" s="164"/>
      <c r="O124" s="165"/>
      <c r="P124" s="166"/>
      <c r="Q124" s="164"/>
      <c r="R124" s="218"/>
      <c r="S124" s="218"/>
      <c r="T124" s="218"/>
      <c r="U124" s="218"/>
      <c r="V124" s="169"/>
      <c r="W124" s="164"/>
      <c r="X124" s="164"/>
      <c r="Y124" s="164"/>
      <c r="Z124" s="156"/>
      <c r="AA124" s="156"/>
      <c r="AB124" s="156"/>
      <c r="AC124" s="156"/>
      <c r="AD124" s="156"/>
      <c r="AE124" s="158"/>
      <c r="AF124" s="164"/>
      <c r="AG124" s="168"/>
      <c r="AH124" s="32"/>
    </row>
    <row r="125" spans="1:34" ht="15" x14ac:dyDescent="0.25">
      <c r="A125" s="217"/>
      <c r="B125" s="164"/>
      <c r="C125" s="164"/>
      <c r="D125" s="165"/>
      <c r="E125" s="165"/>
      <c r="F125" s="164"/>
      <c r="G125" s="164"/>
      <c r="H125" s="164"/>
      <c r="I125" s="164"/>
      <c r="J125" s="164"/>
      <c r="K125" s="164"/>
      <c r="L125" s="164"/>
      <c r="M125" s="164"/>
      <c r="N125" s="164"/>
      <c r="O125" s="165"/>
      <c r="P125" s="166"/>
      <c r="Q125" s="164"/>
      <c r="R125" s="218"/>
      <c r="S125" s="218"/>
      <c r="T125" s="218"/>
      <c r="U125" s="218"/>
      <c r="V125" s="169"/>
      <c r="W125" s="164"/>
      <c r="X125" s="164"/>
      <c r="Y125" s="164"/>
      <c r="Z125" s="156"/>
      <c r="AA125" s="156"/>
      <c r="AB125" s="156"/>
      <c r="AC125" s="156"/>
      <c r="AD125" s="156"/>
      <c r="AE125" s="158"/>
      <c r="AF125" s="164"/>
      <c r="AG125" s="168"/>
      <c r="AH125" s="32"/>
    </row>
    <row r="126" spans="1:34" ht="15" x14ac:dyDescent="0.25">
      <c r="A126" s="217"/>
      <c r="B126" s="164"/>
      <c r="C126" s="164"/>
      <c r="D126" s="165"/>
      <c r="E126" s="165"/>
      <c r="F126" s="164"/>
      <c r="G126" s="164"/>
      <c r="H126" s="164"/>
      <c r="I126" s="164"/>
      <c r="J126" s="164"/>
      <c r="K126" s="164"/>
      <c r="L126" s="164"/>
      <c r="M126" s="164"/>
      <c r="N126" s="164"/>
      <c r="O126" s="165"/>
      <c r="P126" s="166"/>
      <c r="Q126" s="164"/>
      <c r="R126" s="218"/>
      <c r="S126" s="218"/>
      <c r="T126" s="218"/>
      <c r="U126" s="218"/>
      <c r="V126" s="169"/>
      <c r="W126" s="164"/>
      <c r="X126" s="164"/>
      <c r="Y126" s="164"/>
      <c r="Z126" s="156"/>
      <c r="AA126" s="156"/>
      <c r="AB126" s="156"/>
      <c r="AC126" s="156"/>
      <c r="AD126" s="156"/>
      <c r="AE126" s="158"/>
      <c r="AF126" s="164"/>
      <c r="AG126" s="168"/>
      <c r="AH126" s="32"/>
    </row>
    <row r="127" spans="1:34" ht="15" x14ac:dyDescent="0.25">
      <c r="A127" s="217"/>
      <c r="B127" s="164"/>
      <c r="C127" s="164"/>
      <c r="D127" s="165"/>
      <c r="E127" s="165"/>
      <c r="F127" s="164"/>
      <c r="G127" s="164"/>
      <c r="H127" s="164"/>
      <c r="I127" s="164"/>
      <c r="J127" s="164"/>
      <c r="K127" s="164"/>
      <c r="L127" s="164"/>
      <c r="M127" s="164"/>
      <c r="N127" s="164"/>
      <c r="O127" s="165"/>
      <c r="P127" s="166"/>
      <c r="Q127" s="164"/>
      <c r="R127" s="218"/>
      <c r="S127" s="218"/>
      <c r="T127" s="218"/>
      <c r="U127" s="218"/>
      <c r="V127" s="169"/>
      <c r="W127" s="164"/>
      <c r="X127" s="164"/>
      <c r="Y127" s="164"/>
      <c r="Z127" s="156"/>
      <c r="AA127" s="156"/>
      <c r="AB127" s="156"/>
      <c r="AC127" s="156"/>
      <c r="AD127" s="156"/>
      <c r="AE127" s="158"/>
      <c r="AF127" s="164"/>
      <c r="AG127" s="168"/>
      <c r="AH127" s="32"/>
    </row>
    <row r="128" spans="1:34" ht="15" x14ac:dyDescent="0.25">
      <c r="A128" s="217"/>
      <c r="B128" s="164"/>
      <c r="C128" s="164"/>
      <c r="D128" s="165"/>
      <c r="E128" s="165"/>
      <c r="F128" s="164"/>
      <c r="G128" s="164"/>
      <c r="H128" s="164"/>
      <c r="I128" s="164"/>
      <c r="J128" s="164"/>
      <c r="K128" s="164"/>
      <c r="L128" s="164"/>
      <c r="M128" s="164"/>
      <c r="N128" s="164"/>
      <c r="O128" s="165"/>
      <c r="P128" s="166"/>
      <c r="Q128" s="164"/>
      <c r="R128" s="218"/>
      <c r="S128" s="218"/>
      <c r="T128" s="218"/>
      <c r="U128" s="218"/>
      <c r="V128" s="169"/>
      <c r="W128" s="164"/>
      <c r="X128" s="164"/>
      <c r="Y128" s="164"/>
      <c r="Z128" s="156"/>
      <c r="AA128" s="156"/>
      <c r="AB128" s="156"/>
      <c r="AC128" s="156"/>
      <c r="AD128" s="156"/>
      <c r="AE128" s="158"/>
      <c r="AF128" s="164"/>
      <c r="AG128" s="168"/>
      <c r="AH128" s="32"/>
    </row>
    <row r="129" spans="1:38" ht="15" x14ac:dyDescent="0.25">
      <c r="A129" s="217"/>
      <c r="B129" s="164"/>
      <c r="C129" s="164"/>
      <c r="D129" s="165"/>
      <c r="E129" s="165"/>
      <c r="F129" s="164"/>
      <c r="G129" s="164"/>
      <c r="H129" s="164"/>
      <c r="I129" s="164"/>
      <c r="J129" s="164"/>
      <c r="K129" s="164"/>
      <c r="L129" s="164"/>
      <c r="M129" s="164"/>
      <c r="N129" s="164"/>
      <c r="O129" s="165"/>
      <c r="P129" s="166"/>
      <c r="Q129" s="164"/>
      <c r="R129" s="218"/>
      <c r="S129" s="218"/>
      <c r="T129" s="218"/>
      <c r="U129" s="218"/>
      <c r="V129" s="169"/>
      <c r="W129" s="164"/>
      <c r="X129" s="164"/>
      <c r="Y129" s="164"/>
      <c r="Z129" s="156"/>
      <c r="AA129" s="156"/>
      <c r="AB129" s="156"/>
      <c r="AC129" s="156"/>
      <c r="AD129" s="156"/>
      <c r="AE129" s="158"/>
      <c r="AF129" s="164"/>
      <c r="AG129" s="168"/>
      <c r="AH129" s="32"/>
    </row>
    <row r="130" spans="1:38" ht="15" x14ac:dyDescent="0.25">
      <c r="A130" s="217"/>
      <c r="B130" s="164"/>
      <c r="C130" s="164"/>
      <c r="D130" s="165"/>
      <c r="E130" s="165"/>
      <c r="F130" s="164"/>
      <c r="G130" s="164"/>
      <c r="H130" s="164"/>
      <c r="I130" s="164"/>
      <c r="J130" s="164"/>
      <c r="K130" s="164"/>
      <c r="L130" s="164"/>
      <c r="M130" s="164"/>
      <c r="N130" s="164"/>
      <c r="O130" s="165"/>
      <c r="P130" s="166"/>
      <c r="Q130" s="164"/>
      <c r="R130" s="218"/>
      <c r="S130" s="218"/>
      <c r="T130" s="218"/>
      <c r="U130" s="218"/>
      <c r="V130" s="169"/>
      <c r="W130" s="164"/>
      <c r="X130" s="164"/>
      <c r="Y130" s="164"/>
      <c r="Z130" s="156"/>
      <c r="AA130" s="156"/>
      <c r="AB130" s="156"/>
      <c r="AC130" s="156"/>
      <c r="AD130" s="156"/>
      <c r="AE130" s="158"/>
      <c r="AF130" s="164"/>
      <c r="AG130" s="168"/>
      <c r="AH130" s="32"/>
    </row>
    <row r="131" spans="1:38" s="197" customFormat="1" ht="15" x14ac:dyDescent="0.25">
      <c r="A131" s="217"/>
      <c r="B131" s="164"/>
      <c r="C131" s="164"/>
      <c r="D131" s="165"/>
      <c r="E131" s="165"/>
      <c r="F131" s="164"/>
      <c r="G131" s="164"/>
      <c r="H131" s="164"/>
      <c r="I131" s="164"/>
      <c r="J131" s="164"/>
      <c r="K131" s="164"/>
      <c r="L131" s="164"/>
      <c r="M131" s="164"/>
      <c r="N131" s="164"/>
      <c r="O131" s="165"/>
      <c r="P131" s="166"/>
      <c r="Q131" s="164"/>
      <c r="R131" s="218"/>
      <c r="S131" s="218"/>
      <c r="T131" s="218"/>
      <c r="U131" s="218"/>
      <c r="V131" s="169"/>
      <c r="W131" s="164"/>
      <c r="X131" s="164"/>
      <c r="Y131" s="164"/>
      <c r="Z131" s="156"/>
      <c r="AA131" s="156"/>
      <c r="AB131" s="156"/>
      <c r="AC131" s="156"/>
      <c r="AD131" s="156"/>
      <c r="AE131" s="158"/>
      <c r="AF131" s="164"/>
      <c r="AG131" s="168"/>
      <c r="AL131" s="200"/>
    </row>
    <row r="132" spans="1:38" s="197" customFormat="1" ht="15" x14ac:dyDescent="0.25">
      <c r="A132" s="217"/>
      <c r="B132" s="164"/>
      <c r="C132" s="164"/>
      <c r="D132" s="165"/>
      <c r="E132" s="165"/>
      <c r="F132" s="164"/>
      <c r="G132" s="164"/>
      <c r="H132" s="164"/>
      <c r="I132" s="164"/>
      <c r="J132" s="164"/>
      <c r="K132" s="164"/>
      <c r="L132" s="164"/>
      <c r="M132" s="164"/>
      <c r="N132" s="164"/>
      <c r="O132" s="165"/>
      <c r="P132" s="166"/>
      <c r="Q132" s="164"/>
      <c r="R132" s="218"/>
      <c r="S132" s="218"/>
      <c r="T132" s="218"/>
      <c r="U132" s="218"/>
      <c r="V132" s="169"/>
      <c r="W132" s="164"/>
      <c r="X132" s="164"/>
      <c r="Y132" s="164"/>
      <c r="Z132" s="156"/>
      <c r="AA132" s="156"/>
      <c r="AB132" s="156"/>
      <c r="AC132" s="156"/>
      <c r="AD132" s="156"/>
      <c r="AE132" s="158"/>
      <c r="AF132" s="164"/>
      <c r="AG132" s="168"/>
      <c r="AL132" s="200"/>
    </row>
    <row r="133" spans="1:38" s="197" customFormat="1" ht="15" x14ac:dyDescent="0.25">
      <c r="A133" s="217"/>
      <c r="B133" s="164"/>
      <c r="C133" s="164"/>
      <c r="D133" s="165"/>
      <c r="E133" s="165"/>
      <c r="F133" s="164"/>
      <c r="G133" s="164"/>
      <c r="H133" s="164"/>
      <c r="I133" s="164"/>
      <c r="J133" s="164"/>
      <c r="K133" s="164"/>
      <c r="L133" s="164"/>
      <c r="M133" s="164"/>
      <c r="N133" s="164"/>
      <c r="O133" s="165"/>
      <c r="P133" s="166"/>
      <c r="Q133" s="164"/>
      <c r="R133" s="218"/>
      <c r="S133" s="218"/>
      <c r="T133" s="218"/>
      <c r="U133" s="218"/>
      <c r="V133" s="169"/>
      <c r="W133" s="165"/>
      <c r="X133" s="164"/>
      <c r="Y133" s="164"/>
      <c r="Z133" s="156"/>
      <c r="AA133" s="156"/>
      <c r="AB133" s="156"/>
      <c r="AC133" s="156"/>
      <c r="AD133" s="156"/>
      <c r="AE133" s="158"/>
      <c r="AF133" s="164"/>
      <c r="AG133" s="168"/>
      <c r="AL133" s="200"/>
    </row>
    <row r="134" spans="1:38" s="197" customFormat="1" ht="15" x14ac:dyDescent="0.25">
      <c r="A134" s="155"/>
      <c r="B134" s="156"/>
      <c r="C134" s="156"/>
      <c r="D134" s="157"/>
      <c r="E134" s="157"/>
      <c r="F134" s="156"/>
      <c r="G134" s="156"/>
      <c r="H134" s="156"/>
      <c r="I134" s="156"/>
      <c r="J134" s="156"/>
      <c r="K134" s="156"/>
      <c r="L134" s="156"/>
      <c r="M134" s="156"/>
      <c r="N134" s="156"/>
      <c r="O134" s="157"/>
      <c r="P134" s="180"/>
      <c r="Q134" s="156"/>
      <c r="R134" s="215"/>
      <c r="S134" s="215"/>
      <c r="T134" s="215"/>
      <c r="U134" s="215"/>
      <c r="V134" s="214"/>
      <c r="W134" s="157"/>
      <c r="X134" s="156"/>
      <c r="Y134" s="156"/>
      <c r="Z134" s="156"/>
      <c r="AA134" s="156"/>
      <c r="AB134" s="156"/>
      <c r="AC134" s="156"/>
      <c r="AD134" s="156"/>
      <c r="AE134" s="158"/>
      <c r="AF134" s="156"/>
      <c r="AG134" s="159"/>
      <c r="AL134" s="200"/>
    </row>
    <row r="135" spans="1:38" s="197" customFormat="1" ht="15" x14ac:dyDescent="0.25">
      <c r="A135" s="155"/>
      <c r="B135" s="156"/>
      <c r="C135" s="156"/>
      <c r="D135" s="157"/>
      <c r="E135" s="157"/>
      <c r="F135" s="156"/>
      <c r="G135" s="156"/>
      <c r="H135" s="156"/>
      <c r="I135" s="156"/>
      <c r="J135" s="156"/>
      <c r="K135" s="156"/>
      <c r="L135" s="156"/>
      <c r="M135" s="156"/>
      <c r="N135" s="156"/>
      <c r="O135" s="157"/>
      <c r="P135" s="180"/>
      <c r="Q135" s="156"/>
      <c r="R135" s="215"/>
      <c r="S135" s="215"/>
      <c r="T135" s="215"/>
      <c r="U135" s="215"/>
      <c r="V135" s="214"/>
      <c r="W135" s="156"/>
      <c r="X135" s="156"/>
      <c r="Y135" s="156"/>
      <c r="Z135" s="156"/>
      <c r="AA135" s="156"/>
      <c r="AB135" s="156"/>
      <c r="AC135" s="156"/>
      <c r="AD135" s="156"/>
      <c r="AE135" s="158"/>
      <c r="AF135" s="156"/>
      <c r="AG135" s="159"/>
      <c r="AL135" s="200"/>
    </row>
    <row r="136" spans="1:38" s="197" customFormat="1" ht="15" x14ac:dyDescent="0.25">
      <c r="A136" s="155"/>
      <c r="B136" s="156"/>
      <c r="C136" s="156"/>
      <c r="D136" s="157"/>
      <c r="E136" s="157"/>
      <c r="F136" s="156"/>
      <c r="G136" s="156"/>
      <c r="H136" s="156"/>
      <c r="I136" s="156"/>
      <c r="J136" s="156"/>
      <c r="K136" s="156"/>
      <c r="L136" s="156"/>
      <c r="M136" s="156"/>
      <c r="N136" s="156"/>
      <c r="O136" s="157"/>
      <c r="P136" s="180"/>
      <c r="Q136" s="156"/>
      <c r="R136" s="215"/>
      <c r="S136" s="215"/>
      <c r="T136" s="215"/>
      <c r="U136" s="215"/>
      <c r="V136" s="214"/>
      <c r="W136" s="156"/>
      <c r="X136" s="156"/>
      <c r="Y136" s="156"/>
      <c r="Z136" s="156"/>
      <c r="AA136" s="156"/>
      <c r="AB136" s="156"/>
      <c r="AC136" s="156"/>
      <c r="AD136" s="156"/>
      <c r="AE136" s="158"/>
      <c r="AF136" s="156"/>
      <c r="AG136" s="159"/>
      <c r="AL136" s="200"/>
    </row>
    <row r="137" spans="1:38" s="197" customFormat="1" ht="15" x14ac:dyDescent="0.25">
      <c r="A137" s="155"/>
      <c r="B137" s="156"/>
      <c r="C137" s="156"/>
      <c r="D137" s="157"/>
      <c r="E137" s="157"/>
      <c r="F137" s="156"/>
      <c r="G137" s="156"/>
      <c r="H137" s="156"/>
      <c r="I137" s="156"/>
      <c r="J137" s="156"/>
      <c r="K137" s="156"/>
      <c r="L137" s="156"/>
      <c r="M137" s="156"/>
      <c r="N137" s="156"/>
      <c r="O137" s="157"/>
      <c r="P137" s="180"/>
      <c r="Q137" s="156"/>
      <c r="R137" s="215"/>
      <c r="S137" s="215"/>
      <c r="T137" s="215"/>
      <c r="U137" s="215"/>
      <c r="V137" s="214"/>
      <c r="W137" s="156"/>
      <c r="X137" s="156"/>
      <c r="Y137" s="156"/>
      <c r="Z137" s="156"/>
      <c r="AA137" s="156"/>
      <c r="AB137" s="156"/>
      <c r="AC137" s="156"/>
      <c r="AD137" s="156"/>
      <c r="AE137" s="158"/>
      <c r="AF137" s="156"/>
      <c r="AG137" s="159"/>
      <c r="AL137" s="200"/>
    </row>
    <row r="138" spans="1:38" s="197" customFormat="1" ht="15" x14ac:dyDescent="0.25">
      <c r="A138" s="155"/>
      <c r="B138" s="156"/>
      <c r="C138" s="156"/>
      <c r="D138" s="157"/>
      <c r="E138" s="157"/>
      <c r="F138" s="156"/>
      <c r="G138" s="156"/>
      <c r="H138" s="156"/>
      <c r="I138" s="156"/>
      <c r="J138" s="156"/>
      <c r="K138" s="156"/>
      <c r="L138" s="156"/>
      <c r="M138" s="156"/>
      <c r="N138" s="156"/>
      <c r="O138" s="157"/>
      <c r="P138" s="180"/>
      <c r="Q138" s="156"/>
      <c r="R138" s="215"/>
      <c r="S138" s="215"/>
      <c r="T138" s="215"/>
      <c r="U138" s="215"/>
      <c r="V138" s="214"/>
      <c r="W138" s="156"/>
      <c r="X138" s="156"/>
      <c r="Y138" s="156"/>
      <c r="Z138" s="156"/>
      <c r="AA138" s="156"/>
      <c r="AB138" s="156"/>
      <c r="AC138" s="156"/>
      <c r="AD138" s="156"/>
      <c r="AE138" s="158"/>
      <c r="AF138" s="156"/>
      <c r="AG138" s="159"/>
      <c r="AL138" s="200"/>
    </row>
    <row r="139" spans="1:38" s="197" customFormat="1" ht="15" x14ac:dyDescent="0.25">
      <c r="A139" s="155"/>
      <c r="B139" s="156"/>
      <c r="C139" s="156"/>
      <c r="D139" s="157"/>
      <c r="E139" s="157"/>
      <c r="F139" s="156"/>
      <c r="G139" s="156"/>
      <c r="H139" s="156"/>
      <c r="I139" s="156"/>
      <c r="J139" s="156"/>
      <c r="K139" s="156"/>
      <c r="L139" s="156"/>
      <c r="M139" s="156"/>
      <c r="N139" s="156"/>
      <c r="O139" s="157"/>
      <c r="P139" s="180"/>
      <c r="Q139" s="156"/>
      <c r="R139" s="215"/>
      <c r="S139" s="215"/>
      <c r="T139" s="215"/>
      <c r="U139" s="215"/>
      <c r="V139" s="214"/>
      <c r="W139" s="156"/>
      <c r="X139" s="156"/>
      <c r="Y139" s="156"/>
      <c r="Z139" s="156"/>
      <c r="AA139" s="156"/>
      <c r="AB139" s="156"/>
      <c r="AC139" s="156"/>
      <c r="AD139" s="156"/>
      <c r="AE139" s="158"/>
      <c r="AF139" s="156"/>
      <c r="AG139" s="159"/>
      <c r="AL139" s="200"/>
    </row>
    <row r="140" spans="1:38" s="197" customFormat="1" ht="15" x14ac:dyDescent="0.25">
      <c r="A140" s="155"/>
      <c r="B140" s="156"/>
      <c r="C140" s="156"/>
      <c r="D140" s="157"/>
      <c r="E140" s="157"/>
      <c r="F140" s="156"/>
      <c r="G140" s="156"/>
      <c r="H140" s="156"/>
      <c r="I140" s="156"/>
      <c r="J140" s="156"/>
      <c r="K140" s="156"/>
      <c r="L140" s="156"/>
      <c r="M140" s="156"/>
      <c r="N140" s="156"/>
      <c r="O140" s="157"/>
      <c r="P140" s="180"/>
      <c r="Q140" s="156"/>
      <c r="R140" s="215"/>
      <c r="S140" s="215"/>
      <c r="T140" s="215"/>
      <c r="U140" s="215"/>
      <c r="V140" s="214"/>
      <c r="W140" s="156"/>
      <c r="X140" s="156"/>
      <c r="Y140" s="156"/>
      <c r="Z140" s="156"/>
      <c r="AA140" s="156"/>
      <c r="AB140" s="156"/>
      <c r="AC140" s="156"/>
      <c r="AD140" s="156"/>
      <c r="AE140" s="158"/>
      <c r="AF140" s="156"/>
      <c r="AG140" s="159"/>
      <c r="AL140" s="200"/>
    </row>
    <row r="141" spans="1:38" s="197" customFormat="1" ht="15" x14ac:dyDescent="0.25">
      <c r="A141" s="155"/>
      <c r="B141" s="156"/>
      <c r="C141" s="156"/>
      <c r="D141" s="157"/>
      <c r="E141" s="157"/>
      <c r="F141" s="156"/>
      <c r="G141" s="156"/>
      <c r="H141" s="156"/>
      <c r="I141" s="156"/>
      <c r="J141" s="156"/>
      <c r="K141" s="156"/>
      <c r="L141" s="156"/>
      <c r="M141" s="156"/>
      <c r="N141" s="156"/>
      <c r="O141" s="157"/>
      <c r="P141" s="180"/>
      <c r="Q141" s="156"/>
      <c r="R141" s="215"/>
      <c r="S141" s="215"/>
      <c r="T141" s="215"/>
      <c r="U141" s="215"/>
      <c r="V141" s="214"/>
      <c r="W141" s="157"/>
      <c r="X141" s="156"/>
      <c r="Y141" s="156"/>
      <c r="Z141" s="156"/>
      <c r="AA141" s="156"/>
      <c r="AB141" s="156"/>
      <c r="AC141" s="156"/>
      <c r="AD141" s="156"/>
      <c r="AE141" s="158"/>
      <c r="AF141" s="156"/>
      <c r="AG141" s="159"/>
      <c r="AL141" s="200"/>
    </row>
    <row r="142" spans="1:38" s="197" customFormat="1" ht="15" x14ac:dyDescent="0.25">
      <c r="A142" s="155"/>
      <c r="B142" s="156"/>
      <c r="C142" s="156"/>
      <c r="D142" s="157"/>
      <c r="E142" s="157"/>
      <c r="F142" s="156"/>
      <c r="G142" s="156"/>
      <c r="H142" s="156"/>
      <c r="I142" s="156"/>
      <c r="J142" s="156"/>
      <c r="K142" s="156"/>
      <c r="L142" s="156"/>
      <c r="M142" s="156"/>
      <c r="N142" s="156"/>
      <c r="O142" s="157"/>
      <c r="P142" s="180"/>
      <c r="Q142" s="156"/>
      <c r="R142" s="215"/>
      <c r="S142" s="215"/>
      <c r="T142" s="215"/>
      <c r="U142" s="215"/>
      <c r="V142" s="214"/>
      <c r="W142" s="156"/>
      <c r="X142" s="156"/>
      <c r="Y142" s="156"/>
      <c r="Z142" s="156"/>
      <c r="AA142" s="156"/>
      <c r="AB142" s="156"/>
      <c r="AC142" s="156"/>
      <c r="AD142" s="156"/>
      <c r="AE142" s="158"/>
      <c r="AF142" s="156"/>
      <c r="AG142" s="159"/>
      <c r="AL142" s="200"/>
    </row>
    <row r="143" spans="1:38" s="197" customFormat="1" ht="15" x14ac:dyDescent="0.25">
      <c r="A143" s="155"/>
      <c r="B143" s="156"/>
      <c r="C143" s="156"/>
      <c r="D143" s="157"/>
      <c r="E143" s="157"/>
      <c r="F143" s="156"/>
      <c r="G143" s="156"/>
      <c r="H143" s="156"/>
      <c r="I143" s="156"/>
      <c r="J143" s="156"/>
      <c r="K143" s="156"/>
      <c r="L143" s="156"/>
      <c r="M143" s="156"/>
      <c r="N143" s="156"/>
      <c r="O143" s="157"/>
      <c r="P143" s="180"/>
      <c r="Q143" s="156"/>
      <c r="R143" s="215"/>
      <c r="S143" s="215"/>
      <c r="T143" s="215"/>
      <c r="U143" s="215"/>
      <c r="V143" s="214"/>
      <c r="W143" s="156"/>
      <c r="X143" s="156"/>
      <c r="Y143" s="156"/>
      <c r="Z143" s="156"/>
      <c r="AA143" s="156"/>
      <c r="AB143" s="156"/>
      <c r="AC143" s="156"/>
      <c r="AD143" s="156"/>
      <c r="AE143" s="158"/>
      <c r="AF143" s="156"/>
      <c r="AG143" s="159"/>
      <c r="AL143" s="200"/>
    </row>
    <row r="144" spans="1:38" s="197" customFormat="1" ht="15" x14ac:dyDescent="0.25">
      <c r="A144" s="155"/>
      <c r="B144" s="156"/>
      <c r="C144" s="156"/>
      <c r="D144" s="157"/>
      <c r="E144" s="157"/>
      <c r="F144" s="156"/>
      <c r="G144" s="156"/>
      <c r="H144" s="156"/>
      <c r="I144" s="156"/>
      <c r="J144" s="156"/>
      <c r="K144" s="156"/>
      <c r="L144" s="156"/>
      <c r="M144" s="156"/>
      <c r="N144" s="156"/>
      <c r="O144" s="157"/>
      <c r="P144" s="180"/>
      <c r="Q144" s="156"/>
      <c r="R144" s="215"/>
      <c r="S144" s="215"/>
      <c r="T144" s="215"/>
      <c r="U144" s="215"/>
      <c r="V144" s="214"/>
      <c r="W144" s="156"/>
      <c r="X144" s="156"/>
      <c r="Y144" s="156"/>
      <c r="Z144" s="156"/>
      <c r="AA144" s="156"/>
      <c r="AB144" s="156"/>
      <c r="AC144" s="156"/>
      <c r="AD144" s="156"/>
      <c r="AE144" s="158"/>
      <c r="AF144" s="156"/>
      <c r="AG144" s="159"/>
      <c r="AL144" s="200"/>
    </row>
    <row r="145" spans="1:38" s="197" customFormat="1" ht="15" x14ac:dyDescent="0.25">
      <c r="A145" s="155"/>
      <c r="B145" s="156"/>
      <c r="C145" s="156"/>
      <c r="D145" s="157"/>
      <c r="E145" s="157"/>
      <c r="F145" s="156"/>
      <c r="G145" s="156"/>
      <c r="H145" s="156"/>
      <c r="I145" s="156"/>
      <c r="J145" s="156"/>
      <c r="K145" s="156"/>
      <c r="L145" s="156"/>
      <c r="M145" s="156"/>
      <c r="N145" s="156"/>
      <c r="O145" s="157"/>
      <c r="P145" s="180"/>
      <c r="Q145" s="156"/>
      <c r="R145" s="215"/>
      <c r="S145" s="215"/>
      <c r="T145" s="215"/>
      <c r="U145" s="215"/>
      <c r="V145" s="214"/>
      <c r="W145" s="156"/>
      <c r="X145" s="156"/>
      <c r="Y145" s="156"/>
      <c r="Z145" s="156"/>
      <c r="AA145" s="156"/>
      <c r="AB145" s="156"/>
      <c r="AC145" s="156"/>
      <c r="AD145" s="156"/>
      <c r="AE145" s="158"/>
      <c r="AF145" s="156"/>
      <c r="AG145" s="159"/>
      <c r="AL145" s="200"/>
    </row>
    <row r="146" spans="1:38" s="197" customFormat="1" ht="15" x14ac:dyDescent="0.25">
      <c r="A146" s="155"/>
      <c r="B146" s="156"/>
      <c r="C146" s="156"/>
      <c r="D146" s="157"/>
      <c r="E146" s="157"/>
      <c r="F146" s="156"/>
      <c r="G146" s="156"/>
      <c r="H146" s="156"/>
      <c r="I146" s="156"/>
      <c r="J146" s="156"/>
      <c r="K146" s="156"/>
      <c r="L146" s="156"/>
      <c r="M146" s="156"/>
      <c r="N146" s="156"/>
      <c r="O146" s="157"/>
      <c r="P146" s="180"/>
      <c r="Q146" s="156"/>
      <c r="R146" s="215"/>
      <c r="S146" s="215"/>
      <c r="T146" s="215"/>
      <c r="U146" s="215"/>
      <c r="V146" s="214"/>
      <c r="W146" s="156"/>
      <c r="X146" s="156"/>
      <c r="Y146" s="156"/>
      <c r="Z146" s="156"/>
      <c r="AA146" s="156"/>
      <c r="AB146" s="156"/>
      <c r="AC146" s="156"/>
      <c r="AD146" s="156"/>
      <c r="AE146" s="158"/>
      <c r="AF146" s="156"/>
      <c r="AG146" s="159"/>
      <c r="AL146" s="200"/>
    </row>
    <row r="147" spans="1:38" s="197" customFormat="1" ht="15" x14ac:dyDescent="0.25">
      <c r="A147" s="155"/>
      <c r="B147" s="156"/>
      <c r="C147" s="156"/>
      <c r="D147" s="157"/>
      <c r="E147" s="157"/>
      <c r="F147" s="156"/>
      <c r="G147" s="156"/>
      <c r="H147" s="156"/>
      <c r="I147" s="156"/>
      <c r="J147" s="156"/>
      <c r="K147" s="156"/>
      <c r="L147" s="156"/>
      <c r="M147" s="156"/>
      <c r="N147" s="156"/>
      <c r="O147" s="157"/>
      <c r="P147" s="180"/>
      <c r="Q147" s="156"/>
      <c r="R147" s="215"/>
      <c r="S147" s="215"/>
      <c r="T147" s="215"/>
      <c r="U147" s="215"/>
      <c r="V147" s="214"/>
      <c r="W147" s="156"/>
      <c r="X147" s="156"/>
      <c r="Y147" s="156"/>
      <c r="Z147" s="156"/>
      <c r="AA147" s="156"/>
      <c r="AB147" s="156"/>
      <c r="AC147" s="156"/>
      <c r="AD147" s="156"/>
      <c r="AE147" s="158"/>
      <c r="AF147" s="156"/>
      <c r="AG147" s="159"/>
      <c r="AL147" s="200"/>
    </row>
    <row r="148" spans="1:38" s="197" customFormat="1" ht="15" x14ac:dyDescent="0.25">
      <c r="A148" s="155"/>
      <c r="B148" s="156"/>
      <c r="C148" s="156"/>
      <c r="D148" s="157"/>
      <c r="E148" s="157"/>
      <c r="F148" s="156"/>
      <c r="G148" s="156"/>
      <c r="H148" s="156"/>
      <c r="I148" s="156"/>
      <c r="J148" s="156"/>
      <c r="K148" s="156"/>
      <c r="L148" s="156"/>
      <c r="M148" s="156"/>
      <c r="N148" s="156"/>
      <c r="O148" s="157"/>
      <c r="P148" s="180"/>
      <c r="Q148" s="156"/>
      <c r="R148" s="215"/>
      <c r="S148" s="215"/>
      <c r="T148" s="215"/>
      <c r="U148" s="215"/>
      <c r="V148" s="214"/>
      <c r="W148" s="156"/>
      <c r="X148" s="156"/>
      <c r="Y148" s="156"/>
      <c r="Z148" s="156"/>
      <c r="AA148" s="156"/>
      <c r="AB148" s="156"/>
      <c r="AC148" s="156"/>
      <c r="AD148" s="156"/>
      <c r="AE148" s="158"/>
      <c r="AF148" s="156"/>
      <c r="AG148" s="159"/>
      <c r="AL148" s="200"/>
    </row>
    <row r="149" spans="1:38" s="197" customFormat="1" ht="15" x14ac:dyDescent="0.25">
      <c r="A149" s="155"/>
      <c r="B149" s="156"/>
      <c r="C149" s="156"/>
      <c r="D149" s="157"/>
      <c r="E149" s="157"/>
      <c r="F149" s="156"/>
      <c r="G149" s="156"/>
      <c r="H149" s="156"/>
      <c r="I149" s="156"/>
      <c r="J149" s="156"/>
      <c r="K149" s="156"/>
      <c r="L149" s="156"/>
      <c r="M149" s="156"/>
      <c r="N149" s="156"/>
      <c r="O149" s="157"/>
      <c r="P149" s="180"/>
      <c r="Q149" s="156"/>
      <c r="R149" s="215"/>
      <c r="S149" s="215"/>
      <c r="T149" s="215"/>
      <c r="U149" s="215"/>
      <c r="V149" s="214"/>
      <c r="W149" s="156"/>
      <c r="X149" s="156"/>
      <c r="Y149" s="156"/>
      <c r="Z149" s="156"/>
      <c r="AA149" s="156"/>
      <c r="AB149" s="156"/>
      <c r="AC149" s="156"/>
      <c r="AD149" s="156"/>
      <c r="AE149" s="158"/>
      <c r="AF149" s="156"/>
      <c r="AG149" s="159"/>
      <c r="AL149" s="200"/>
    </row>
    <row r="150" spans="1:38" s="197" customFormat="1" ht="15" x14ac:dyDescent="0.25">
      <c r="A150" s="155"/>
      <c r="B150" s="156"/>
      <c r="C150" s="156"/>
      <c r="D150" s="157"/>
      <c r="E150" s="157"/>
      <c r="F150" s="156"/>
      <c r="G150" s="156"/>
      <c r="H150" s="156"/>
      <c r="I150" s="156"/>
      <c r="J150" s="156"/>
      <c r="K150" s="156"/>
      <c r="L150" s="156"/>
      <c r="M150" s="156"/>
      <c r="N150" s="156"/>
      <c r="O150" s="157"/>
      <c r="P150" s="180"/>
      <c r="Q150" s="156"/>
      <c r="R150" s="215"/>
      <c r="S150" s="215"/>
      <c r="T150" s="215"/>
      <c r="U150" s="215"/>
      <c r="V150" s="214"/>
      <c r="W150" s="156"/>
      <c r="X150" s="156"/>
      <c r="Y150" s="156"/>
      <c r="Z150" s="156"/>
      <c r="AA150" s="156"/>
      <c r="AB150" s="156"/>
      <c r="AC150" s="156"/>
      <c r="AD150" s="156"/>
      <c r="AE150" s="158"/>
      <c r="AF150" s="156"/>
      <c r="AG150" s="159"/>
      <c r="AL150" s="200"/>
    </row>
    <row r="151" spans="1:38" s="197" customFormat="1" ht="15" x14ac:dyDescent="0.25">
      <c r="A151" s="155"/>
      <c r="B151" s="156"/>
      <c r="C151" s="156"/>
      <c r="D151" s="157"/>
      <c r="E151" s="157"/>
      <c r="F151" s="156"/>
      <c r="G151" s="156"/>
      <c r="H151" s="156"/>
      <c r="I151" s="156"/>
      <c r="J151" s="156"/>
      <c r="K151" s="156"/>
      <c r="L151" s="156"/>
      <c r="M151" s="156"/>
      <c r="N151" s="156"/>
      <c r="O151" s="157"/>
      <c r="P151" s="180"/>
      <c r="Q151" s="156"/>
      <c r="R151" s="215"/>
      <c r="S151" s="215"/>
      <c r="T151" s="215"/>
      <c r="U151" s="215"/>
      <c r="V151" s="214"/>
      <c r="W151" s="156"/>
      <c r="X151" s="156"/>
      <c r="Y151" s="156"/>
      <c r="Z151" s="156"/>
      <c r="AA151" s="156"/>
      <c r="AB151" s="156"/>
      <c r="AC151" s="156"/>
      <c r="AD151" s="156"/>
      <c r="AE151" s="158"/>
      <c r="AF151" s="156"/>
      <c r="AG151" s="159"/>
      <c r="AL151" s="200"/>
    </row>
    <row r="152" spans="1:38" s="197" customFormat="1" ht="15" x14ac:dyDescent="0.25">
      <c r="A152" s="155"/>
      <c r="B152" s="156"/>
      <c r="C152" s="156"/>
      <c r="D152" s="157"/>
      <c r="E152" s="157"/>
      <c r="F152" s="156"/>
      <c r="G152" s="156"/>
      <c r="H152" s="156"/>
      <c r="I152" s="156"/>
      <c r="J152" s="156"/>
      <c r="K152" s="156"/>
      <c r="L152" s="156"/>
      <c r="M152" s="156"/>
      <c r="N152" s="156"/>
      <c r="O152" s="157"/>
      <c r="P152" s="180"/>
      <c r="Q152" s="156"/>
      <c r="R152" s="215"/>
      <c r="S152" s="215"/>
      <c r="T152" s="215"/>
      <c r="U152" s="215"/>
      <c r="V152" s="214"/>
      <c r="W152" s="156"/>
      <c r="X152" s="156"/>
      <c r="Y152" s="156"/>
      <c r="Z152" s="156"/>
      <c r="AA152" s="156"/>
      <c r="AB152" s="156"/>
      <c r="AC152" s="156"/>
      <c r="AD152" s="156"/>
      <c r="AE152" s="158"/>
      <c r="AF152" s="156"/>
      <c r="AG152" s="159"/>
      <c r="AL152" s="200"/>
    </row>
    <row r="153" spans="1:38" s="197" customFormat="1" ht="15" x14ac:dyDescent="0.25">
      <c r="A153" s="155"/>
      <c r="B153" s="156"/>
      <c r="C153" s="156"/>
      <c r="D153" s="157"/>
      <c r="E153" s="157"/>
      <c r="F153" s="156"/>
      <c r="G153" s="156"/>
      <c r="H153" s="156"/>
      <c r="I153" s="156"/>
      <c r="J153" s="156"/>
      <c r="K153" s="156"/>
      <c r="L153" s="156"/>
      <c r="M153" s="156"/>
      <c r="N153" s="156"/>
      <c r="O153" s="157"/>
      <c r="P153" s="180"/>
      <c r="Q153" s="156"/>
      <c r="R153" s="215"/>
      <c r="S153" s="215"/>
      <c r="T153" s="215"/>
      <c r="U153" s="215"/>
      <c r="V153" s="214"/>
      <c r="W153" s="156"/>
      <c r="X153" s="156"/>
      <c r="Y153" s="156"/>
      <c r="Z153" s="156"/>
      <c r="AA153" s="156"/>
      <c r="AB153" s="156"/>
      <c r="AC153" s="156"/>
      <c r="AD153" s="156"/>
      <c r="AE153" s="158"/>
      <c r="AF153" s="156"/>
      <c r="AG153" s="159"/>
      <c r="AL153" s="200"/>
    </row>
    <row r="154" spans="1:38" s="197" customFormat="1" ht="15" x14ac:dyDescent="0.25">
      <c r="A154" s="155"/>
      <c r="B154" s="156"/>
      <c r="C154" s="156"/>
      <c r="D154" s="157"/>
      <c r="E154" s="157"/>
      <c r="F154" s="156"/>
      <c r="G154" s="156"/>
      <c r="H154" s="156"/>
      <c r="I154" s="156"/>
      <c r="J154" s="156"/>
      <c r="K154" s="156"/>
      <c r="L154" s="156"/>
      <c r="M154" s="156"/>
      <c r="N154" s="156"/>
      <c r="O154" s="157"/>
      <c r="P154" s="180"/>
      <c r="Q154" s="156"/>
      <c r="R154" s="215"/>
      <c r="S154" s="215"/>
      <c r="T154" s="215"/>
      <c r="U154" s="215"/>
      <c r="V154" s="214"/>
      <c r="W154" s="156"/>
      <c r="X154" s="156"/>
      <c r="Y154" s="156"/>
      <c r="Z154" s="156"/>
      <c r="AA154" s="156"/>
      <c r="AB154" s="156"/>
      <c r="AC154" s="156"/>
      <c r="AD154" s="156"/>
      <c r="AE154" s="158"/>
      <c r="AF154" s="156"/>
      <c r="AG154" s="159"/>
      <c r="AL154" s="200"/>
    </row>
    <row r="155" spans="1:38" s="197" customFormat="1" ht="15" x14ac:dyDescent="0.25">
      <c r="A155" s="155"/>
      <c r="B155" s="156"/>
      <c r="C155" s="156"/>
      <c r="D155" s="157"/>
      <c r="E155" s="157"/>
      <c r="F155" s="156"/>
      <c r="G155" s="156"/>
      <c r="H155" s="156"/>
      <c r="I155" s="156"/>
      <c r="J155" s="156"/>
      <c r="K155" s="156"/>
      <c r="L155" s="156"/>
      <c r="M155" s="156"/>
      <c r="N155" s="156"/>
      <c r="O155" s="157"/>
      <c r="P155" s="180"/>
      <c r="Q155" s="156"/>
      <c r="R155" s="215"/>
      <c r="S155" s="215"/>
      <c r="T155" s="215"/>
      <c r="U155" s="215"/>
      <c r="V155" s="214"/>
      <c r="W155" s="157"/>
      <c r="X155" s="156"/>
      <c r="Y155" s="156"/>
      <c r="Z155" s="156"/>
      <c r="AA155" s="156"/>
      <c r="AB155" s="156"/>
      <c r="AC155" s="156"/>
      <c r="AD155" s="156"/>
      <c r="AE155" s="158"/>
      <c r="AF155" s="156"/>
      <c r="AG155" s="159"/>
      <c r="AL155" s="200"/>
    </row>
    <row r="156" spans="1:38" s="197" customFormat="1" ht="15" x14ac:dyDescent="0.25">
      <c r="A156" s="155"/>
      <c r="B156" s="156"/>
      <c r="C156" s="156"/>
      <c r="D156" s="157"/>
      <c r="E156" s="157"/>
      <c r="F156" s="156"/>
      <c r="G156" s="156"/>
      <c r="H156" s="156"/>
      <c r="I156" s="156"/>
      <c r="J156" s="156"/>
      <c r="K156" s="156"/>
      <c r="L156" s="156"/>
      <c r="M156" s="156"/>
      <c r="N156" s="156"/>
      <c r="O156" s="157"/>
      <c r="P156" s="180"/>
      <c r="Q156" s="156"/>
      <c r="R156" s="215"/>
      <c r="S156" s="215"/>
      <c r="T156" s="215"/>
      <c r="U156" s="215"/>
      <c r="V156" s="214"/>
      <c r="W156" s="157"/>
      <c r="X156" s="156"/>
      <c r="Y156" s="156"/>
      <c r="Z156" s="156"/>
      <c r="AA156" s="156"/>
      <c r="AB156" s="156"/>
      <c r="AC156" s="156"/>
      <c r="AD156" s="156"/>
      <c r="AE156" s="158"/>
      <c r="AF156" s="156"/>
      <c r="AG156" s="159"/>
      <c r="AL156" s="200"/>
    </row>
    <row r="157" spans="1:38" s="197" customFormat="1" ht="15" x14ac:dyDescent="0.25">
      <c r="A157" s="155"/>
      <c r="B157" s="156"/>
      <c r="C157" s="156"/>
      <c r="D157" s="157"/>
      <c r="E157" s="157"/>
      <c r="F157" s="156"/>
      <c r="G157" s="156"/>
      <c r="H157" s="156"/>
      <c r="I157" s="156"/>
      <c r="J157" s="156"/>
      <c r="K157" s="156"/>
      <c r="L157" s="156"/>
      <c r="M157" s="156"/>
      <c r="N157" s="156"/>
      <c r="O157" s="157"/>
      <c r="P157" s="180"/>
      <c r="Q157" s="156"/>
      <c r="R157" s="215"/>
      <c r="S157" s="215"/>
      <c r="T157" s="215"/>
      <c r="U157" s="215"/>
      <c r="V157" s="214"/>
      <c r="W157" s="156"/>
      <c r="X157" s="156"/>
      <c r="Y157" s="156"/>
      <c r="Z157" s="156"/>
      <c r="AA157" s="156"/>
      <c r="AB157" s="156"/>
      <c r="AC157" s="156"/>
      <c r="AD157" s="156"/>
      <c r="AE157" s="158"/>
      <c r="AF157" s="156"/>
      <c r="AG157" s="159"/>
      <c r="AL157" s="200"/>
    </row>
    <row r="158" spans="1:38" s="197" customFormat="1" ht="15" x14ac:dyDescent="0.25">
      <c r="A158" s="155"/>
      <c r="B158" s="156"/>
      <c r="C158" s="156"/>
      <c r="D158" s="157"/>
      <c r="E158" s="157"/>
      <c r="F158" s="156"/>
      <c r="G158" s="156"/>
      <c r="H158" s="156"/>
      <c r="I158" s="156"/>
      <c r="J158" s="156"/>
      <c r="K158" s="156"/>
      <c r="L158" s="156"/>
      <c r="M158" s="156"/>
      <c r="N158" s="156"/>
      <c r="O158" s="157"/>
      <c r="P158" s="180"/>
      <c r="Q158" s="156"/>
      <c r="R158" s="215"/>
      <c r="S158" s="215"/>
      <c r="T158" s="215"/>
      <c r="U158" s="215"/>
      <c r="V158" s="214"/>
      <c r="W158" s="156"/>
      <c r="X158" s="156"/>
      <c r="Y158" s="156"/>
      <c r="Z158" s="156"/>
      <c r="AA158" s="156"/>
      <c r="AB158" s="156"/>
      <c r="AC158" s="156"/>
      <c r="AD158" s="156"/>
      <c r="AE158" s="158"/>
      <c r="AF158" s="156"/>
      <c r="AG158" s="159"/>
      <c r="AL158" s="200"/>
    </row>
    <row r="159" spans="1:38" s="197" customFormat="1" ht="15" x14ac:dyDescent="0.25">
      <c r="A159" s="155"/>
      <c r="B159" s="156"/>
      <c r="C159" s="156"/>
      <c r="D159" s="157"/>
      <c r="E159" s="157"/>
      <c r="F159" s="156"/>
      <c r="G159" s="156"/>
      <c r="H159" s="156"/>
      <c r="I159" s="156"/>
      <c r="J159" s="156"/>
      <c r="K159" s="156"/>
      <c r="L159" s="156"/>
      <c r="M159" s="156"/>
      <c r="N159" s="156"/>
      <c r="O159" s="157"/>
      <c r="P159" s="180"/>
      <c r="Q159" s="156"/>
      <c r="R159" s="215"/>
      <c r="S159" s="215"/>
      <c r="T159" s="215"/>
      <c r="U159" s="215"/>
      <c r="V159" s="214"/>
      <c r="W159" s="156"/>
      <c r="X159" s="156"/>
      <c r="Y159" s="156"/>
      <c r="Z159" s="156"/>
      <c r="AA159" s="156"/>
      <c r="AB159" s="156"/>
      <c r="AC159" s="156"/>
      <c r="AD159" s="156"/>
      <c r="AE159" s="158"/>
      <c r="AF159" s="156"/>
      <c r="AG159" s="159"/>
      <c r="AL159" s="200"/>
    </row>
    <row r="160" spans="1:38" s="197" customFormat="1" ht="15" x14ac:dyDescent="0.25">
      <c r="A160" s="155"/>
      <c r="B160" s="156"/>
      <c r="C160" s="156"/>
      <c r="D160" s="157"/>
      <c r="E160" s="157"/>
      <c r="F160" s="156"/>
      <c r="G160" s="156"/>
      <c r="H160" s="156"/>
      <c r="I160" s="156"/>
      <c r="J160" s="156"/>
      <c r="K160" s="156"/>
      <c r="L160" s="156"/>
      <c r="M160" s="156"/>
      <c r="N160" s="156"/>
      <c r="O160" s="157"/>
      <c r="P160" s="180"/>
      <c r="Q160" s="156"/>
      <c r="R160" s="215"/>
      <c r="S160" s="215"/>
      <c r="T160" s="215"/>
      <c r="U160" s="215"/>
      <c r="V160" s="214"/>
      <c r="W160" s="156"/>
      <c r="X160" s="156"/>
      <c r="Y160" s="156"/>
      <c r="Z160" s="156"/>
      <c r="AA160" s="156"/>
      <c r="AB160" s="156"/>
      <c r="AC160" s="156"/>
      <c r="AD160" s="156"/>
      <c r="AE160" s="158"/>
      <c r="AF160" s="156"/>
      <c r="AG160" s="159"/>
      <c r="AL160" s="200"/>
    </row>
    <row r="161" spans="1:38" s="197" customFormat="1" ht="15" x14ac:dyDescent="0.25">
      <c r="A161" s="155"/>
      <c r="B161" s="156"/>
      <c r="C161" s="156"/>
      <c r="D161" s="157"/>
      <c r="E161" s="157"/>
      <c r="F161" s="156"/>
      <c r="G161" s="156"/>
      <c r="H161" s="156"/>
      <c r="I161" s="156"/>
      <c r="J161" s="156"/>
      <c r="K161" s="156"/>
      <c r="L161" s="156"/>
      <c r="M161" s="156"/>
      <c r="N161" s="156"/>
      <c r="O161" s="157"/>
      <c r="P161" s="180"/>
      <c r="Q161" s="156"/>
      <c r="R161" s="215"/>
      <c r="S161" s="215"/>
      <c r="T161" s="215"/>
      <c r="U161" s="215"/>
      <c r="V161" s="214"/>
      <c r="W161" s="157"/>
      <c r="X161" s="156"/>
      <c r="Y161" s="156"/>
      <c r="Z161" s="156"/>
      <c r="AA161" s="156"/>
      <c r="AB161" s="156"/>
      <c r="AC161" s="156"/>
      <c r="AD161" s="156"/>
      <c r="AE161" s="158"/>
      <c r="AF161" s="156"/>
      <c r="AG161" s="159"/>
      <c r="AL161" s="200"/>
    </row>
    <row r="162" spans="1:38" s="197" customFormat="1" ht="15" x14ac:dyDescent="0.25">
      <c r="A162" s="155"/>
      <c r="B162" s="156"/>
      <c r="C162" s="156"/>
      <c r="D162" s="157"/>
      <c r="E162" s="157"/>
      <c r="F162" s="156"/>
      <c r="G162" s="156"/>
      <c r="H162" s="156"/>
      <c r="I162" s="156"/>
      <c r="J162" s="156"/>
      <c r="K162" s="156"/>
      <c r="L162" s="156"/>
      <c r="M162" s="156"/>
      <c r="N162" s="156"/>
      <c r="O162" s="157"/>
      <c r="P162" s="180"/>
      <c r="Q162" s="156"/>
      <c r="R162" s="215"/>
      <c r="S162" s="215"/>
      <c r="T162" s="215"/>
      <c r="U162" s="215"/>
      <c r="V162" s="214"/>
      <c r="W162" s="157"/>
      <c r="X162" s="156"/>
      <c r="Y162" s="156"/>
      <c r="Z162" s="156"/>
      <c r="AA162" s="156"/>
      <c r="AB162" s="156"/>
      <c r="AC162" s="156"/>
      <c r="AD162" s="156"/>
      <c r="AE162" s="158"/>
      <c r="AF162" s="156"/>
      <c r="AG162" s="159"/>
      <c r="AL162" s="200"/>
    </row>
    <row r="163" spans="1:38" s="197" customFormat="1" ht="15" x14ac:dyDescent="0.25">
      <c r="A163" s="155"/>
      <c r="B163" s="156"/>
      <c r="C163" s="156"/>
      <c r="D163" s="157"/>
      <c r="E163" s="157"/>
      <c r="F163" s="156"/>
      <c r="G163" s="156"/>
      <c r="H163" s="156"/>
      <c r="I163" s="156"/>
      <c r="J163" s="156"/>
      <c r="K163" s="156"/>
      <c r="L163" s="156"/>
      <c r="M163" s="156"/>
      <c r="N163" s="156"/>
      <c r="O163" s="157"/>
      <c r="P163" s="180"/>
      <c r="Q163" s="156"/>
      <c r="R163" s="215"/>
      <c r="S163" s="215"/>
      <c r="T163" s="215"/>
      <c r="U163" s="215"/>
      <c r="V163" s="214"/>
      <c r="W163" s="156"/>
      <c r="X163" s="156"/>
      <c r="Y163" s="156"/>
      <c r="Z163" s="156"/>
      <c r="AA163" s="156"/>
      <c r="AB163" s="156"/>
      <c r="AC163" s="156"/>
      <c r="AD163" s="156"/>
      <c r="AE163" s="158"/>
      <c r="AF163" s="156"/>
      <c r="AG163" s="159"/>
      <c r="AL163" s="200"/>
    </row>
    <row r="164" spans="1:38" s="197" customFormat="1" ht="15" x14ac:dyDescent="0.25">
      <c r="A164" s="155"/>
      <c r="B164" s="156"/>
      <c r="C164" s="156"/>
      <c r="D164" s="157"/>
      <c r="E164" s="157"/>
      <c r="F164" s="156"/>
      <c r="G164" s="156"/>
      <c r="H164" s="156"/>
      <c r="I164" s="156"/>
      <c r="J164" s="156"/>
      <c r="K164" s="156"/>
      <c r="L164" s="156"/>
      <c r="M164" s="156"/>
      <c r="N164" s="156"/>
      <c r="O164" s="157"/>
      <c r="P164" s="180"/>
      <c r="Q164" s="156"/>
      <c r="R164" s="215"/>
      <c r="S164" s="215"/>
      <c r="T164" s="215"/>
      <c r="U164" s="215"/>
      <c r="V164" s="214"/>
      <c r="W164" s="156"/>
      <c r="X164" s="156"/>
      <c r="Y164" s="156"/>
      <c r="Z164" s="156"/>
      <c r="AA164" s="156"/>
      <c r="AB164" s="156"/>
      <c r="AC164" s="156"/>
      <c r="AD164" s="156"/>
      <c r="AE164" s="158"/>
      <c r="AF164" s="156"/>
      <c r="AG164" s="159"/>
      <c r="AL164" s="200"/>
    </row>
    <row r="165" spans="1:38" s="197" customFormat="1" ht="15" x14ac:dyDescent="0.25">
      <c r="A165" s="155"/>
      <c r="B165" s="156"/>
      <c r="C165" s="156"/>
      <c r="D165" s="157"/>
      <c r="E165" s="157"/>
      <c r="F165" s="156"/>
      <c r="G165" s="156"/>
      <c r="H165" s="156"/>
      <c r="I165" s="156"/>
      <c r="J165" s="156"/>
      <c r="K165" s="156"/>
      <c r="L165" s="156"/>
      <c r="M165" s="156"/>
      <c r="N165" s="156"/>
      <c r="O165" s="157"/>
      <c r="P165" s="180"/>
      <c r="Q165" s="156"/>
      <c r="R165" s="215"/>
      <c r="S165" s="215"/>
      <c r="T165" s="215"/>
      <c r="U165" s="215"/>
      <c r="V165" s="214"/>
      <c r="W165" s="156"/>
      <c r="X165" s="156"/>
      <c r="Y165" s="156"/>
      <c r="Z165" s="156"/>
      <c r="AA165" s="156"/>
      <c r="AB165" s="156"/>
      <c r="AC165" s="156"/>
      <c r="AD165" s="156"/>
      <c r="AE165" s="158"/>
      <c r="AF165" s="156"/>
      <c r="AG165" s="159"/>
      <c r="AL165" s="200"/>
    </row>
    <row r="166" spans="1:38" s="197" customFormat="1" ht="15" x14ac:dyDescent="0.25">
      <c r="A166" s="155"/>
      <c r="B166" s="156"/>
      <c r="C166" s="156"/>
      <c r="D166" s="157"/>
      <c r="E166" s="157"/>
      <c r="F166" s="156"/>
      <c r="G166" s="156"/>
      <c r="H166" s="156"/>
      <c r="I166" s="156"/>
      <c r="J166" s="156"/>
      <c r="K166" s="156"/>
      <c r="L166" s="156"/>
      <c r="M166" s="156"/>
      <c r="N166" s="156"/>
      <c r="O166" s="157"/>
      <c r="P166" s="180"/>
      <c r="Q166" s="156"/>
      <c r="R166" s="215"/>
      <c r="S166" s="215"/>
      <c r="T166" s="215"/>
      <c r="U166" s="215"/>
      <c r="V166" s="214"/>
      <c r="W166" s="156"/>
      <c r="X166" s="156"/>
      <c r="Y166" s="156"/>
      <c r="Z166" s="156"/>
      <c r="AA166" s="156"/>
      <c r="AB166" s="156"/>
      <c r="AC166" s="156"/>
      <c r="AD166" s="156"/>
      <c r="AE166" s="158"/>
      <c r="AF166" s="156"/>
      <c r="AG166" s="159"/>
      <c r="AL166" s="200"/>
    </row>
    <row r="167" spans="1:38" s="197" customFormat="1" ht="15" x14ac:dyDescent="0.25">
      <c r="A167" s="155"/>
      <c r="B167" s="156"/>
      <c r="C167" s="156"/>
      <c r="D167" s="157"/>
      <c r="E167" s="157"/>
      <c r="F167" s="156"/>
      <c r="G167" s="156"/>
      <c r="H167" s="156"/>
      <c r="I167" s="156"/>
      <c r="J167" s="156"/>
      <c r="K167" s="156"/>
      <c r="L167" s="156"/>
      <c r="M167" s="156"/>
      <c r="N167" s="156"/>
      <c r="O167" s="157"/>
      <c r="P167" s="180"/>
      <c r="Q167" s="156"/>
      <c r="R167" s="215"/>
      <c r="S167" s="215"/>
      <c r="T167" s="215"/>
      <c r="U167" s="215"/>
      <c r="V167" s="214"/>
      <c r="W167" s="156"/>
      <c r="X167" s="156"/>
      <c r="Y167" s="156"/>
      <c r="Z167" s="156"/>
      <c r="AA167" s="156"/>
      <c r="AB167" s="156"/>
      <c r="AC167" s="156"/>
      <c r="AD167" s="156"/>
      <c r="AE167" s="158"/>
      <c r="AF167" s="156"/>
      <c r="AG167" s="159"/>
      <c r="AL167" s="200"/>
    </row>
    <row r="168" spans="1:38" s="197" customFormat="1" ht="15" x14ac:dyDescent="0.25">
      <c r="A168" s="155"/>
      <c r="B168" s="156"/>
      <c r="C168" s="156"/>
      <c r="D168" s="157"/>
      <c r="E168" s="157"/>
      <c r="F168" s="156"/>
      <c r="G168" s="156"/>
      <c r="H168" s="156"/>
      <c r="I168" s="156"/>
      <c r="J168" s="156"/>
      <c r="K168" s="156"/>
      <c r="L168" s="156"/>
      <c r="M168" s="156"/>
      <c r="N168" s="156"/>
      <c r="O168" s="157"/>
      <c r="P168" s="180"/>
      <c r="Q168" s="156"/>
      <c r="R168" s="215"/>
      <c r="S168" s="215"/>
      <c r="T168" s="215"/>
      <c r="U168" s="215"/>
      <c r="V168" s="214"/>
      <c r="W168" s="157"/>
      <c r="X168" s="156"/>
      <c r="Y168" s="156"/>
      <c r="Z168" s="156"/>
      <c r="AA168" s="156"/>
      <c r="AB168" s="156"/>
      <c r="AC168" s="156"/>
      <c r="AD168" s="156"/>
      <c r="AE168" s="158"/>
      <c r="AF168" s="156"/>
      <c r="AG168" s="159"/>
      <c r="AL168" s="200"/>
    </row>
    <row r="169" spans="1:38" s="197" customFormat="1" ht="15" x14ac:dyDescent="0.25">
      <c r="A169" s="155"/>
      <c r="B169" s="156"/>
      <c r="C169" s="156"/>
      <c r="D169" s="157"/>
      <c r="E169" s="157"/>
      <c r="F169" s="156"/>
      <c r="G169" s="156"/>
      <c r="H169" s="156"/>
      <c r="I169" s="156"/>
      <c r="J169" s="156"/>
      <c r="K169" s="156"/>
      <c r="L169" s="156"/>
      <c r="M169" s="156"/>
      <c r="N169" s="156"/>
      <c r="O169" s="157"/>
      <c r="P169" s="180"/>
      <c r="Q169" s="156"/>
      <c r="R169" s="215"/>
      <c r="S169" s="215"/>
      <c r="T169" s="215"/>
      <c r="U169" s="215"/>
      <c r="V169" s="214"/>
      <c r="W169" s="156"/>
      <c r="X169" s="156"/>
      <c r="Y169" s="156"/>
      <c r="Z169" s="156"/>
      <c r="AA169" s="156"/>
      <c r="AB169" s="156"/>
      <c r="AC169" s="156"/>
      <c r="AD169" s="156"/>
      <c r="AE169" s="158"/>
      <c r="AF169" s="156"/>
      <c r="AG169" s="159"/>
      <c r="AL169" s="200"/>
    </row>
    <row r="170" spans="1:38" s="197" customFormat="1" ht="15" x14ac:dyDescent="0.25">
      <c r="A170" s="155"/>
      <c r="B170" s="156"/>
      <c r="C170" s="156"/>
      <c r="D170" s="157"/>
      <c r="E170" s="157"/>
      <c r="F170" s="156"/>
      <c r="G170" s="156"/>
      <c r="H170" s="156"/>
      <c r="I170" s="156"/>
      <c r="J170" s="156"/>
      <c r="K170" s="156"/>
      <c r="L170" s="156"/>
      <c r="M170" s="156"/>
      <c r="N170" s="156"/>
      <c r="O170" s="157"/>
      <c r="P170" s="180"/>
      <c r="Q170" s="156"/>
      <c r="R170" s="215"/>
      <c r="S170" s="215"/>
      <c r="T170" s="215"/>
      <c r="U170" s="215"/>
      <c r="V170" s="214"/>
      <c r="W170" s="157"/>
      <c r="X170" s="156"/>
      <c r="Y170" s="156"/>
      <c r="Z170" s="156"/>
      <c r="AA170" s="156"/>
      <c r="AB170" s="156"/>
      <c r="AC170" s="156"/>
      <c r="AD170" s="156"/>
      <c r="AE170" s="158"/>
      <c r="AF170" s="156"/>
      <c r="AG170" s="159"/>
      <c r="AL170" s="200"/>
    </row>
    <row r="171" spans="1:38" s="197" customFormat="1" ht="15" x14ac:dyDescent="0.25">
      <c r="A171" s="155"/>
      <c r="B171" s="156"/>
      <c r="C171" s="156"/>
      <c r="D171" s="157"/>
      <c r="E171" s="157"/>
      <c r="F171" s="156"/>
      <c r="G171" s="156"/>
      <c r="H171" s="156"/>
      <c r="I171" s="156"/>
      <c r="J171" s="156"/>
      <c r="K171" s="156"/>
      <c r="L171" s="156"/>
      <c r="M171" s="156"/>
      <c r="N171" s="156"/>
      <c r="O171" s="157"/>
      <c r="P171" s="180"/>
      <c r="Q171" s="156"/>
      <c r="R171" s="215"/>
      <c r="S171" s="215"/>
      <c r="T171" s="215"/>
      <c r="U171" s="215"/>
      <c r="V171" s="214"/>
      <c r="W171" s="156"/>
      <c r="X171" s="156"/>
      <c r="Y171" s="156"/>
      <c r="Z171" s="156"/>
      <c r="AA171" s="156"/>
      <c r="AB171" s="156"/>
      <c r="AC171" s="156"/>
      <c r="AD171" s="156"/>
      <c r="AE171" s="158"/>
      <c r="AF171" s="156"/>
      <c r="AG171" s="159"/>
      <c r="AL171" s="200"/>
    </row>
    <row r="172" spans="1:38" s="197" customFormat="1" ht="15" x14ac:dyDescent="0.25">
      <c r="A172" s="155"/>
      <c r="B172" s="156"/>
      <c r="C172" s="156"/>
      <c r="D172" s="157"/>
      <c r="E172" s="157"/>
      <c r="F172" s="156"/>
      <c r="G172" s="156"/>
      <c r="H172" s="156"/>
      <c r="I172" s="156"/>
      <c r="J172" s="156"/>
      <c r="K172" s="156"/>
      <c r="L172" s="156"/>
      <c r="M172" s="156"/>
      <c r="N172" s="156"/>
      <c r="O172" s="157"/>
      <c r="P172" s="180"/>
      <c r="Q172" s="156"/>
      <c r="R172" s="215"/>
      <c r="S172" s="215"/>
      <c r="T172" s="215"/>
      <c r="U172" s="215"/>
      <c r="V172" s="214"/>
      <c r="W172" s="156"/>
      <c r="X172" s="156"/>
      <c r="Y172" s="156"/>
      <c r="Z172" s="156"/>
      <c r="AA172" s="156"/>
      <c r="AB172" s="156"/>
      <c r="AC172" s="156"/>
      <c r="AD172" s="156"/>
      <c r="AE172" s="158"/>
      <c r="AF172" s="156"/>
      <c r="AG172" s="159"/>
      <c r="AL172" s="200"/>
    </row>
    <row r="173" spans="1:38" s="197" customFormat="1" ht="15" x14ac:dyDescent="0.25">
      <c r="A173" s="155"/>
      <c r="B173" s="156"/>
      <c r="C173" s="156"/>
      <c r="D173" s="157"/>
      <c r="E173" s="157"/>
      <c r="F173" s="156"/>
      <c r="G173" s="156"/>
      <c r="H173" s="156"/>
      <c r="I173" s="156"/>
      <c r="J173" s="156"/>
      <c r="K173" s="156"/>
      <c r="L173" s="156"/>
      <c r="M173" s="156"/>
      <c r="N173" s="156"/>
      <c r="O173" s="157"/>
      <c r="P173" s="180"/>
      <c r="Q173" s="156"/>
      <c r="R173" s="215"/>
      <c r="S173" s="215"/>
      <c r="T173" s="215"/>
      <c r="U173" s="215"/>
      <c r="V173" s="214"/>
      <c r="W173" s="156"/>
      <c r="X173" s="156"/>
      <c r="Y173" s="156"/>
      <c r="Z173" s="156"/>
      <c r="AA173" s="156"/>
      <c r="AB173" s="156"/>
      <c r="AC173" s="156"/>
      <c r="AD173" s="156"/>
      <c r="AE173" s="158"/>
      <c r="AF173" s="156"/>
      <c r="AG173" s="159"/>
      <c r="AL173" s="200"/>
    </row>
    <row r="174" spans="1:38" s="197" customFormat="1" ht="15" x14ac:dyDescent="0.25">
      <c r="A174" s="155"/>
      <c r="B174" s="156"/>
      <c r="C174" s="156"/>
      <c r="D174" s="157"/>
      <c r="E174" s="157"/>
      <c r="F174" s="156"/>
      <c r="G174" s="156"/>
      <c r="H174" s="156"/>
      <c r="I174" s="156"/>
      <c r="J174" s="156"/>
      <c r="K174" s="156"/>
      <c r="L174" s="156"/>
      <c r="M174" s="156"/>
      <c r="N174" s="156"/>
      <c r="O174" s="157"/>
      <c r="P174" s="180"/>
      <c r="Q174" s="156"/>
      <c r="R174" s="215"/>
      <c r="S174" s="215"/>
      <c r="T174" s="215"/>
      <c r="U174" s="215"/>
      <c r="V174" s="214"/>
      <c r="W174" s="156"/>
      <c r="X174" s="156"/>
      <c r="Y174" s="156"/>
      <c r="Z174" s="156"/>
      <c r="AA174" s="156"/>
      <c r="AB174" s="156"/>
      <c r="AC174" s="156"/>
      <c r="AD174" s="156"/>
      <c r="AE174" s="158"/>
      <c r="AF174" s="156"/>
      <c r="AG174" s="159"/>
      <c r="AL174" s="200"/>
    </row>
    <row r="175" spans="1:38" s="197" customFormat="1" ht="15" x14ac:dyDescent="0.25">
      <c r="A175" s="155"/>
      <c r="B175" s="156"/>
      <c r="C175" s="156"/>
      <c r="D175" s="157"/>
      <c r="E175" s="157"/>
      <c r="F175" s="156"/>
      <c r="G175" s="156"/>
      <c r="H175" s="156"/>
      <c r="I175" s="156"/>
      <c r="J175" s="156"/>
      <c r="K175" s="156"/>
      <c r="L175" s="156"/>
      <c r="M175" s="156"/>
      <c r="N175" s="156"/>
      <c r="O175" s="157"/>
      <c r="P175" s="180"/>
      <c r="Q175" s="156"/>
      <c r="R175" s="215"/>
      <c r="S175" s="215"/>
      <c r="T175" s="215"/>
      <c r="U175" s="215"/>
      <c r="V175" s="214"/>
      <c r="W175" s="156"/>
      <c r="X175" s="156"/>
      <c r="Y175" s="156"/>
      <c r="Z175" s="156"/>
      <c r="AA175" s="156"/>
      <c r="AB175" s="156"/>
      <c r="AC175" s="156"/>
      <c r="AD175" s="156"/>
      <c r="AE175" s="158"/>
      <c r="AF175" s="156"/>
      <c r="AG175" s="159"/>
      <c r="AL175" s="200"/>
    </row>
    <row r="176" spans="1:38" s="197" customFormat="1" ht="15" x14ac:dyDescent="0.25">
      <c r="A176" s="155"/>
      <c r="B176" s="156"/>
      <c r="C176" s="156"/>
      <c r="D176" s="157"/>
      <c r="E176" s="157"/>
      <c r="F176" s="156"/>
      <c r="G176" s="156"/>
      <c r="H176" s="156"/>
      <c r="I176" s="156"/>
      <c r="J176" s="156"/>
      <c r="K176" s="156"/>
      <c r="L176" s="156"/>
      <c r="M176" s="156"/>
      <c r="N176" s="156"/>
      <c r="O176" s="157"/>
      <c r="P176" s="180"/>
      <c r="Q176" s="156"/>
      <c r="R176" s="215"/>
      <c r="S176" s="215"/>
      <c r="T176" s="215"/>
      <c r="U176" s="215"/>
      <c r="V176" s="214"/>
      <c r="W176" s="156"/>
      <c r="X176" s="156"/>
      <c r="Y176" s="156"/>
      <c r="Z176" s="156"/>
      <c r="AA176" s="156"/>
      <c r="AB176" s="156"/>
      <c r="AC176" s="156"/>
      <c r="AD176" s="156"/>
      <c r="AE176" s="158"/>
      <c r="AF176" s="156"/>
      <c r="AG176" s="159"/>
      <c r="AL176" s="200"/>
    </row>
    <row r="177" spans="1:38" s="197" customFormat="1" ht="15" x14ac:dyDescent="0.25">
      <c r="A177" s="155"/>
      <c r="B177" s="156"/>
      <c r="C177" s="156"/>
      <c r="D177" s="157"/>
      <c r="E177" s="157"/>
      <c r="F177" s="156"/>
      <c r="G177" s="156"/>
      <c r="H177" s="156"/>
      <c r="I177" s="156"/>
      <c r="J177" s="156"/>
      <c r="K177" s="156"/>
      <c r="L177" s="156"/>
      <c r="M177" s="156"/>
      <c r="N177" s="156"/>
      <c r="O177" s="157"/>
      <c r="P177" s="180"/>
      <c r="Q177" s="156"/>
      <c r="R177" s="215"/>
      <c r="S177" s="215"/>
      <c r="T177" s="215"/>
      <c r="U177" s="215"/>
      <c r="V177" s="214"/>
      <c r="W177" s="156"/>
      <c r="X177" s="156"/>
      <c r="Y177" s="156"/>
      <c r="Z177" s="156"/>
      <c r="AA177" s="156"/>
      <c r="AB177" s="156"/>
      <c r="AC177" s="156"/>
      <c r="AD177" s="156"/>
      <c r="AE177" s="158"/>
      <c r="AF177" s="156"/>
      <c r="AG177" s="159"/>
      <c r="AL177" s="200"/>
    </row>
    <row r="178" spans="1:38" s="197" customFormat="1" ht="15" x14ac:dyDescent="0.25">
      <c r="A178" s="155"/>
      <c r="B178" s="156"/>
      <c r="C178" s="156"/>
      <c r="D178" s="157"/>
      <c r="E178" s="157"/>
      <c r="F178" s="156"/>
      <c r="G178" s="156"/>
      <c r="H178" s="156"/>
      <c r="I178" s="156"/>
      <c r="J178" s="156"/>
      <c r="K178" s="156"/>
      <c r="L178" s="156"/>
      <c r="M178" s="156"/>
      <c r="N178" s="156"/>
      <c r="O178" s="157"/>
      <c r="P178" s="180"/>
      <c r="Q178" s="156"/>
      <c r="R178" s="215"/>
      <c r="S178" s="215"/>
      <c r="T178" s="215"/>
      <c r="U178" s="215"/>
      <c r="V178" s="214"/>
      <c r="W178" s="156"/>
      <c r="X178" s="156"/>
      <c r="Y178" s="156"/>
      <c r="Z178" s="156"/>
      <c r="AA178" s="156"/>
      <c r="AB178" s="156"/>
      <c r="AC178" s="156"/>
      <c r="AD178" s="156"/>
      <c r="AE178" s="158"/>
      <c r="AF178" s="156"/>
      <c r="AG178" s="159"/>
      <c r="AL178" s="200"/>
    </row>
    <row r="179" spans="1:38" s="197" customFormat="1" ht="15" x14ac:dyDescent="0.25">
      <c r="A179" s="155"/>
      <c r="B179" s="156"/>
      <c r="C179" s="156"/>
      <c r="D179" s="157"/>
      <c r="E179" s="157"/>
      <c r="F179" s="156"/>
      <c r="G179" s="156"/>
      <c r="H179" s="156"/>
      <c r="I179" s="156"/>
      <c r="J179" s="156"/>
      <c r="K179" s="156"/>
      <c r="L179" s="156"/>
      <c r="M179" s="156"/>
      <c r="N179" s="156"/>
      <c r="O179" s="157"/>
      <c r="P179" s="180"/>
      <c r="Q179" s="156"/>
      <c r="R179" s="215"/>
      <c r="S179" s="215"/>
      <c r="T179" s="215"/>
      <c r="U179" s="215"/>
      <c r="V179" s="214"/>
      <c r="W179" s="156"/>
      <c r="X179" s="156"/>
      <c r="Y179" s="156"/>
      <c r="Z179" s="156"/>
      <c r="AA179" s="156"/>
      <c r="AB179" s="156"/>
      <c r="AC179" s="156"/>
      <c r="AD179" s="156"/>
      <c r="AE179" s="158"/>
      <c r="AF179" s="156"/>
      <c r="AG179" s="159"/>
      <c r="AL179" s="200"/>
    </row>
    <row r="180" spans="1:38" s="197" customFormat="1" ht="15" x14ac:dyDescent="0.25">
      <c r="A180" s="155"/>
      <c r="B180" s="156"/>
      <c r="C180" s="156"/>
      <c r="D180" s="157"/>
      <c r="E180" s="157"/>
      <c r="F180" s="156"/>
      <c r="G180" s="156"/>
      <c r="H180" s="156"/>
      <c r="I180" s="156"/>
      <c r="J180" s="156"/>
      <c r="K180" s="156"/>
      <c r="L180" s="156"/>
      <c r="M180" s="156"/>
      <c r="N180" s="156"/>
      <c r="O180" s="157"/>
      <c r="P180" s="180"/>
      <c r="Q180" s="156"/>
      <c r="R180" s="215"/>
      <c r="S180" s="215"/>
      <c r="T180" s="215"/>
      <c r="U180" s="215"/>
      <c r="V180" s="214"/>
      <c r="W180" s="156"/>
      <c r="X180" s="156"/>
      <c r="Y180" s="156"/>
      <c r="Z180" s="156"/>
      <c r="AA180" s="156"/>
      <c r="AB180" s="156"/>
      <c r="AC180" s="156"/>
      <c r="AD180" s="156"/>
      <c r="AE180" s="158"/>
      <c r="AF180" s="156"/>
      <c r="AG180" s="159"/>
      <c r="AL180" s="200"/>
    </row>
    <row r="181" spans="1:38" s="197" customFormat="1" ht="15" x14ac:dyDescent="0.25">
      <c r="A181" s="155"/>
      <c r="B181" s="156"/>
      <c r="C181" s="156"/>
      <c r="D181" s="157"/>
      <c r="E181" s="157"/>
      <c r="F181" s="156"/>
      <c r="G181" s="156"/>
      <c r="H181" s="156"/>
      <c r="I181" s="156"/>
      <c r="J181" s="156"/>
      <c r="K181" s="156"/>
      <c r="L181" s="156"/>
      <c r="M181" s="156"/>
      <c r="N181" s="156"/>
      <c r="O181" s="157"/>
      <c r="P181" s="180"/>
      <c r="Q181" s="156"/>
      <c r="R181" s="215"/>
      <c r="S181" s="215"/>
      <c r="T181" s="215"/>
      <c r="U181" s="215"/>
      <c r="V181" s="214"/>
      <c r="W181" s="156"/>
      <c r="X181" s="156"/>
      <c r="Y181" s="156"/>
      <c r="Z181" s="156"/>
      <c r="AA181" s="156"/>
      <c r="AB181" s="156"/>
      <c r="AC181" s="156"/>
      <c r="AD181" s="156"/>
      <c r="AE181" s="158"/>
      <c r="AF181" s="156"/>
      <c r="AG181" s="159"/>
      <c r="AL181" s="200"/>
    </row>
    <row r="182" spans="1:38" s="197" customFormat="1" ht="15" x14ac:dyDescent="0.25">
      <c r="A182" s="155"/>
      <c r="B182" s="156"/>
      <c r="C182" s="156"/>
      <c r="D182" s="157"/>
      <c r="E182" s="157"/>
      <c r="F182" s="156"/>
      <c r="G182" s="156"/>
      <c r="H182" s="156"/>
      <c r="I182" s="156"/>
      <c r="J182" s="156"/>
      <c r="K182" s="156"/>
      <c r="L182" s="156"/>
      <c r="M182" s="156"/>
      <c r="N182" s="156"/>
      <c r="O182" s="157"/>
      <c r="P182" s="180"/>
      <c r="Q182" s="156"/>
      <c r="R182" s="215"/>
      <c r="S182" s="215"/>
      <c r="T182" s="215"/>
      <c r="U182" s="215"/>
      <c r="V182" s="214"/>
      <c r="W182" s="156"/>
      <c r="X182" s="156"/>
      <c r="Y182" s="156"/>
      <c r="Z182" s="156"/>
      <c r="AA182" s="156"/>
      <c r="AB182" s="156"/>
      <c r="AC182" s="156"/>
      <c r="AD182" s="156"/>
      <c r="AE182" s="158"/>
      <c r="AF182" s="156"/>
      <c r="AG182" s="159"/>
      <c r="AL182" s="200"/>
    </row>
    <row r="183" spans="1:38" s="197" customFormat="1" ht="15" x14ac:dyDescent="0.25">
      <c r="A183" s="155"/>
      <c r="B183" s="156"/>
      <c r="C183" s="156"/>
      <c r="D183" s="157"/>
      <c r="E183" s="157"/>
      <c r="F183" s="156"/>
      <c r="G183" s="156"/>
      <c r="H183" s="156"/>
      <c r="I183" s="156"/>
      <c r="J183" s="156"/>
      <c r="K183" s="156"/>
      <c r="L183" s="156"/>
      <c r="M183" s="156"/>
      <c r="N183" s="156"/>
      <c r="O183" s="157"/>
      <c r="P183" s="180"/>
      <c r="Q183" s="156"/>
      <c r="R183" s="215"/>
      <c r="S183" s="215"/>
      <c r="T183" s="215"/>
      <c r="U183" s="215"/>
      <c r="V183" s="214"/>
      <c r="W183" s="156"/>
      <c r="X183" s="156"/>
      <c r="Y183" s="156"/>
      <c r="Z183" s="156"/>
      <c r="AA183" s="156"/>
      <c r="AB183" s="156"/>
      <c r="AC183" s="156"/>
      <c r="AD183" s="156"/>
      <c r="AE183" s="158"/>
      <c r="AF183" s="156"/>
      <c r="AG183" s="159"/>
      <c r="AL183" s="200"/>
    </row>
    <row r="184" spans="1:38" s="197" customFormat="1" ht="15" x14ac:dyDescent="0.25">
      <c r="A184" s="155"/>
      <c r="B184" s="156"/>
      <c r="C184" s="156"/>
      <c r="D184" s="157"/>
      <c r="E184" s="157"/>
      <c r="F184" s="156"/>
      <c r="G184" s="156"/>
      <c r="H184" s="156"/>
      <c r="I184" s="156"/>
      <c r="J184" s="156"/>
      <c r="K184" s="156"/>
      <c r="L184" s="156"/>
      <c r="M184" s="156"/>
      <c r="N184" s="156"/>
      <c r="O184" s="157"/>
      <c r="P184" s="180"/>
      <c r="Q184" s="156"/>
      <c r="R184" s="215"/>
      <c r="S184" s="215"/>
      <c r="T184" s="215"/>
      <c r="U184" s="215"/>
      <c r="V184" s="214"/>
      <c r="W184" s="156"/>
      <c r="X184" s="156"/>
      <c r="Y184" s="156"/>
      <c r="Z184" s="156"/>
      <c r="AA184" s="156"/>
      <c r="AB184" s="156"/>
      <c r="AC184" s="156"/>
      <c r="AD184" s="156"/>
      <c r="AE184" s="158"/>
      <c r="AF184" s="156"/>
      <c r="AG184" s="159"/>
      <c r="AL184" s="200"/>
    </row>
    <row r="185" spans="1:38" s="197" customFormat="1" ht="15" x14ac:dyDescent="0.25">
      <c r="A185" s="155"/>
      <c r="B185" s="156"/>
      <c r="C185" s="156"/>
      <c r="D185" s="157"/>
      <c r="E185" s="157"/>
      <c r="F185" s="156"/>
      <c r="G185" s="156"/>
      <c r="H185" s="156"/>
      <c r="I185" s="156"/>
      <c r="J185" s="156"/>
      <c r="K185" s="156"/>
      <c r="L185" s="156"/>
      <c r="M185" s="156"/>
      <c r="N185" s="156"/>
      <c r="O185" s="157"/>
      <c r="P185" s="180"/>
      <c r="Q185" s="156"/>
      <c r="R185" s="215"/>
      <c r="S185" s="215"/>
      <c r="T185" s="215"/>
      <c r="U185" s="215"/>
      <c r="V185" s="214"/>
      <c r="W185" s="156"/>
      <c r="X185" s="156"/>
      <c r="Y185" s="156"/>
      <c r="Z185" s="156"/>
      <c r="AA185" s="156"/>
      <c r="AB185" s="156"/>
      <c r="AC185" s="156"/>
      <c r="AD185" s="156"/>
      <c r="AE185" s="158"/>
      <c r="AF185" s="156"/>
      <c r="AG185" s="159"/>
      <c r="AL185" s="200"/>
    </row>
    <row r="186" spans="1:38" s="197" customFormat="1" ht="15" x14ac:dyDescent="0.25">
      <c r="A186" s="155"/>
      <c r="B186" s="156"/>
      <c r="C186" s="156"/>
      <c r="D186" s="157"/>
      <c r="E186" s="157"/>
      <c r="F186" s="156"/>
      <c r="G186" s="156"/>
      <c r="H186" s="156"/>
      <c r="I186" s="156"/>
      <c r="J186" s="156"/>
      <c r="K186" s="156"/>
      <c r="L186" s="156"/>
      <c r="M186" s="156"/>
      <c r="N186" s="156"/>
      <c r="O186" s="157"/>
      <c r="P186" s="180"/>
      <c r="Q186" s="156"/>
      <c r="R186" s="215"/>
      <c r="S186" s="215"/>
      <c r="T186" s="215"/>
      <c r="U186" s="215"/>
      <c r="V186" s="214"/>
      <c r="W186" s="157"/>
      <c r="X186" s="156"/>
      <c r="Y186" s="156"/>
      <c r="Z186" s="156"/>
      <c r="AA186" s="156"/>
      <c r="AB186" s="156"/>
      <c r="AC186" s="156"/>
      <c r="AD186" s="156"/>
      <c r="AE186" s="158"/>
      <c r="AF186" s="156"/>
      <c r="AG186" s="159"/>
      <c r="AL186" s="200"/>
    </row>
    <row r="187" spans="1:38" s="197" customFormat="1" ht="15" x14ac:dyDescent="0.25">
      <c r="A187" s="155"/>
      <c r="B187" s="156"/>
      <c r="C187" s="156"/>
      <c r="D187" s="157"/>
      <c r="E187" s="157"/>
      <c r="F187" s="156"/>
      <c r="G187" s="156"/>
      <c r="H187" s="156"/>
      <c r="I187" s="156"/>
      <c r="J187" s="156"/>
      <c r="K187" s="156"/>
      <c r="L187" s="156"/>
      <c r="M187" s="156"/>
      <c r="N187" s="156"/>
      <c r="O187" s="157"/>
      <c r="P187" s="180"/>
      <c r="Q187" s="156"/>
      <c r="R187" s="215"/>
      <c r="S187" s="215"/>
      <c r="T187" s="215"/>
      <c r="U187" s="215"/>
      <c r="V187" s="214"/>
      <c r="W187" s="156"/>
      <c r="X187" s="156"/>
      <c r="Y187" s="156"/>
      <c r="Z187" s="156"/>
      <c r="AA187" s="156"/>
      <c r="AB187" s="156"/>
      <c r="AC187" s="156"/>
      <c r="AD187" s="156"/>
      <c r="AE187" s="158"/>
      <c r="AF187" s="156"/>
      <c r="AG187" s="159"/>
      <c r="AL187" s="200"/>
    </row>
    <row r="188" spans="1:38" s="197" customFormat="1" ht="15" x14ac:dyDescent="0.25">
      <c r="A188" s="155"/>
      <c r="B188" s="156"/>
      <c r="C188" s="156"/>
      <c r="D188" s="157"/>
      <c r="E188" s="157"/>
      <c r="F188" s="156"/>
      <c r="G188" s="156"/>
      <c r="H188" s="156"/>
      <c r="I188" s="156"/>
      <c r="J188" s="156"/>
      <c r="K188" s="156"/>
      <c r="L188" s="156"/>
      <c r="M188" s="156"/>
      <c r="N188" s="156"/>
      <c r="O188" s="157"/>
      <c r="P188" s="180"/>
      <c r="Q188" s="156"/>
      <c r="R188" s="215"/>
      <c r="S188" s="215"/>
      <c r="T188" s="215"/>
      <c r="U188" s="215"/>
      <c r="V188" s="214"/>
      <c r="W188" s="156"/>
      <c r="X188" s="156"/>
      <c r="Y188" s="156"/>
      <c r="Z188" s="156"/>
      <c r="AA188" s="156"/>
      <c r="AB188" s="156"/>
      <c r="AC188" s="156"/>
      <c r="AD188" s="156"/>
      <c r="AE188" s="158"/>
      <c r="AF188" s="156"/>
      <c r="AG188" s="159"/>
      <c r="AL188" s="200"/>
    </row>
    <row r="189" spans="1:38" s="197" customFormat="1" ht="15" x14ac:dyDescent="0.25">
      <c r="A189" s="155"/>
      <c r="B189" s="156"/>
      <c r="C189" s="156"/>
      <c r="D189" s="157"/>
      <c r="E189" s="157"/>
      <c r="F189" s="156"/>
      <c r="G189" s="156"/>
      <c r="H189" s="156"/>
      <c r="I189" s="156"/>
      <c r="J189" s="156"/>
      <c r="K189" s="156"/>
      <c r="L189" s="156"/>
      <c r="M189" s="156"/>
      <c r="N189" s="156"/>
      <c r="O189" s="157"/>
      <c r="P189" s="180"/>
      <c r="Q189" s="156"/>
      <c r="R189" s="215"/>
      <c r="S189" s="215"/>
      <c r="T189" s="215"/>
      <c r="U189" s="215"/>
      <c r="V189" s="214"/>
      <c r="W189" s="156"/>
      <c r="X189" s="156"/>
      <c r="Y189" s="156"/>
      <c r="Z189" s="156"/>
      <c r="AA189" s="156"/>
      <c r="AB189" s="156"/>
      <c r="AC189" s="156"/>
      <c r="AD189" s="156"/>
      <c r="AE189" s="158"/>
      <c r="AF189" s="156"/>
      <c r="AG189" s="159"/>
      <c r="AL189" s="200"/>
    </row>
    <row r="190" spans="1:38" s="197" customFormat="1" ht="15" x14ac:dyDescent="0.25">
      <c r="A190" s="155"/>
      <c r="B190" s="156"/>
      <c r="C190" s="156"/>
      <c r="D190" s="157"/>
      <c r="E190" s="157"/>
      <c r="F190" s="156"/>
      <c r="G190" s="156"/>
      <c r="H190" s="156"/>
      <c r="I190" s="156"/>
      <c r="J190" s="156"/>
      <c r="K190" s="156"/>
      <c r="L190" s="156"/>
      <c r="M190" s="156"/>
      <c r="N190" s="156"/>
      <c r="O190" s="157"/>
      <c r="P190" s="180"/>
      <c r="Q190" s="156"/>
      <c r="R190" s="215"/>
      <c r="S190" s="215"/>
      <c r="T190" s="215"/>
      <c r="U190" s="215"/>
      <c r="V190" s="214"/>
      <c r="W190" s="156"/>
      <c r="X190" s="156"/>
      <c r="Y190" s="156"/>
      <c r="Z190" s="156"/>
      <c r="AA190" s="156"/>
      <c r="AB190" s="156"/>
      <c r="AC190" s="156"/>
      <c r="AD190" s="156"/>
      <c r="AE190" s="158"/>
      <c r="AF190" s="156"/>
      <c r="AG190" s="159"/>
      <c r="AL190" s="200"/>
    </row>
    <row r="191" spans="1:38" s="197" customFormat="1" ht="15" x14ac:dyDescent="0.25">
      <c r="A191" s="155"/>
      <c r="B191" s="156"/>
      <c r="C191" s="156"/>
      <c r="D191" s="157"/>
      <c r="E191" s="157"/>
      <c r="F191" s="156"/>
      <c r="G191" s="156"/>
      <c r="H191" s="156"/>
      <c r="I191" s="156"/>
      <c r="J191" s="156"/>
      <c r="K191" s="156"/>
      <c r="L191" s="156"/>
      <c r="M191" s="156"/>
      <c r="N191" s="156"/>
      <c r="O191" s="157"/>
      <c r="P191" s="180"/>
      <c r="Q191" s="156"/>
      <c r="R191" s="215"/>
      <c r="S191" s="215"/>
      <c r="T191" s="215"/>
      <c r="U191" s="215"/>
      <c r="V191" s="214"/>
      <c r="W191" s="156"/>
      <c r="X191" s="156"/>
      <c r="Y191" s="156"/>
      <c r="Z191" s="156"/>
      <c r="AA191" s="156"/>
      <c r="AB191" s="156"/>
      <c r="AC191" s="156"/>
      <c r="AD191" s="156"/>
      <c r="AE191" s="158"/>
      <c r="AF191" s="156"/>
      <c r="AG191" s="159"/>
      <c r="AL191" s="200"/>
    </row>
    <row r="192" spans="1:38" s="197" customFormat="1" ht="15" x14ac:dyDescent="0.25">
      <c r="A192" s="155"/>
      <c r="B192" s="156"/>
      <c r="C192" s="156"/>
      <c r="D192" s="157"/>
      <c r="E192" s="157"/>
      <c r="F192" s="156"/>
      <c r="G192" s="156"/>
      <c r="H192" s="156"/>
      <c r="I192" s="156"/>
      <c r="J192" s="156"/>
      <c r="K192" s="156"/>
      <c r="L192" s="156"/>
      <c r="M192" s="156"/>
      <c r="N192" s="156"/>
      <c r="O192" s="157"/>
      <c r="P192" s="180"/>
      <c r="Q192" s="156"/>
      <c r="R192" s="215"/>
      <c r="S192" s="215"/>
      <c r="T192" s="215"/>
      <c r="U192" s="215"/>
      <c r="V192" s="214"/>
      <c r="W192" s="156"/>
      <c r="X192" s="156"/>
      <c r="Y192" s="156"/>
      <c r="Z192" s="156"/>
      <c r="AA192" s="156"/>
      <c r="AB192" s="156"/>
      <c r="AC192" s="156"/>
      <c r="AD192" s="156"/>
      <c r="AE192" s="158"/>
      <c r="AF192" s="156"/>
      <c r="AG192" s="159"/>
      <c r="AL192" s="200"/>
    </row>
    <row r="193" spans="1:38" s="197" customFormat="1" ht="15" x14ac:dyDescent="0.25">
      <c r="A193" s="155"/>
      <c r="B193" s="156"/>
      <c r="C193" s="156"/>
      <c r="D193" s="157"/>
      <c r="E193" s="157"/>
      <c r="F193" s="156"/>
      <c r="G193" s="156"/>
      <c r="H193" s="156"/>
      <c r="I193" s="156"/>
      <c r="J193" s="156"/>
      <c r="K193" s="156"/>
      <c r="L193" s="156"/>
      <c r="M193" s="156"/>
      <c r="N193" s="156"/>
      <c r="O193" s="157"/>
      <c r="P193" s="180"/>
      <c r="Q193" s="156"/>
      <c r="R193" s="215"/>
      <c r="S193" s="215"/>
      <c r="T193" s="215"/>
      <c r="U193" s="215"/>
      <c r="V193" s="214"/>
      <c r="W193" s="156"/>
      <c r="X193" s="156"/>
      <c r="Y193" s="156"/>
      <c r="Z193" s="156"/>
      <c r="AA193" s="156"/>
      <c r="AB193" s="156"/>
      <c r="AC193" s="156"/>
      <c r="AD193" s="156"/>
      <c r="AE193" s="158"/>
      <c r="AF193" s="156"/>
      <c r="AG193" s="159"/>
      <c r="AL193" s="200"/>
    </row>
    <row r="194" spans="1:38" s="197" customFormat="1" ht="15" x14ac:dyDescent="0.25">
      <c r="A194" s="155"/>
      <c r="B194" s="156"/>
      <c r="C194" s="156"/>
      <c r="D194" s="157"/>
      <c r="E194" s="157"/>
      <c r="F194" s="156"/>
      <c r="G194" s="156"/>
      <c r="H194" s="156"/>
      <c r="I194" s="156"/>
      <c r="J194" s="156"/>
      <c r="K194" s="156"/>
      <c r="L194" s="156"/>
      <c r="M194" s="156"/>
      <c r="N194" s="156"/>
      <c r="O194" s="157"/>
      <c r="P194" s="180"/>
      <c r="Q194" s="156"/>
      <c r="R194" s="215"/>
      <c r="S194" s="215"/>
      <c r="T194" s="215"/>
      <c r="U194" s="215"/>
      <c r="V194" s="214"/>
      <c r="W194" s="156"/>
      <c r="X194" s="156"/>
      <c r="Y194" s="156"/>
      <c r="Z194" s="156"/>
      <c r="AA194" s="156"/>
      <c r="AB194" s="156"/>
      <c r="AC194" s="156"/>
      <c r="AD194" s="156"/>
      <c r="AE194" s="158"/>
      <c r="AF194" s="156"/>
      <c r="AG194" s="159"/>
      <c r="AL194" s="200"/>
    </row>
    <row r="195" spans="1:38" s="197" customFormat="1" ht="15" x14ac:dyDescent="0.25">
      <c r="A195" s="155"/>
      <c r="B195" s="156"/>
      <c r="C195" s="156"/>
      <c r="D195" s="157"/>
      <c r="E195" s="157"/>
      <c r="F195" s="156"/>
      <c r="G195" s="156"/>
      <c r="H195" s="156"/>
      <c r="I195" s="156"/>
      <c r="J195" s="156"/>
      <c r="K195" s="156"/>
      <c r="L195" s="156"/>
      <c r="M195" s="156"/>
      <c r="N195" s="156"/>
      <c r="O195" s="157"/>
      <c r="P195" s="180"/>
      <c r="Q195" s="156"/>
      <c r="R195" s="215"/>
      <c r="S195" s="215"/>
      <c r="T195" s="215"/>
      <c r="U195" s="215"/>
      <c r="V195" s="214"/>
      <c r="W195" s="156"/>
      <c r="X195" s="156"/>
      <c r="Y195" s="156"/>
      <c r="Z195" s="156"/>
      <c r="AA195" s="156"/>
      <c r="AB195" s="156"/>
      <c r="AC195" s="156"/>
      <c r="AD195" s="156"/>
      <c r="AE195" s="158"/>
      <c r="AF195" s="156"/>
      <c r="AG195" s="159"/>
      <c r="AL195" s="200"/>
    </row>
    <row r="196" spans="1:38" s="197" customFormat="1" ht="15" x14ac:dyDescent="0.25">
      <c r="A196" s="155"/>
      <c r="B196" s="156"/>
      <c r="C196" s="156"/>
      <c r="D196" s="157"/>
      <c r="E196" s="157"/>
      <c r="F196" s="156"/>
      <c r="G196" s="156"/>
      <c r="H196" s="156"/>
      <c r="I196" s="156"/>
      <c r="J196" s="156"/>
      <c r="K196" s="156"/>
      <c r="L196" s="156"/>
      <c r="M196" s="156"/>
      <c r="N196" s="156"/>
      <c r="O196" s="157"/>
      <c r="P196" s="180"/>
      <c r="Q196" s="156"/>
      <c r="R196" s="215"/>
      <c r="S196" s="215"/>
      <c r="T196" s="215"/>
      <c r="U196" s="215"/>
      <c r="V196" s="214"/>
      <c r="W196" s="156"/>
      <c r="X196" s="156"/>
      <c r="Y196" s="156"/>
      <c r="Z196" s="156"/>
      <c r="AA196" s="156"/>
      <c r="AB196" s="156"/>
      <c r="AC196" s="156"/>
      <c r="AD196" s="156"/>
      <c r="AE196" s="158"/>
      <c r="AF196" s="156"/>
      <c r="AG196" s="159"/>
      <c r="AL196" s="200"/>
    </row>
    <row r="197" spans="1:38" s="197" customFormat="1" ht="15" x14ac:dyDescent="0.25">
      <c r="A197" s="155"/>
      <c r="B197" s="156"/>
      <c r="C197" s="156"/>
      <c r="D197" s="157"/>
      <c r="E197" s="157"/>
      <c r="F197" s="156"/>
      <c r="G197" s="156"/>
      <c r="H197" s="156"/>
      <c r="I197" s="156"/>
      <c r="J197" s="156"/>
      <c r="K197" s="156"/>
      <c r="L197" s="156"/>
      <c r="M197" s="156"/>
      <c r="N197" s="156"/>
      <c r="O197" s="157"/>
      <c r="P197" s="180"/>
      <c r="Q197" s="156"/>
      <c r="R197" s="215"/>
      <c r="S197" s="215"/>
      <c r="T197" s="215"/>
      <c r="U197" s="215"/>
      <c r="V197" s="214"/>
      <c r="W197" s="156"/>
      <c r="X197" s="156"/>
      <c r="Y197" s="156"/>
      <c r="Z197" s="156"/>
      <c r="AA197" s="156"/>
      <c r="AB197" s="156"/>
      <c r="AC197" s="156"/>
      <c r="AD197" s="156"/>
      <c r="AE197" s="158"/>
      <c r="AF197" s="156"/>
      <c r="AG197" s="159"/>
      <c r="AL197" s="200"/>
    </row>
    <row r="198" spans="1:38" s="197" customFormat="1" ht="15" x14ac:dyDescent="0.25">
      <c r="A198" s="155"/>
      <c r="B198" s="156"/>
      <c r="C198" s="156"/>
      <c r="D198" s="157"/>
      <c r="E198" s="157"/>
      <c r="F198" s="156"/>
      <c r="G198" s="156"/>
      <c r="H198" s="156"/>
      <c r="I198" s="156"/>
      <c r="J198" s="156"/>
      <c r="K198" s="156"/>
      <c r="L198" s="156"/>
      <c r="M198" s="156"/>
      <c r="N198" s="156"/>
      <c r="O198" s="157"/>
      <c r="P198" s="180"/>
      <c r="Q198" s="156"/>
      <c r="R198" s="215"/>
      <c r="S198" s="215"/>
      <c r="T198" s="215"/>
      <c r="U198" s="215"/>
      <c r="V198" s="214"/>
      <c r="W198" s="156"/>
      <c r="X198" s="156"/>
      <c r="Y198" s="156"/>
      <c r="Z198" s="156"/>
      <c r="AA198" s="156"/>
      <c r="AB198" s="156"/>
      <c r="AC198" s="156"/>
      <c r="AD198" s="156"/>
      <c r="AE198" s="158"/>
      <c r="AF198" s="156"/>
      <c r="AG198" s="159"/>
      <c r="AL198" s="200"/>
    </row>
    <row r="199" spans="1:38" s="197" customFormat="1" ht="15" x14ac:dyDescent="0.25">
      <c r="A199" s="155"/>
      <c r="B199" s="156"/>
      <c r="C199" s="156"/>
      <c r="D199" s="157"/>
      <c r="E199" s="157"/>
      <c r="F199" s="156"/>
      <c r="G199" s="156"/>
      <c r="H199" s="156"/>
      <c r="I199" s="156"/>
      <c r="J199" s="156"/>
      <c r="K199" s="156"/>
      <c r="L199" s="156"/>
      <c r="M199" s="156"/>
      <c r="N199" s="156"/>
      <c r="O199" s="157"/>
      <c r="P199" s="180"/>
      <c r="Q199" s="156"/>
      <c r="R199" s="215"/>
      <c r="S199" s="215"/>
      <c r="T199" s="215"/>
      <c r="U199" s="215"/>
      <c r="V199" s="214"/>
      <c r="W199" s="156"/>
      <c r="X199" s="156"/>
      <c r="Y199" s="156"/>
      <c r="Z199" s="156"/>
      <c r="AA199" s="156"/>
      <c r="AB199" s="156"/>
      <c r="AC199" s="156"/>
      <c r="AD199" s="156"/>
      <c r="AE199" s="158"/>
      <c r="AF199" s="156"/>
      <c r="AG199" s="159"/>
      <c r="AL199" s="200"/>
    </row>
    <row r="200" spans="1:38" s="197" customFormat="1" ht="15" x14ac:dyDescent="0.25">
      <c r="A200" s="155"/>
      <c r="B200" s="156"/>
      <c r="C200" s="156"/>
      <c r="D200" s="157"/>
      <c r="E200" s="157"/>
      <c r="F200" s="156"/>
      <c r="G200" s="156"/>
      <c r="H200" s="156"/>
      <c r="I200" s="156"/>
      <c r="J200" s="156"/>
      <c r="K200" s="156"/>
      <c r="L200" s="156"/>
      <c r="M200" s="156"/>
      <c r="N200" s="156"/>
      <c r="O200" s="157"/>
      <c r="P200" s="180"/>
      <c r="Q200" s="156"/>
      <c r="R200" s="215"/>
      <c r="S200" s="215"/>
      <c r="T200" s="215"/>
      <c r="U200" s="215"/>
      <c r="V200" s="214"/>
      <c r="W200" s="156"/>
      <c r="X200" s="156"/>
      <c r="Y200" s="156"/>
      <c r="Z200" s="156"/>
      <c r="AA200" s="156"/>
      <c r="AB200" s="156"/>
      <c r="AC200" s="156"/>
      <c r="AD200" s="156"/>
      <c r="AE200" s="158"/>
      <c r="AF200" s="156"/>
      <c r="AG200" s="159"/>
      <c r="AL200" s="200"/>
    </row>
    <row r="201" spans="1:38" s="197" customFormat="1" ht="15" x14ac:dyDescent="0.25">
      <c r="A201" s="155"/>
      <c r="B201" s="156"/>
      <c r="C201" s="156"/>
      <c r="D201" s="157"/>
      <c r="E201" s="157"/>
      <c r="F201" s="156"/>
      <c r="G201" s="156"/>
      <c r="H201" s="156"/>
      <c r="I201" s="156"/>
      <c r="J201" s="156"/>
      <c r="K201" s="156"/>
      <c r="L201" s="156"/>
      <c r="M201" s="156"/>
      <c r="N201" s="156"/>
      <c r="O201" s="157"/>
      <c r="P201" s="180"/>
      <c r="Q201" s="156"/>
      <c r="R201" s="215"/>
      <c r="S201" s="215"/>
      <c r="T201" s="215"/>
      <c r="U201" s="215"/>
      <c r="V201" s="214"/>
      <c r="W201" s="156"/>
      <c r="X201" s="156"/>
      <c r="Y201" s="156"/>
      <c r="Z201" s="156"/>
      <c r="AA201" s="156"/>
      <c r="AB201" s="156"/>
      <c r="AC201" s="156"/>
      <c r="AD201" s="156"/>
      <c r="AE201" s="158"/>
      <c r="AF201" s="156"/>
      <c r="AG201" s="159"/>
      <c r="AL201" s="200"/>
    </row>
    <row r="202" spans="1:38" s="197" customFormat="1" ht="15" x14ac:dyDescent="0.25">
      <c r="A202" s="155"/>
      <c r="B202" s="156"/>
      <c r="C202" s="156"/>
      <c r="D202" s="157"/>
      <c r="E202" s="157"/>
      <c r="F202" s="156"/>
      <c r="G202" s="156"/>
      <c r="H202" s="156"/>
      <c r="I202" s="156"/>
      <c r="J202" s="156"/>
      <c r="K202" s="156"/>
      <c r="L202" s="156"/>
      <c r="M202" s="156"/>
      <c r="N202" s="156"/>
      <c r="O202" s="157"/>
      <c r="P202" s="180"/>
      <c r="Q202" s="156"/>
      <c r="R202" s="215"/>
      <c r="S202" s="215"/>
      <c r="T202" s="215"/>
      <c r="U202" s="215"/>
      <c r="V202" s="214"/>
      <c r="W202" s="156"/>
      <c r="X202" s="156"/>
      <c r="Y202" s="156"/>
      <c r="Z202" s="156"/>
      <c r="AA202" s="156"/>
      <c r="AB202" s="156"/>
      <c r="AC202" s="156"/>
      <c r="AD202" s="156"/>
      <c r="AE202" s="158"/>
      <c r="AF202" s="156"/>
      <c r="AG202" s="159"/>
      <c r="AL202" s="200"/>
    </row>
    <row r="203" spans="1:38" s="197" customFormat="1" ht="15" x14ac:dyDescent="0.25">
      <c r="A203" s="155"/>
      <c r="B203" s="156"/>
      <c r="C203" s="156"/>
      <c r="D203" s="157"/>
      <c r="E203" s="157"/>
      <c r="F203" s="156"/>
      <c r="G203" s="156"/>
      <c r="H203" s="156"/>
      <c r="I203" s="156"/>
      <c r="J203" s="156"/>
      <c r="K203" s="156"/>
      <c r="L203" s="156"/>
      <c r="M203" s="156"/>
      <c r="N203" s="156"/>
      <c r="O203" s="157"/>
      <c r="P203" s="180"/>
      <c r="Q203" s="156"/>
      <c r="R203" s="215"/>
      <c r="S203" s="215"/>
      <c r="T203" s="215"/>
      <c r="U203" s="215"/>
      <c r="V203" s="214"/>
      <c r="W203" s="156"/>
      <c r="X203" s="156"/>
      <c r="Y203" s="156"/>
      <c r="Z203" s="156"/>
      <c r="AA203" s="156"/>
      <c r="AB203" s="156"/>
      <c r="AC203" s="156"/>
      <c r="AD203" s="156"/>
      <c r="AE203" s="158"/>
      <c r="AF203" s="156"/>
      <c r="AG203" s="159"/>
      <c r="AL203" s="200"/>
    </row>
    <row r="204" spans="1:38" s="197" customFormat="1" ht="15" x14ac:dyDescent="0.25">
      <c r="A204" s="155"/>
      <c r="B204" s="156"/>
      <c r="C204" s="156"/>
      <c r="D204" s="157"/>
      <c r="E204" s="157"/>
      <c r="F204" s="156"/>
      <c r="G204" s="156"/>
      <c r="H204" s="156"/>
      <c r="I204" s="156"/>
      <c r="J204" s="156"/>
      <c r="K204" s="156"/>
      <c r="L204" s="156"/>
      <c r="M204" s="156"/>
      <c r="N204" s="156"/>
      <c r="O204" s="157"/>
      <c r="P204" s="180"/>
      <c r="Q204" s="156"/>
      <c r="R204" s="215"/>
      <c r="S204" s="215"/>
      <c r="T204" s="215"/>
      <c r="U204" s="215"/>
      <c r="V204" s="214"/>
      <c r="W204" s="156"/>
      <c r="X204" s="156"/>
      <c r="Y204" s="156"/>
      <c r="Z204" s="156"/>
      <c r="AA204" s="156"/>
      <c r="AB204" s="156"/>
      <c r="AC204" s="156"/>
      <c r="AD204" s="156"/>
      <c r="AE204" s="158"/>
      <c r="AF204" s="156"/>
      <c r="AG204" s="159"/>
      <c r="AL204" s="200"/>
    </row>
    <row r="205" spans="1:38" s="197" customFormat="1" ht="15" x14ac:dyDescent="0.25">
      <c r="A205" s="155"/>
      <c r="B205" s="156"/>
      <c r="C205" s="156"/>
      <c r="D205" s="157"/>
      <c r="E205" s="157"/>
      <c r="F205" s="156"/>
      <c r="G205" s="156"/>
      <c r="H205" s="156"/>
      <c r="I205" s="156"/>
      <c r="J205" s="156"/>
      <c r="K205" s="156"/>
      <c r="L205" s="156"/>
      <c r="M205" s="156"/>
      <c r="N205" s="156"/>
      <c r="O205" s="157"/>
      <c r="P205" s="180"/>
      <c r="Q205" s="156"/>
      <c r="R205" s="215"/>
      <c r="S205" s="215"/>
      <c r="T205" s="215"/>
      <c r="U205" s="215"/>
      <c r="V205" s="214"/>
      <c r="W205" s="156"/>
      <c r="X205" s="156"/>
      <c r="Y205" s="156"/>
      <c r="Z205" s="156"/>
      <c r="AA205" s="156"/>
      <c r="AB205" s="156"/>
      <c r="AC205" s="156"/>
      <c r="AD205" s="156"/>
      <c r="AE205" s="158"/>
      <c r="AF205" s="156"/>
      <c r="AG205" s="159"/>
      <c r="AL205" s="200"/>
    </row>
    <row r="206" spans="1:38" s="197" customFormat="1" ht="15" x14ac:dyDescent="0.25">
      <c r="A206" s="155"/>
      <c r="B206" s="156"/>
      <c r="C206" s="156"/>
      <c r="D206" s="157"/>
      <c r="E206" s="157"/>
      <c r="F206" s="156"/>
      <c r="G206" s="156"/>
      <c r="H206" s="156"/>
      <c r="I206" s="156"/>
      <c r="J206" s="156"/>
      <c r="K206" s="156"/>
      <c r="L206" s="156"/>
      <c r="M206" s="156"/>
      <c r="N206" s="156"/>
      <c r="O206" s="157"/>
      <c r="P206" s="180"/>
      <c r="Q206" s="156"/>
      <c r="R206" s="215"/>
      <c r="S206" s="215"/>
      <c r="T206" s="215"/>
      <c r="U206" s="215"/>
      <c r="V206" s="214"/>
      <c r="W206" s="157"/>
      <c r="X206" s="156"/>
      <c r="Y206" s="156"/>
      <c r="Z206" s="156"/>
      <c r="AA206" s="156"/>
      <c r="AB206" s="156"/>
      <c r="AC206" s="156"/>
      <c r="AD206" s="156"/>
      <c r="AE206" s="158"/>
      <c r="AF206" s="156"/>
      <c r="AG206" s="159"/>
      <c r="AL206" s="200"/>
    </row>
    <row r="207" spans="1:38" s="197" customFormat="1" ht="15" x14ac:dyDescent="0.25">
      <c r="A207" s="155"/>
      <c r="B207" s="156"/>
      <c r="C207" s="156"/>
      <c r="D207" s="157"/>
      <c r="E207" s="157"/>
      <c r="F207" s="156"/>
      <c r="G207" s="156"/>
      <c r="H207" s="156"/>
      <c r="I207" s="156"/>
      <c r="J207" s="156"/>
      <c r="K207" s="156"/>
      <c r="L207" s="156"/>
      <c r="M207" s="156"/>
      <c r="N207" s="156"/>
      <c r="O207" s="157"/>
      <c r="P207" s="180"/>
      <c r="Q207" s="156"/>
      <c r="R207" s="215"/>
      <c r="S207" s="215"/>
      <c r="T207" s="215"/>
      <c r="U207" s="215"/>
      <c r="V207" s="214"/>
      <c r="W207" s="156"/>
      <c r="X207" s="156"/>
      <c r="Y207" s="156"/>
      <c r="Z207" s="156"/>
      <c r="AA207" s="156"/>
      <c r="AB207" s="156"/>
      <c r="AC207" s="156"/>
      <c r="AD207" s="156"/>
      <c r="AE207" s="158"/>
      <c r="AF207" s="156"/>
      <c r="AG207" s="159"/>
      <c r="AL207" s="200"/>
    </row>
    <row r="208" spans="1:38" s="197" customFormat="1" ht="15" x14ac:dyDescent="0.25">
      <c r="A208" s="155"/>
      <c r="B208" s="156"/>
      <c r="C208" s="156"/>
      <c r="D208" s="157"/>
      <c r="E208" s="157"/>
      <c r="F208" s="156"/>
      <c r="G208" s="156"/>
      <c r="H208" s="156"/>
      <c r="I208" s="156"/>
      <c r="J208" s="156"/>
      <c r="K208" s="156"/>
      <c r="L208" s="156"/>
      <c r="M208" s="156"/>
      <c r="N208" s="156"/>
      <c r="O208" s="157"/>
      <c r="P208" s="180"/>
      <c r="Q208" s="156"/>
      <c r="R208" s="215"/>
      <c r="S208" s="215"/>
      <c r="T208" s="215"/>
      <c r="U208" s="215"/>
      <c r="V208" s="214"/>
      <c r="W208" s="156"/>
      <c r="X208" s="156"/>
      <c r="Y208" s="156"/>
      <c r="Z208" s="156"/>
      <c r="AA208" s="156"/>
      <c r="AB208" s="156"/>
      <c r="AC208" s="156"/>
      <c r="AD208" s="156"/>
      <c r="AE208" s="158"/>
      <c r="AF208" s="156"/>
      <c r="AG208" s="159"/>
      <c r="AL208" s="200"/>
    </row>
    <row r="209" spans="1:38" s="197" customFormat="1" ht="15" x14ac:dyDescent="0.25">
      <c r="A209" s="155"/>
      <c r="B209" s="156"/>
      <c r="C209" s="156"/>
      <c r="D209" s="157"/>
      <c r="E209" s="157"/>
      <c r="F209" s="156"/>
      <c r="G209" s="156"/>
      <c r="H209" s="156"/>
      <c r="I209" s="156"/>
      <c r="J209" s="156"/>
      <c r="K209" s="156"/>
      <c r="L209" s="156"/>
      <c r="M209" s="156"/>
      <c r="N209" s="156"/>
      <c r="O209" s="157"/>
      <c r="P209" s="180"/>
      <c r="Q209" s="156"/>
      <c r="R209" s="215"/>
      <c r="S209" s="215"/>
      <c r="T209" s="215"/>
      <c r="U209" s="215"/>
      <c r="V209" s="214"/>
      <c r="W209" s="156"/>
      <c r="X209" s="156"/>
      <c r="Y209" s="156"/>
      <c r="Z209" s="156"/>
      <c r="AA209" s="156"/>
      <c r="AB209" s="156"/>
      <c r="AC209" s="156"/>
      <c r="AD209" s="156"/>
      <c r="AE209" s="158"/>
      <c r="AF209" s="156"/>
      <c r="AG209" s="159"/>
      <c r="AL209" s="200"/>
    </row>
    <row r="210" spans="1:38" s="197" customFormat="1" ht="15" x14ac:dyDescent="0.25">
      <c r="A210" s="155"/>
      <c r="B210" s="156"/>
      <c r="C210" s="156"/>
      <c r="D210" s="157"/>
      <c r="E210" s="157"/>
      <c r="F210" s="156"/>
      <c r="G210" s="156"/>
      <c r="H210" s="156"/>
      <c r="I210" s="156"/>
      <c r="J210" s="156"/>
      <c r="K210" s="156"/>
      <c r="L210" s="156"/>
      <c r="M210" s="156"/>
      <c r="N210" s="156"/>
      <c r="O210" s="157"/>
      <c r="P210" s="180"/>
      <c r="Q210" s="156"/>
      <c r="R210" s="215"/>
      <c r="S210" s="215"/>
      <c r="T210" s="215"/>
      <c r="U210" s="215"/>
      <c r="V210" s="214"/>
      <c r="W210" s="156"/>
      <c r="X210" s="156"/>
      <c r="Y210" s="156"/>
      <c r="Z210" s="156"/>
      <c r="AA210" s="156"/>
      <c r="AB210" s="156"/>
      <c r="AC210" s="156"/>
      <c r="AD210" s="156"/>
      <c r="AE210" s="158"/>
      <c r="AF210" s="156"/>
      <c r="AG210" s="159"/>
      <c r="AL210" s="200"/>
    </row>
    <row r="211" spans="1:38" s="197" customFormat="1" ht="15" x14ac:dyDescent="0.25">
      <c r="A211" s="155"/>
      <c r="B211" s="156"/>
      <c r="C211" s="156"/>
      <c r="D211" s="157"/>
      <c r="E211" s="157"/>
      <c r="F211" s="156"/>
      <c r="G211" s="156"/>
      <c r="H211" s="156"/>
      <c r="I211" s="156"/>
      <c r="J211" s="156"/>
      <c r="K211" s="156"/>
      <c r="L211" s="156"/>
      <c r="M211" s="156"/>
      <c r="N211" s="156"/>
      <c r="O211" s="157"/>
      <c r="P211" s="180"/>
      <c r="Q211" s="156"/>
      <c r="R211" s="215"/>
      <c r="S211" s="215"/>
      <c r="T211" s="215"/>
      <c r="U211" s="215"/>
      <c r="V211" s="214"/>
      <c r="W211" s="156"/>
      <c r="X211" s="156"/>
      <c r="Y211" s="156"/>
      <c r="Z211" s="156"/>
      <c r="AA211" s="156"/>
      <c r="AB211" s="156"/>
      <c r="AC211" s="156"/>
      <c r="AD211" s="156"/>
      <c r="AE211" s="158"/>
      <c r="AF211" s="156"/>
      <c r="AG211" s="159"/>
      <c r="AL211" s="200"/>
    </row>
    <row r="212" spans="1:38" s="197" customFormat="1" ht="15" x14ac:dyDescent="0.25">
      <c r="A212" s="155"/>
      <c r="B212" s="156"/>
      <c r="C212" s="156"/>
      <c r="D212" s="157"/>
      <c r="E212" s="157"/>
      <c r="F212" s="156"/>
      <c r="G212" s="156"/>
      <c r="H212" s="156"/>
      <c r="I212" s="156"/>
      <c r="J212" s="156"/>
      <c r="K212" s="156"/>
      <c r="L212" s="156"/>
      <c r="M212" s="156"/>
      <c r="N212" s="156"/>
      <c r="O212" s="157"/>
      <c r="P212" s="180"/>
      <c r="Q212" s="156"/>
      <c r="R212" s="215"/>
      <c r="S212" s="215"/>
      <c r="T212" s="215"/>
      <c r="U212" s="215"/>
      <c r="V212" s="214"/>
      <c r="W212" s="156"/>
      <c r="X212" s="156"/>
      <c r="Y212" s="156"/>
      <c r="Z212" s="156"/>
      <c r="AA212" s="156"/>
      <c r="AB212" s="156"/>
      <c r="AC212" s="156"/>
      <c r="AD212" s="156"/>
      <c r="AE212" s="158"/>
      <c r="AF212" s="156"/>
      <c r="AG212" s="159"/>
      <c r="AL212" s="200"/>
    </row>
    <row r="213" spans="1:38" s="197" customFormat="1" ht="15" x14ac:dyDescent="0.25">
      <c r="A213" s="155"/>
      <c r="B213" s="156"/>
      <c r="C213" s="156"/>
      <c r="D213" s="157"/>
      <c r="E213" s="157"/>
      <c r="F213" s="156"/>
      <c r="G213" s="156"/>
      <c r="H213" s="156"/>
      <c r="I213" s="156"/>
      <c r="J213" s="156"/>
      <c r="K213" s="156"/>
      <c r="L213" s="156"/>
      <c r="M213" s="156"/>
      <c r="N213" s="156"/>
      <c r="O213" s="157"/>
      <c r="P213" s="180"/>
      <c r="Q213" s="156"/>
      <c r="R213" s="215"/>
      <c r="S213" s="215"/>
      <c r="T213" s="215"/>
      <c r="U213" s="215"/>
      <c r="V213" s="214"/>
      <c r="W213" s="156"/>
      <c r="X213" s="156"/>
      <c r="Y213" s="156"/>
      <c r="Z213" s="156"/>
      <c r="AA213" s="156"/>
      <c r="AB213" s="156"/>
      <c r="AC213" s="156"/>
      <c r="AD213" s="156"/>
      <c r="AE213" s="158"/>
      <c r="AF213" s="156"/>
      <c r="AG213" s="159"/>
      <c r="AL213" s="200"/>
    </row>
    <row r="214" spans="1:38" s="197" customFormat="1" ht="15" x14ac:dyDescent="0.25">
      <c r="A214" s="155"/>
      <c r="B214" s="156"/>
      <c r="C214" s="156"/>
      <c r="D214" s="157"/>
      <c r="E214" s="157"/>
      <c r="F214" s="156"/>
      <c r="G214" s="156"/>
      <c r="H214" s="156"/>
      <c r="I214" s="156"/>
      <c r="J214" s="156"/>
      <c r="K214" s="156"/>
      <c r="L214" s="156"/>
      <c r="M214" s="156"/>
      <c r="N214" s="156"/>
      <c r="O214" s="157"/>
      <c r="P214" s="180"/>
      <c r="Q214" s="156"/>
      <c r="R214" s="215"/>
      <c r="S214" s="215"/>
      <c r="T214" s="215"/>
      <c r="U214" s="215"/>
      <c r="V214" s="214"/>
      <c r="W214" s="157"/>
      <c r="X214" s="156"/>
      <c r="Y214" s="156"/>
      <c r="Z214" s="156"/>
      <c r="AA214" s="156"/>
      <c r="AB214" s="156"/>
      <c r="AC214" s="156"/>
      <c r="AD214" s="156"/>
      <c r="AE214" s="158"/>
      <c r="AF214" s="156"/>
      <c r="AG214" s="159"/>
      <c r="AL214" s="200"/>
    </row>
    <row r="215" spans="1:38" s="197" customFormat="1" ht="15" x14ac:dyDescent="0.25">
      <c r="A215" s="155"/>
      <c r="B215" s="156"/>
      <c r="C215" s="156"/>
      <c r="D215" s="157"/>
      <c r="E215" s="157"/>
      <c r="F215" s="156"/>
      <c r="G215" s="156"/>
      <c r="H215" s="156"/>
      <c r="I215" s="156"/>
      <c r="J215" s="156"/>
      <c r="K215" s="156"/>
      <c r="L215" s="156"/>
      <c r="M215" s="156"/>
      <c r="N215" s="156"/>
      <c r="O215" s="157"/>
      <c r="P215" s="180"/>
      <c r="Q215" s="156"/>
      <c r="R215" s="215"/>
      <c r="S215" s="215"/>
      <c r="T215" s="215"/>
      <c r="U215" s="215"/>
      <c r="V215" s="214"/>
      <c r="W215" s="157"/>
      <c r="X215" s="156"/>
      <c r="Y215" s="156"/>
      <c r="Z215" s="156"/>
      <c r="AA215" s="156"/>
      <c r="AB215" s="156"/>
      <c r="AC215" s="156"/>
      <c r="AD215" s="156"/>
      <c r="AE215" s="158"/>
      <c r="AF215" s="156"/>
      <c r="AG215" s="159"/>
      <c r="AL215" s="200"/>
    </row>
    <row r="216" spans="1:38" s="197" customFormat="1" ht="15" x14ac:dyDescent="0.25">
      <c r="A216" s="155"/>
      <c r="B216" s="156"/>
      <c r="C216" s="156"/>
      <c r="D216" s="157"/>
      <c r="E216" s="157"/>
      <c r="F216" s="156"/>
      <c r="G216" s="156"/>
      <c r="H216" s="156"/>
      <c r="I216" s="156"/>
      <c r="J216" s="156"/>
      <c r="K216" s="156"/>
      <c r="L216" s="156"/>
      <c r="M216" s="156"/>
      <c r="N216" s="156"/>
      <c r="O216" s="157"/>
      <c r="P216" s="180"/>
      <c r="Q216" s="156"/>
      <c r="R216" s="215"/>
      <c r="S216" s="215"/>
      <c r="T216" s="215"/>
      <c r="U216" s="215"/>
      <c r="V216" s="214"/>
      <c r="W216" s="156"/>
      <c r="X216" s="156"/>
      <c r="Y216" s="156"/>
      <c r="Z216" s="156"/>
      <c r="AA216" s="156"/>
      <c r="AB216" s="156"/>
      <c r="AC216" s="156"/>
      <c r="AD216" s="156"/>
      <c r="AE216" s="158"/>
      <c r="AF216" s="156"/>
      <c r="AG216" s="159"/>
      <c r="AL216" s="200"/>
    </row>
    <row r="217" spans="1:38" s="197" customFormat="1" ht="15" x14ac:dyDescent="0.25">
      <c r="A217" s="155"/>
      <c r="B217" s="156"/>
      <c r="C217" s="156"/>
      <c r="D217" s="157"/>
      <c r="E217" s="157"/>
      <c r="F217" s="156"/>
      <c r="G217" s="156"/>
      <c r="H217" s="156"/>
      <c r="I217" s="156"/>
      <c r="J217" s="156"/>
      <c r="K217" s="156"/>
      <c r="L217" s="156"/>
      <c r="M217" s="156"/>
      <c r="N217" s="156"/>
      <c r="O217" s="157"/>
      <c r="P217" s="180"/>
      <c r="Q217" s="156"/>
      <c r="R217" s="215"/>
      <c r="S217" s="215"/>
      <c r="T217" s="215"/>
      <c r="U217" s="215"/>
      <c r="V217" s="214"/>
      <c r="W217" s="156"/>
      <c r="X217" s="156"/>
      <c r="Y217" s="156"/>
      <c r="Z217" s="156"/>
      <c r="AA217" s="156"/>
      <c r="AB217" s="156"/>
      <c r="AC217" s="156"/>
      <c r="AD217" s="156"/>
      <c r="AE217" s="158"/>
      <c r="AF217" s="156"/>
      <c r="AG217" s="159"/>
      <c r="AL217" s="200"/>
    </row>
    <row r="218" spans="1:38" s="197" customFormat="1" ht="15" x14ac:dyDescent="0.25">
      <c r="A218" s="155"/>
      <c r="B218" s="156"/>
      <c r="C218" s="156"/>
      <c r="D218" s="157"/>
      <c r="E218" s="157"/>
      <c r="F218" s="156"/>
      <c r="G218" s="156"/>
      <c r="H218" s="156"/>
      <c r="I218" s="156"/>
      <c r="J218" s="156"/>
      <c r="K218" s="156"/>
      <c r="L218" s="156"/>
      <c r="M218" s="156"/>
      <c r="N218" s="156"/>
      <c r="O218" s="157"/>
      <c r="P218" s="180"/>
      <c r="Q218" s="156"/>
      <c r="R218" s="215"/>
      <c r="S218" s="215"/>
      <c r="T218" s="215"/>
      <c r="U218" s="215"/>
      <c r="V218" s="214"/>
      <c r="W218" s="156"/>
      <c r="X218" s="156"/>
      <c r="Y218" s="156"/>
      <c r="Z218" s="156"/>
      <c r="AA218" s="156"/>
      <c r="AB218" s="156"/>
      <c r="AC218" s="156"/>
      <c r="AD218" s="156"/>
      <c r="AE218" s="158"/>
      <c r="AF218" s="156"/>
      <c r="AG218" s="159"/>
      <c r="AL218" s="200"/>
    </row>
    <row r="219" spans="1:38" s="197" customFormat="1" ht="15" x14ac:dyDescent="0.25">
      <c r="A219" s="155"/>
      <c r="B219" s="156"/>
      <c r="C219" s="156"/>
      <c r="D219" s="157"/>
      <c r="E219" s="157"/>
      <c r="F219" s="156"/>
      <c r="G219" s="156"/>
      <c r="H219" s="156"/>
      <c r="I219" s="156"/>
      <c r="J219" s="156"/>
      <c r="K219" s="156"/>
      <c r="L219" s="156"/>
      <c r="M219" s="156"/>
      <c r="N219" s="156"/>
      <c r="O219" s="157"/>
      <c r="P219" s="180"/>
      <c r="Q219" s="156"/>
      <c r="R219" s="215"/>
      <c r="S219" s="215"/>
      <c r="T219" s="215"/>
      <c r="U219" s="215"/>
      <c r="V219" s="214"/>
      <c r="W219" s="157"/>
      <c r="X219" s="156"/>
      <c r="Y219" s="156"/>
      <c r="Z219" s="156"/>
      <c r="AA219" s="156"/>
      <c r="AB219" s="156"/>
      <c r="AC219" s="156"/>
      <c r="AD219" s="156"/>
      <c r="AE219" s="158"/>
      <c r="AF219" s="156"/>
      <c r="AG219" s="159"/>
      <c r="AL219" s="200"/>
    </row>
    <row r="220" spans="1:38" s="197" customFormat="1" ht="15" x14ac:dyDescent="0.25">
      <c r="A220" s="155"/>
      <c r="B220" s="156"/>
      <c r="C220" s="156"/>
      <c r="D220" s="157"/>
      <c r="E220" s="157"/>
      <c r="F220" s="156"/>
      <c r="G220" s="156"/>
      <c r="H220" s="156"/>
      <c r="I220" s="156"/>
      <c r="J220" s="156"/>
      <c r="K220" s="156"/>
      <c r="L220" s="156"/>
      <c r="M220" s="156"/>
      <c r="N220" s="156"/>
      <c r="O220" s="157"/>
      <c r="P220" s="180"/>
      <c r="Q220" s="156"/>
      <c r="R220" s="215"/>
      <c r="S220" s="215"/>
      <c r="T220" s="215"/>
      <c r="U220" s="215"/>
      <c r="V220" s="214"/>
      <c r="W220" s="156"/>
      <c r="X220" s="156"/>
      <c r="Y220" s="156"/>
      <c r="Z220" s="156"/>
      <c r="AA220" s="156"/>
      <c r="AB220" s="156"/>
      <c r="AC220" s="156"/>
      <c r="AD220" s="156"/>
      <c r="AE220" s="158"/>
      <c r="AF220" s="156"/>
      <c r="AG220" s="159"/>
      <c r="AL220" s="200"/>
    </row>
    <row r="221" spans="1:38" s="197" customFormat="1" ht="15" x14ac:dyDescent="0.25">
      <c r="A221" s="155"/>
      <c r="B221" s="156"/>
      <c r="C221" s="156"/>
      <c r="D221" s="157"/>
      <c r="E221" s="157"/>
      <c r="F221" s="156"/>
      <c r="G221" s="156"/>
      <c r="H221" s="156"/>
      <c r="I221" s="156"/>
      <c r="J221" s="156"/>
      <c r="K221" s="156"/>
      <c r="L221" s="156"/>
      <c r="M221" s="156"/>
      <c r="N221" s="156"/>
      <c r="O221" s="157"/>
      <c r="P221" s="180"/>
      <c r="Q221" s="156"/>
      <c r="R221" s="215"/>
      <c r="S221" s="215"/>
      <c r="T221" s="215"/>
      <c r="U221" s="215"/>
      <c r="V221" s="214"/>
      <c r="W221" s="157"/>
      <c r="X221" s="156"/>
      <c r="Y221" s="156"/>
      <c r="Z221" s="156"/>
      <c r="AA221" s="156"/>
      <c r="AB221" s="156"/>
      <c r="AC221" s="156"/>
      <c r="AD221" s="156"/>
      <c r="AE221" s="158"/>
      <c r="AF221" s="156"/>
      <c r="AG221" s="159"/>
      <c r="AL221" s="200"/>
    </row>
    <row r="222" spans="1:38" s="197" customFormat="1" ht="15" x14ac:dyDescent="0.25">
      <c r="A222" s="155"/>
      <c r="B222" s="156"/>
      <c r="C222" s="156"/>
      <c r="D222" s="157"/>
      <c r="E222" s="157"/>
      <c r="F222" s="156"/>
      <c r="G222" s="156"/>
      <c r="H222" s="156"/>
      <c r="I222" s="156"/>
      <c r="J222" s="156"/>
      <c r="K222" s="156"/>
      <c r="L222" s="156"/>
      <c r="M222" s="156"/>
      <c r="N222" s="156"/>
      <c r="O222" s="157"/>
      <c r="P222" s="180"/>
      <c r="Q222" s="156"/>
      <c r="R222" s="215"/>
      <c r="S222" s="215"/>
      <c r="T222" s="215"/>
      <c r="U222" s="215"/>
      <c r="V222" s="214"/>
      <c r="W222" s="156"/>
      <c r="X222" s="156"/>
      <c r="Y222" s="156"/>
      <c r="Z222" s="156"/>
      <c r="AA222" s="156"/>
      <c r="AB222" s="156"/>
      <c r="AC222" s="156"/>
      <c r="AD222" s="156"/>
      <c r="AE222" s="158"/>
      <c r="AF222" s="156"/>
      <c r="AG222" s="159"/>
      <c r="AL222" s="200"/>
    </row>
    <row r="223" spans="1:38" s="197" customFormat="1" ht="15" x14ac:dyDescent="0.25">
      <c r="A223" s="155"/>
      <c r="B223" s="156"/>
      <c r="C223" s="156"/>
      <c r="D223" s="157"/>
      <c r="E223" s="157"/>
      <c r="F223" s="156"/>
      <c r="G223" s="156"/>
      <c r="H223" s="156"/>
      <c r="I223" s="156"/>
      <c r="J223" s="156"/>
      <c r="K223" s="156"/>
      <c r="L223" s="156"/>
      <c r="M223" s="156"/>
      <c r="N223" s="156"/>
      <c r="O223" s="157"/>
      <c r="P223" s="180"/>
      <c r="Q223" s="156"/>
      <c r="R223" s="215"/>
      <c r="S223" s="215"/>
      <c r="T223" s="215"/>
      <c r="U223" s="215"/>
      <c r="V223" s="214"/>
      <c r="W223" s="156"/>
      <c r="X223" s="156"/>
      <c r="Y223" s="156"/>
      <c r="Z223" s="156"/>
      <c r="AA223" s="156"/>
      <c r="AB223" s="156"/>
      <c r="AC223" s="156"/>
      <c r="AD223" s="156"/>
      <c r="AE223" s="158"/>
      <c r="AF223" s="156"/>
      <c r="AG223" s="159"/>
      <c r="AL223" s="200"/>
    </row>
    <row r="224" spans="1:38" s="197" customFormat="1" ht="15" x14ac:dyDescent="0.25">
      <c r="A224" s="155"/>
      <c r="B224" s="156"/>
      <c r="C224" s="156"/>
      <c r="D224" s="157"/>
      <c r="E224" s="157"/>
      <c r="F224" s="156"/>
      <c r="G224" s="156"/>
      <c r="H224" s="156"/>
      <c r="I224" s="156"/>
      <c r="J224" s="156"/>
      <c r="K224" s="156"/>
      <c r="L224" s="156"/>
      <c r="M224" s="156"/>
      <c r="N224" s="156"/>
      <c r="O224" s="157"/>
      <c r="P224" s="180"/>
      <c r="Q224" s="156"/>
      <c r="R224" s="215"/>
      <c r="S224" s="215"/>
      <c r="T224" s="215"/>
      <c r="U224" s="215"/>
      <c r="V224" s="214"/>
      <c r="W224" s="156"/>
      <c r="X224" s="156"/>
      <c r="Y224" s="156"/>
      <c r="Z224" s="156"/>
      <c r="AA224" s="156"/>
      <c r="AB224" s="156"/>
      <c r="AC224" s="156"/>
      <c r="AD224" s="156"/>
      <c r="AE224" s="158"/>
      <c r="AF224" s="156"/>
      <c r="AG224" s="159"/>
      <c r="AL224" s="200"/>
    </row>
    <row r="225" spans="1:38" s="197" customFormat="1" ht="15" x14ac:dyDescent="0.25">
      <c r="A225" s="155"/>
      <c r="B225" s="156"/>
      <c r="C225" s="156"/>
      <c r="D225" s="157"/>
      <c r="E225" s="157"/>
      <c r="F225" s="156"/>
      <c r="G225" s="156"/>
      <c r="H225" s="156"/>
      <c r="I225" s="156"/>
      <c r="J225" s="156"/>
      <c r="K225" s="156"/>
      <c r="L225" s="156"/>
      <c r="M225" s="156"/>
      <c r="N225" s="156"/>
      <c r="O225" s="157"/>
      <c r="P225" s="180"/>
      <c r="Q225" s="156"/>
      <c r="R225" s="215"/>
      <c r="S225" s="215"/>
      <c r="T225" s="215"/>
      <c r="U225" s="215"/>
      <c r="V225" s="214"/>
      <c r="W225" s="156"/>
      <c r="X225" s="156"/>
      <c r="Y225" s="156"/>
      <c r="Z225" s="156"/>
      <c r="AA225" s="156"/>
      <c r="AB225" s="156"/>
      <c r="AC225" s="156"/>
      <c r="AD225" s="156"/>
      <c r="AE225" s="158"/>
      <c r="AF225" s="156"/>
      <c r="AG225" s="159"/>
      <c r="AL225" s="200"/>
    </row>
    <row r="226" spans="1:38" s="197" customFormat="1" ht="15" x14ac:dyDescent="0.25">
      <c r="A226" s="155"/>
      <c r="B226" s="156"/>
      <c r="C226" s="156"/>
      <c r="D226" s="157"/>
      <c r="E226" s="157"/>
      <c r="F226" s="156"/>
      <c r="G226" s="156"/>
      <c r="H226" s="156"/>
      <c r="I226" s="156"/>
      <c r="J226" s="156"/>
      <c r="K226" s="156"/>
      <c r="L226" s="156"/>
      <c r="M226" s="156"/>
      <c r="N226" s="156"/>
      <c r="O226" s="157"/>
      <c r="P226" s="180"/>
      <c r="Q226" s="156"/>
      <c r="R226" s="215"/>
      <c r="S226" s="215"/>
      <c r="T226" s="215"/>
      <c r="U226" s="215"/>
      <c r="V226" s="214"/>
      <c r="W226" s="156"/>
      <c r="X226" s="156"/>
      <c r="Y226" s="156"/>
      <c r="Z226" s="156"/>
      <c r="AA226" s="156"/>
      <c r="AB226" s="156"/>
      <c r="AC226" s="156"/>
      <c r="AD226" s="156"/>
      <c r="AE226" s="158"/>
      <c r="AF226" s="156"/>
      <c r="AG226" s="159"/>
      <c r="AL226" s="200"/>
    </row>
    <row r="227" spans="1:38" s="197" customFormat="1" ht="15" x14ac:dyDescent="0.25">
      <c r="A227" s="155"/>
      <c r="B227" s="156"/>
      <c r="C227" s="156"/>
      <c r="D227" s="157"/>
      <c r="E227" s="157"/>
      <c r="F227" s="156"/>
      <c r="G227" s="156"/>
      <c r="H227" s="156"/>
      <c r="I227" s="156"/>
      <c r="J227" s="156"/>
      <c r="K227" s="156"/>
      <c r="L227" s="156"/>
      <c r="M227" s="156"/>
      <c r="N227" s="156"/>
      <c r="O227" s="157"/>
      <c r="P227" s="180"/>
      <c r="Q227" s="156"/>
      <c r="R227" s="215"/>
      <c r="S227" s="215"/>
      <c r="T227" s="215"/>
      <c r="U227" s="215"/>
      <c r="V227" s="214"/>
      <c r="W227" s="156"/>
      <c r="X227" s="156"/>
      <c r="Y227" s="156"/>
      <c r="Z227" s="156"/>
      <c r="AA227" s="156"/>
      <c r="AB227" s="156"/>
      <c r="AC227" s="156"/>
      <c r="AD227" s="156"/>
      <c r="AE227" s="158"/>
      <c r="AF227" s="156"/>
      <c r="AG227" s="159"/>
      <c r="AL227" s="200"/>
    </row>
    <row r="228" spans="1:38" s="197" customFormat="1" ht="15" x14ac:dyDescent="0.25">
      <c r="A228" s="155"/>
      <c r="B228" s="156"/>
      <c r="C228" s="156"/>
      <c r="D228" s="157"/>
      <c r="E228" s="157"/>
      <c r="F228" s="156"/>
      <c r="G228" s="156"/>
      <c r="H228" s="156"/>
      <c r="I228" s="156"/>
      <c r="J228" s="156"/>
      <c r="K228" s="156"/>
      <c r="L228" s="156"/>
      <c r="M228" s="156"/>
      <c r="N228" s="156"/>
      <c r="O228" s="157"/>
      <c r="P228" s="180"/>
      <c r="Q228" s="156"/>
      <c r="R228" s="215"/>
      <c r="S228" s="215"/>
      <c r="T228" s="215"/>
      <c r="U228" s="215"/>
      <c r="V228" s="214"/>
      <c r="W228" s="157"/>
      <c r="X228" s="156"/>
      <c r="Y228" s="156"/>
      <c r="Z228" s="156"/>
      <c r="AA228" s="156"/>
      <c r="AB228" s="156"/>
      <c r="AC228" s="156"/>
      <c r="AD228" s="156"/>
      <c r="AE228" s="158"/>
      <c r="AF228" s="156"/>
      <c r="AG228" s="159"/>
      <c r="AL228" s="200"/>
    </row>
    <row r="229" spans="1:38" s="197" customFormat="1" ht="15" x14ac:dyDescent="0.25">
      <c r="A229" s="155"/>
      <c r="B229" s="156"/>
      <c r="C229" s="156"/>
      <c r="D229" s="157"/>
      <c r="E229" s="157"/>
      <c r="F229" s="156"/>
      <c r="G229" s="156"/>
      <c r="H229" s="156"/>
      <c r="I229" s="156"/>
      <c r="J229" s="156"/>
      <c r="K229" s="156"/>
      <c r="L229" s="156"/>
      <c r="M229" s="156"/>
      <c r="N229" s="156"/>
      <c r="O229" s="157"/>
      <c r="P229" s="180"/>
      <c r="Q229" s="156"/>
      <c r="R229" s="215"/>
      <c r="S229" s="215"/>
      <c r="T229" s="215"/>
      <c r="U229" s="215"/>
      <c r="V229" s="214"/>
      <c r="W229" s="156"/>
      <c r="X229" s="156"/>
      <c r="Y229" s="156"/>
      <c r="Z229" s="156"/>
      <c r="AA229" s="156"/>
      <c r="AB229" s="156"/>
      <c r="AC229" s="156"/>
      <c r="AD229" s="156"/>
      <c r="AE229" s="158"/>
      <c r="AF229" s="156"/>
      <c r="AG229" s="159"/>
      <c r="AL229" s="200"/>
    </row>
    <row r="230" spans="1:38" s="197" customFormat="1" ht="15" x14ac:dyDescent="0.25">
      <c r="A230" s="155"/>
      <c r="B230" s="156"/>
      <c r="C230" s="156"/>
      <c r="D230" s="157"/>
      <c r="E230" s="157"/>
      <c r="F230" s="156"/>
      <c r="G230" s="156"/>
      <c r="H230" s="156"/>
      <c r="I230" s="156"/>
      <c r="J230" s="156"/>
      <c r="K230" s="156"/>
      <c r="L230" s="156"/>
      <c r="M230" s="156"/>
      <c r="N230" s="156"/>
      <c r="O230" s="157"/>
      <c r="P230" s="180"/>
      <c r="Q230" s="156"/>
      <c r="R230" s="215"/>
      <c r="S230" s="215"/>
      <c r="T230" s="215"/>
      <c r="U230" s="215"/>
      <c r="V230" s="214"/>
      <c r="W230" s="157"/>
      <c r="X230" s="156"/>
      <c r="Y230" s="156"/>
      <c r="Z230" s="156"/>
      <c r="AA230" s="156"/>
      <c r="AB230" s="156"/>
      <c r="AC230" s="156"/>
      <c r="AD230" s="156"/>
      <c r="AE230" s="158"/>
      <c r="AF230" s="156"/>
      <c r="AG230" s="159"/>
      <c r="AL230" s="200"/>
    </row>
    <row r="231" spans="1:38" s="197" customFormat="1" ht="15" x14ac:dyDescent="0.25">
      <c r="A231" s="155"/>
      <c r="B231" s="156"/>
      <c r="C231" s="156"/>
      <c r="D231" s="157"/>
      <c r="E231" s="157"/>
      <c r="F231" s="156"/>
      <c r="G231" s="156"/>
      <c r="H231" s="156"/>
      <c r="I231" s="156"/>
      <c r="J231" s="156"/>
      <c r="K231" s="156"/>
      <c r="L231" s="156"/>
      <c r="M231" s="156"/>
      <c r="N231" s="156"/>
      <c r="O231" s="157"/>
      <c r="P231" s="180"/>
      <c r="Q231" s="156"/>
      <c r="R231" s="215"/>
      <c r="S231" s="215"/>
      <c r="T231" s="215"/>
      <c r="U231" s="215"/>
      <c r="V231" s="214"/>
      <c r="W231" s="157"/>
      <c r="X231" s="156"/>
      <c r="Y231" s="156"/>
      <c r="Z231" s="156"/>
      <c r="AA231" s="156"/>
      <c r="AB231" s="156"/>
      <c r="AC231" s="156"/>
      <c r="AD231" s="156"/>
      <c r="AE231" s="158"/>
      <c r="AF231" s="156"/>
      <c r="AG231" s="159"/>
      <c r="AL231" s="200"/>
    </row>
    <row r="232" spans="1:38" s="197" customFormat="1" ht="15" x14ac:dyDescent="0.25">
      <c r="A232" s="155"/>
      <c r="B232" s="156"/>
      <c r="C232" s="156"/>
      <c r="D232" s="157"/>
      <c r="E232" s="157"/>
      <c r="F232" s="156"/>
      <c r="G232" s="156"/>
      <c r="H232" s="156"/>
      <c r="I232" s="156"/>
      <c r="J232" s="156"/>
      <c r="K232" s="156"/>
      <c r="L232" s="156"/>
      <c r="M232" s="156"/>
      <c r="N232" s="156"/>
      <c r="O232" s="157"/>
      <c r="P232" s="180"/>
      <c r="Q232" s="156"/>
      <c r="R232" s="215"/>
      <c r="S232" s="215"/>
      <c r="T232" s="215"/>
      <c r="U232" s="215"/>
      <c r="V232" s="214"/>
      <c r="W232" s="156"/>
      <c r="X232" s="156"/>
      <c r="Y232" s="156"/>
      <c r="Z232" s="156"/>
      <c r="AA232" s="156"/>
      <c r="AB232" s="156"/>
      <c r="AC232" s="156"/>
      <c r="AD232" s="156"/>
      <c r="AE232" s="158"/>
      <c r="AF232" s="156"/>
      <c r="AG232" s="159"/>
      <c r="AL232" s="200"/>
    </row>
    <row r="233" spans="1:38" s="197" customFormat="1" ht="15" x14ac:dyDescent="0.25">
      <c r="A233" s="155"/>
      <c r="B233" s="156"/>
      <c r="C233" s="156"/>
      <c r="D233" s="157"/>
      <c r="E233" s="157"/>
      <c r="F233" s="156"/>
      <c r="G233" s="156"/>
      <c r="H233" s="156"/>
      <c r="I233" s="156"/>
      <c r="J233" s="156"/>
      <c r="K233" s="156"/>
      <c r="L233" s="156"/>
      <c r="M233" s="156"/>
      <c r="N233" s="156"/>
      <c r="O233" s="157"/>
      <c r="P233" s="180"/>
      <c r="Q233" s="156"/>
      <c r="R233" s="215"/>
      <c r="S233" s="215"/>
      <c r="T233" s="215"/>
      <c r="U233" s="215"/>
      <c r="V233" s="214"/>
      <c r="W233" s="156"/>
      <c r="X233" s="156"/>
      <c r="Y233" s="156"/>
      <c r="Z233" s="156"/>
      <c r="AA233" s="156"/>
      <c r="AB233" s="156"/>
      <c r="AC233" s="156"/>
      <c r="AD233" s="156"/>
      <c r="AE233" s="158"/>
      <c r="AF233" s="156"/>
      <c r="AG233" s="159"/>
      <c r="AL233" s="200"/>
    </row>
    <row r="234" spans="1:38" s="197" customFormat="1" ht="15" x14ac:dyDescent="0.25">
      <c r="A234" s="155"/>
      <c r="B234" s="156"/>
      <c r="C234" s="156"/>
      <c r="D234" s="157"/>
      <c r="E234" s="157"/>
      <c r="F234" s="156"/>
      <c r="G234" s="156"/>
      <c r="H234" s="156"/>
      <c r="I234" s="156"/>
      <c r="J234" s="156"/>
      <c r="K234" s="156"/>
      <c r="L234" s="156"/>
      <c r="M234" s="156"/>
      <c r="N234" s="156"/>
      <c r="O234" s="157"/>
      <c r="P234" s="180"/>
      <c r="Q234" s="156"/>
      <c r="R234" s="215"/>
      <c r="S234" s="215"/>
      <c r="T234" s="215"/>
      <c r="U234" s="215"/>
      <c r="V234" s="214"/>
      <c r="W234" s="156"/>
      <c r="X234" s="156"/>
      <c r="Y234" s="156"/>
      <c r="Z234" s="156"/>
      <c r="AA234" s="156"/>
      <c r="AB234" s="156"/>
      <c r="AC234" s="156"/>
      <c r="AD234" s="156"/>
      <c r="AE234" s="158"/>
      <c r="AF234" s="156"/>
      <c r="AG234" s="159"/>
      <c r="AJ234" s="206"/>
      <c r="AL234" s="200"/>
    </row>
    <row r="235" spans="1:38" s="197" customFormat="1" ht="15" x14ac:dyDescent="0.25">
      <c r="A235" s="155"/>
      <c r="B235" s="156"/>
      <c r="C235" s="156"/>
      <c r="D235" s="157"/>
      <c r="E235" s="157"/>
      <c r="F235" s="156"/>
      <c r="G235" s="156"/>
      <c r="H235" s="156"/>
      <c r="I235" s="156"/>
      <c r="J235" s="156"/>
      <c r="K235" s="156"/>
      <c r="L235" s="156"/>
      <c r="M235" s="156"/>
      <c r="N235" s="156"/>
      <c r="O235" s="157"/>
      <c r="P235" s="180"/>
      <c r="Q235" s="156"/>
      <c r="R235" s="215"/>
      <c r="S235" s="215"/>
      <c r="T235" s="215"/>
      <c r="U235" s="215"/>
      <c r="V235" s="214"/>
      <c r="W235" s="156"/>
      <c r="X235" s="156"/>
      <c r="Y235" s="156"/>
      <c r="Z235" s="156"/>
      <c r="AA235" s="156"/>
      <c r="AB235" s="156"/>
      <c r="AC235" s="156"/>
      <c r="AD235" s="156"/>
      <c r="AE235" s="158"/>
      <c r="AF235" s="156"/>
      <c r="AG235" s="159"/>
      <c r="AJ235" s="206"/>
      <c r="AL235" s="200"/>
    </row>
    <row r="236" spans="1:38" s="197" customFormat="1" ht="15" x14ac:dyDescent="0.25">
      <c r="A236" s="155"/>
      <c r="B236" s="156"/>
      <c r="C236" s="156"/>
      <c r="D236" s="157"/>
      <c r="E236" s="157"/>
      <c r="F236" s="156"/>
      <c r="G236" s="156"/>
      <c r="H236" s="156"/>
      <c r="I236" s="156"/>
      <c r="J236" s="156"/>
      <c r="K236" s="156"/>
      <c r="L236" s="156"/>
      <c r="M236" s="156"/>
      <c r="N236" s="156"/>
      <c r="O236" s="157"/>
      <c r="P236" s="180"/>
      <c r="Q236" s="156"/>
      <c r="R236" s="215"/>
      <c r="S236" s="215"/>
      <c r="T236" s="215"/>
      <c r="U236" s="215"/>
      <c r="V236" s="214"/>
      <c r="W236" s="156"/>
      <c r="X236" s="156"/>
      <c r="Y236" s="156"/>
      <c r="Z236" s="156"/>
      <c r="AA236" s="156"/>
      <c r="AB236" s="156"/>
      <c r="AC236" s="156"/>
      <c r="AD236" s="156"/>
      <c r="AE236" s="158"/>
      <c r="AF236" s="156"/>
      <c r="AG236" s="159"/>
      <c r="AJ236" s="206"/>
      <c r="AL236" s="200"/>
    </row>
    <row r="237" spans="1:38" s="197" customFormat="1" ht="15" x14ac:dyDescent="0.25">
      <c r="A237" s="155"/>
      <c r="B237" s="156"/>
      <c r="C237" s="156"/>
      <c r="D237" s="157"/>
      <c r="E237" s="157"/>
      <c r="F237" s="156"/>
      <c r="G237" s="156"/>
      <c r="H237" s="156"/>
      <c r="I237" s="156"/>
      <c r="J237" s="156"/>
      <c r="K237" s="156"/>
      <c r="L237" s="156"/>
      <c r="M237" s="156"/>
      <c r="N237" s="156"/>
      <c r="O237" s="157"/>
      <c r="P237" s="180"/>
      <c r="Q237" s="156"/>
      <c r="R237" s="215"/>
      <c r="S237" s="215"/>
      <c r="T237" s="215"/>
      <c r="U237" s="215"/>
      <c r="V237" s="214"/>
      <c r="W237" s="156"/>
      <c r="X237" s="156"/>
      <c r="Y237" s="156"/>
      <c r="Z237" s="156"/>
      <c r="AA237" s="156"/>
      <c r="AB237" s="156"/>
      <c r="AC237" s="156"/>
      <c r="AD237" s="156"/>
      <c r="AE237" s="158"/>
      <c r="AF237" s="156"/>
      <c r="AG237" s="159"/>
      <c r="AJ237" s="206"/>
      <c r="AL237" s="200"/>
    </row>
    <row r="238" spans="1:38" s="197" customFormat="1" ht="15" x14ac:dyDescent="0.25">
      <c r="A238" s="155"/>
      <c r="B238" s="156"/>
      <c r="C238" s="156"/>
      <c r="D238" s="157"/>
      <c r="E238" s="157"/>
      <c r="F238" s="156"/>
      <c r="G238" s="156"/>
      <c r="H238" s="156"/>
      <c r="I238" s="156"/>
      <c r="J238" s="156"/>
      <c r="K238" s="156"/>
      <c r="L238" s="156"/>
      <c r="M238" s="156"/>
      <c r="N238" s="156"/>
      <c r="O238" s="157"/>
      <c r="P238" s="180"/>
      <c r="Q238" s="156"/>
      <c r="R238" s="215"/>
      <c r="S238" s="215"/>
      <c r="T238" s="215"/>
      <c r="U238" s="215"/>
      <c r="V238" s="214"/>
      <c r="W238" s="156"/>
      <c r="X238" s="156"/>
      <c r="Y238" s="156"/>
      <c r="Z238" s="156"/>
      <c r="AA238" s="156"/>
      <c r="AB238" s="156"/>
      <c r="AC238" s="156"/>
      <c r="AD238" s="156"/>
      <c r="AE238" s="158"/>
      <c r="AF238" s="156"/>
      <c r="AG238" s="159"/>
      <c r="AJ238" s="206"/>
      <c r="AL238" s="200"/>
    </row>
    <row r="239" spans="1:38" s="197" customFormat="1" ht="15" x14ac:dyDescent="0.25">
      <c r="A239" s="155"/>
      <c r="B239" s="156"/>
      <c r="C239" s="156"/>
      <c r="D239" s="157"/>
      <c r="E239" s="157"/>
      <c r="F239" s="156"/>
      <c r="G239" s="156"/>
      <c r="H239" s="156"/>
      <c r="I239" s="156"/>
      <c r="J239" s="156"/>
      <c r="K239" s="156"/>
      <c r="L239" s="156"/>
      <c r="M239" s="156"/>
      <c r="N239" s="156"/>
      <c r="O239" s="157"/>
      <c r="P239" s="180"/>
      <c r="Q239" s="156"/>
      <c r="R239" s="215"/>
      <c r="S239" s="215"/>
      <c r="T239" s="215"/>
      <c r="U239" s="215"/>
      <c r="V239" s="214"/>
      <c r="W239" s="156"/>
      <c r="X239" s="156"/>
      <c r="Y239" s="156"/>
      <c r="Z239" s="156"/>
      <c r="AA239" s="156"/>
      <c r="AB239" s="156"/>
      <c r="AC239" s="156"/>
      <c r="AD239" s="156"/>
      <c r="AE239" s="158"/>
      <c r="AF239" s="156"/>
      <c r="AG239" s="159"/>
      <c r="AJ239" s="206"/>
      <c r="AL239" s="200"/>
    </row>
    <row r="240" spans="1:38" s="197" customFormat="1" ht="15" x14ac:dyDescent="0.25">
      <c r="A240" s="155"/>
      <c r="B240" s="156"/>
      <c r="C240" s="156"/>
      <c r="D240" s="157"/>
      <c r="E240" s="157"/>
      <c r="F240" s="156"/>
      <c r="G240" s="156"/>
      <c r="H240" s="156"/>
      <c r="I240" s="156"/>
      <c r="J240" s="156"/>
      <c r="K240" s="156"/>
      <c r="L240" s="156"/>
      <c r="M240" s="156"/>
      <c r="N240" s="156"/>
      <c r="O240" s="157"/>
      <c r="P240" s="180"/>
      <c r="Q240" s="156"/>
      <c r="R240" s="215"/>
      <c r="S240" s="215"/>
      <c r="T240" s="215"/>
      <c r="U240" s="215"/>
      <c r="V240" s="214"/>
      <c r="W240" s="156"/>
      <c r="X240" s="156"/>
      <c r="Y240" s="156"/>
      <c r="Z240" s="156"/>
      <c r="AA240" s="156"/>
      <c r="AB240" s="156"/>
      <c r="AC240" s="156"/>
      <c r="AD240" s="156"/>
      <c r="AE240" s="158"/>
      <c r="AF240" s="156"/>
      <c r="AG240" s="159"/>
      <c r="AJ240" s="206"/>
      <c r="AL240" s="200"/>
    </row>
    <row r="241" spans="1:38" s="197" customFormat="1" ht="15" x14ac:dyDescent="0.25">
      <c r="A241" s="155"/>
      <c r="B241" s="156"/>
      <c r="C241" s="156"/>
      <c r="D241" s="157"/>
      <c r="E241" s="157"/>
      <c r="F241" s="156"/>
      <c r="G241" s="156"/>
      <c r="H241" s="156"/>
      <c r="I241" s="156"/>
      <c r="J241" s="156"/>
      <c r="K241" s="156"/>
      <c r="L241" s="156"/>
      <c r="M241" s="156"/>
      <c r="N241" s="156"/>
      <c r="O241" s="157"/>
      <c r="P241" s="180"/>
      <c r="Q241" s="156"/>
      <c r="R241" s="215"/>
      <c r="S241" s="215"/>
      <c r="T241" s="215"/>
      <c r="U241" s="215"/>
      <c r="V241" s="214"/>
      <c r="W241" s="156"/>
      <c r="X241" s="156"/>
      <c r="Y241" s="156"/>
      <c r="Z241" s="156"/>
      <c r="AA241" s="156"/>
      <c r="AB241" s="156"/>
      <c r="AC241" s="156"/>
      <c r="AD241" s="156"/>
      <c r="AE241" s="158"/>
      <c r="AF241" s="156"/>
      <c r="AG241" s="159"/>
      <c r="AJ241" s="206"/>
      <c r="AL241" s="200"/>
    </row>
    <row r="242" spans="1:38" s="197" customFormat="1" ht="15" x14ac:dyDescent="0.25">
      <c r="A242" s="155"/>
      <c r="B242" s="156"/>
      <c r="C242" s="156"/>
      <c r="D242" s="157"/>
      <c r="E242" s="157"/>
      <c r="F242" s="156"/>
      <c r="G242" s="156"/>
      <c r="H242" s="156"/>
      <c r="I242" s="156"/>
      <c r="J242" s="156"/>
      <c r="K242" s="156"/>
      <c r="L242" s="156"/>
      <c r="M242" s="156"/>
      <c r="N242" s="156"/>
      <c r="O242" s="157"/>
      <c r="P242" s="180"/>
      <c r="Q242" s="156"/>
      <c r="R242" s="215"/>
      <c r="S242" s="215"/>
      <c r="T242" s="215"/>
      <c r="U242" s="215"/>
      <c r="V242" s="214"/>
      <c r="W242" s="156"/>
      <c r="X242" s="156"/>
      <c r="Y242" s="156"/>
      <c r="Z242" s="156"/>
      <c r="AA242" s="156"/>
      <c r="AB242" s="156"/>
      <c r="AC242" s="156"/>
      <c r="AD242" s="156"/>
      <c r="AE242" s="158"/>
      <c r="AF242" s="156"/>
      <c r="AG242" s="159"/>
      <c r="AJ242" s="206"/>
      <c r="AL242" s="200"/>
    </row>
    <row r="243" spans="1:38" s="197" customFormat="1" ht="15" x14ac:dyDescent="0.25">
      <c r="A243" s="155"/>
      <c r="B243" s="156"/>
      <c r="C243" s="156"/>
      <c r="D243" s="157"/>
      <c r="E243" s="157"/>
      <c r="F243" s="156"/>
      <c r="G243" s="156"/>
      <c r="H243" s="156"/>
      <c r="I243" s="156"/>
      <c r="J243" s="156"/>
      <c r="K243" s="156"/>
      <c r="L243" s="156"/>
      <c r="M243" s="156"/>
      <c r="N243" s="156"/>
      <c r="O243" s="157"/>
      <c r="P243" s="180"/>
      <c r="Q243" s="156"/>
      <c r="R243" s="215"/>
      <c r="S243" s="215"/>
      <c r="T243" s="215"/>
      <c r="U243" s="215"/>
      <c r="V243" s="214"/>
      <c r="W243" s="156"/>
      <c r="X243" s="156"/>
      <c r="Y243" s="156"/>
      <c r="Z243" s="156"/>
      <c r="AA243" s="156"/>
      <c r="AB243" s="156"/>
      <c r="AC243" s="156"/>
      <c r="AD243" s="156"/>
      <c r="AE243" s="158"/>
      <c r="AF243" s="156"/>
      <c r="AG243" s="159"/>
      <c r="AJ243" s="206"/>
      <c r="AL243" s="200"/>
    </row>
    <row r="244" spans="1:38" s="197" customFormat="1" ht="15" x14ac:dyDescent="0.25">
      <c r="A244" s="155"/>
      <c r="B244" s="156"/>
      <c r="C244" s="156"/>
      <c r="D244" s="157"/>
      <c r="E244" s="157"/>
      <c r="F244" s="156"/>
      <c r="G244" s="156"/>
      <c r="H244" s="156"/>
      <c r="I244" s="156"/>
      <c r="J244" s="156"/>
      <c r="K244" s="156"/>
      <c r="L244" s="156"/>
      <c r="M244" s="156"/>
      <c r="N244" s="156"/>
      <c r="O244" s="157"/>
      <c r="P244" s="180"/>
      <c r="Q244" s="156"/>
      <c r="R244" s="215"/>
      <c r="S244" s="215"/>
      <c r="T244" s="215"/>
      <c r="U244" s="215"/>
      <c r="V244" s="214"/>
      <c r="W244" s="157"/>
      <c r="X244" s="156"/>
      <c r="Y244" s="156"/>
      <c r="Z244" s="156"/>
      <c r="AA244" s="156"/>
      <c r="AB244" s="156"/>
      <c r="AC244" s="156"/>
      <c r="AD244" s="156"/>
      <c r="AE244" s="158"/>
      <c r="AF244" s="156"/>
      <c r="AG244" s="159"/>
      <c r="AJ244" s="206"/>
      <c r="AL244" s="200"/>
    </row>
    <row r="245" spans="1:38" s="197" customFormat="1" ht="15" x14ac:dyDescent="0.25">
      <c r="AJ245" s="206"/>
      <c r="AL245" s="200"/>
    </row>
    <row r="246" spans="1:38" s="197" customFormat="1" ht="15" x14ac:dyDescent="0.25">
      <c r="AJ246" s="206"/>
      <c r="AL246" s="200"/>
    </row>
    <row r="247" spans="1:38" s="197" customFormat="1" ht="15" x14ac:dyDescent="0.25">
      <c r="D247" s="198"/>
      <c r="E247" s="198"/>
      <c r="O247" s="198"/>
      <c r="P247" s="200"/>
      <c r="R247" s="200"/>
      <c r="S247" s="200"/>
      <c r="T247" s="200"/>
      <c r="U247" s="200"/>
      <c r="V247" s="200"/>
      <c r="AE247" s="204"/>
      <c r="AH247" s="206"/>
      <c r="AL247" s="200"/>
    </row>
    <row r="248" spans="1:38" s="197" customFormat="1" ht="15" x14ac:dyDescent="0.25">
      <c r="D248" s="198"/>
      <c r="E248" s="198"/>
      <c r="O248" s="198"/>
      <c r="P248" s="200"/>
      <c r="R248" s="200"/>
      <c r="S248" s="200"/>
      <c r="T248" s="200"/>
      <c r="U248" s="200"/>
      <c r="V248" s="200"/>
      <c r="AE248" s="204"/>
      <c r="AH248" s="206"/>
      <c r="AL248" s="200"/>
    </row>
    <row r="249" spans="1:38" s="197" customFormat="1" ht="15" x14ac:dyDescent="0.25">
      <c r="D249" s="198"/>
      <c r="E249" s="198"/>
      <c r="O249" s="198"/>
      <c r="P249" s="200"/>
      <c r="R249" s="200"/>
      <c r="S249" s="200"/>
      <c r="T249" s="200"/>
      <c r="U249" s="200"/>
      <c r="V249" s="200"/>
      <c r="AE249" s="204"/>
      <c r="AH249" s="206"/>
      <c r="AL249" s="200"/>
    </row>
    <row r="250" spans="1:38" s="197" customFormat="1" ht="15" x14ac:dyDescent="0.25">
      <c r="D250" s="198"/>
      <c r="E250" s="198"/>
      <c r="O250" s="198"/>
      <c r="P250" s="200"/>
      <c r="R250" s="200"/>
      <c r="S250" s="200"/>
      <c r="T250" s="200"/>
      <c r="U250" s="200"/>
      <c r="V250" s="200"/>
      <c r="AE250" s="204"/>
      <c r="AH250" s="206"/>
      <c r="AL250" s="200"/>
    </row>
    <row r="251" spans="1:38" s="197" customFormat="1" ht="15" x14ac:dyDescent="0.25">
      <c r="D251" s="198"/>
      <c r="E251" s="198"/>
      <c r="O251" s="198"/>
      <c r="P251" s="200"/>
      <c r="R251" s="200"/>
      <c r="S251" s="200"/>
      <c r="T251" s="200"/>
      <c r="U251" s="200"/>
      <c r="V251" s="200"/>
      <c r="AE251" s="204"/>
      <c r="AH251" s="206"/>
      <c r="AL251" s="200"/>
    </row>
    <row r="252" spans="1:38" s="197" customFormat="1" ht="15" x14ac:dyDescent="0.25">
      <c r="D252" s="198"/>
      <c r="E252" s="198"/>
      <c r="O252" s="198"/>
      <c r="P252" s="200"/>
      <c r="R252" s="200"/>
      <c r="S252" s="200"/>
      <c r="T252" s="200"/>
      <c r="U252" s="200"/>
      <c r="V252" s="200"/>
      <c r="AE252" s="204"/>
      <c r="AH252" s="206"/>
      <c r="AL252" s="200"/>
    </row>
    <row r="253" spans="1:38" s="197" customFormat="1" ht="15" x14ac:dyDescent="0.25">
      <c r="D253" s="198"/>
      <c r="E253" s="198"/>
      <c r="O253" s="198"/>
      <c r="P253" s="200"/>
      <c r="R253" s="200"/>
      <c r="S253" s="200"/>
      <c r="T253" s="200"/>
      <c r="U253" s="200"/>
      <c r="V253" s="200"/>
      <c r="AE253" s="204"/>
      <c r="AH253" s="206"/>
      <c r="AL253" s="200"/>
    </row>
    <row r="254" spans="1:38" s="197" customFormat="1" ht="15" x14ac:dyDescent="0.25">
      <c r="D254" s="198"/>
      <c r="E254" s="198"/>
      <c r="O254" s="198"/>
      <c r="P254" s="200"/>
      <c r="R254" s="200"/>
      <c r="S254" s="200"/>
      <c r="T254" s="200"/>
      <c r="U254" s="200"/>
      <c r="V254" s="200"/>
      <c r="AE254" s="204"/>
      <c r="AH254" s="206"/>
      <c r="AL254" s="200"/>
    </row>
    <row r="255" spans="1:38" s="197" customFormat="1" ht="15" x14ac:dyDescent="0.25">
      <c r="D255" s="198"/>
      <c r="E255" s="198"/>
      <c r="O255" s="198"/>
      <c r="P255" s="200"/>
      <c r="R255" s="200"/>
      <c r="S255" s="200"/>
      <c r="T255" s="200"/>
      <c r="U255" s="200"/>
      <c r="V255" s="200"/>
      <c r="AE255" s="204"/>
      <c r="AH255" s="206"/>
      <c r="AL255" s="200"/>
    </row>
    <row r="256" spans="1:38" s="197" customFormat="1" ht="15" x14ac:dyDescent="0.25">
      <c r="D256" s="198"/>
      <c r="E256" s="198"/>
      <c r="O256" s="198"/>
      <c r="P256" s="200"/>
      <c r="R256" s="200"/>
      <c r="S256" s="200"/>
      <c r="T256" s="200"/>
      <c r="U256" s="200"/>
      <c r="V256" s="200"/>
      <c r="AE256" s="204"/>
      <c r="AH256" s="206"/>
      <c r="AL256" s="200"/>
    </row>
    <row r="257" spans="4:38" s="197" customFormat="1" ht="15" x14ac:dyDescent="0.25">
      <c r="D257" s="198"/>
      <c r="E257" s="198"/>
      <c r="O257" s="198"/>
      <c r="P257" s="200"/>
      <c r="R257" s="200"/>
      <c r="S257" s="200"/>
      <c r="T257" s="200"/>
      <c r="U257" s="200"/>
      <c r="V257" s="200"/>
      <c r="AE257" s="204"/>
      <c r="AH257" s="206"/>
      <c r="AL257" s="200"/>
    </row>
    <row r="258" spans="4:38" s="197" customFormat="1" ht="15" x14ac:dyDescent="0.25">
      <c r="D258" s="198"/>
      <c r="E258" s="198"/>
      <c r="O258" s="198"/>
      <c r="P258" s="200"/>
      <c r="R258" s="200"/>
      <c r="S258" s="200"/>
      <c r="T258" s="200"/>
      <c r="U258" s="200"/>
      <c r="V258" s="200"/>
      <c r="AE258" s="204"/>
      <c r="AH258" s="206"/>
      <c r="AL258" s="200"/>
    </row>
    <row r="259" spans="4:38" s="197" customFormat="1" ht="15" x14ac:dyDescent="0.25">
      <c r="D259" s="198"/>
      <c r="E259" s="198"/>
      <c r="O259" s="198"/>
      <c r="P259" s="200"/>
      <c r="R259" s="200"/>
      <c r="S259" s="200"/>
      <c r="T259" s="200"/>
      <c r="U259" s="200"/>
      <c r="V259" s="200"/>
      <c r="AE259" s="204"/>
      <c r="AH259" s="206"/>
      <c r="AL259" s="200"/>
    </row>
    <row r="260" spans="4:38" s="197" customFormat="1" ht="15" x14ac:dyDescent="0.25">
      <c r="D260" s="198"/>
      <c r="E260" s="198"/>
      <c r="O260" s="198"/>
      <c r="P260" s="200"/>
      <c r="R260" s="200"/>
      <c r="S260" s="200"/>
      <c r="T260" s="200"/>
      <c r="U260" s="200"/>
      <c r="V260" s="210"/>
      <c r="W260" s="198"/>
      <c r="X260" s="202"/>
      <c r="AE260" s="204"/>
      <c r="AH260" s="206"/>
      <c r="AL260" s="200"/>
    </row>
    <row r="261" spans="4:38" s="197" customFormat="1" ht="15" x14ac:dyDescent="0.25">
      <c r="D261" s="198"/>
      <c r="E261" s="198"/>
      <c r="O261" s="198"/>
      <c r="P261" s="200"/>
      <c r="R261" s="200"/>
      <c r="S261" s="200"/>
      <c r="T261" s="200"/>
      <c r="U261" s="200"/>
      <c r="V261" s="210"/>
      <c r="W261" s="198"/>
      <c r="AE261" s="204"/>
      <c r="AH261" s="206"/>
      <c r="AL261" s="200"/>
    </row>
    <row r="262" spans="4:38" s="197" customFormat="1" ht="15" x14ac:dyDescent="0.25">
      <c r="D262" s="198"/>
      <c r="E262" s="198"/>
      <c r="O262" s="198"/>
      <c r="P262" s="200"/>
      <c r="R262" s="200"/>
      <c r="S262" s="200"/>
      <c r="T262" s="200"/>
      <c r="U262" s="200"/>
      <c r="V262" s="200"/>
      <c r="AE262" s="204"/>
      <c r="AH262" s="206"/>
      <c r="AL262" s="200"/>
    </row>
    <row r="263" spans="4:38" s="197" customFormat="1" ht="15" x14ac:dyDescent="0.25">
      <c r="D263" s="198"/>
      <c r="E263" s="198"/>
      <c r="O263" s="198"/>
      <c r="P263" s="200"/>
      <c r="R263" s="200"/>
      <c r="S263" s="200"/>
      <c r="T263" s="200"/>
      <c r="U263" s="200"/>
      <c r="V263" s="200"/>
      <c r="AE263" s="204"/>
      <c r="AH263" s="206"/>
      <c r="AL263" s="200"/>
    </row>
    <row r="264" spans="4:38" s="197" customFormat="1" ht="15" x14ac:dyDescent="0.25">
      <c r="D264" s="198"/>
      <c r="E264" s="198"/>
      <c r="O264" s="198"/>
      <c r="P264" s="200"/>
      <c r="R264" s="200"/>
      <c r="S264" s="200"/>
      <c r="T264" s="200"/>
      <c r="U264" s="200"/>
      <c r="V264" s="200"/>
      <c r="AE264" s="204"/>
      <c r="AG264" s="206"/>
      <c r="AH264" s="206"/>
      <c r="AL264" s="200"/>
    </row>
    <row r="265" spans="4:38" s="197" customFormat="1" ht="15" x14ac:dyDescent="0.25">
      <c r="D265" s="198"/>
      <c r="E265" s="198"/>
      <c r="O265" s="198"/>
      <c r="P265" s="200"/>
      <c r="R265" s="200"/>
      <c r="S265" s="200"/>
      <c r="T265" s="200"/>
      <c r="U265" s="200"/>
      <c r="V265" s="200"/>
      <c r="AE265" s="204"/>
      <c r="AG265" s="206"/>
      <c r="AH265" s="206"/>
      <c r="AL265" s="200"/>
    </row>
    <row r="266" spans="4:38" s="197" customFormat="1" ht="15" x14ac:dyDescent="0.25">
      <c r="D266" s="198"/>
      <c r="E266" s="198"/>
      <c r="O266" s="198"/>
      <c r="P266" s="200"/>
      <c r="R266" s="200"/>
      <c r="S266" s="200"/>
      <c r="T266" s="200"/>
      <c r="U266" s="200"/>
      <c r="V266" s="200"/>
      <c r="AE266" s="204"/>
      <c r="AG266" s="206"/>
      <c r="AH266" s="206"/>
      <c r="AL266" s="200"/>
    </row>
    <row r="267" spans="4:38" s="197" customFormat="1" ht="15" x14ac:dyDescent="0.25">
      <c r="D267" s="198"/>
      <c r="E267" s="198"/>
      <c r="O267" s="198"/>
      <c r="P267" s="200"/>
      <c r="R267" s="200"/>
      <c r="S267" s="200"/>
      <c r="T267" s="200"/>
      <c r="U267" s="200"/>
      <c r="V267" s="200"/>
      <c r="AE267" s="204"/>
      <c r="AG267" s="206"/>
      <c r="AH267" s="206"/>
      <c r="AL267" s="200"/>
    </row>
    <row r="268" spans="4:38" s="197" customFormat="1" ht="15" x14ac:dyDescent="0.25">
      <c r="D268" s="198"/>
      <c r="E268" s="198"/>
      <c r="O268" s="198"/>
      <c r="P268" s="200"/>
      <c r="R268" s="200"/>
      <c r="S268" s="200"/>
      <c r="T268" s="200"/>
      <c r="U268" s="200"/>
      <c r="V268" s="200"/>
      <c r="AE268" s="204"/>
      <c r="AG268" s="206"/>
      <c r="AH268" s="206"/>
      <c r="AL268" s="200"/>
    </row>
    <row r="269" spans="4:38" s="197" customFormat="1" ht="15" x14ac:dyDescent="0.25">
      <c r="D269" s="198"/>
      <c r="E269" s="198"/>
      <c r="O269" s="198"/>
      <c r="P269" s="200"/>
      <c r="R269" s="200"/>
      <c r="S269" s="200"/>
      <c r="T269" s="200"/>
      <c r="U269" s="200"/>
      <c r="V269" s="200"/>
      <c r="AE269" s="204"/>
      <c r="AG269" s="206"/>
      <c r="AH269" s="206"/>
      <c r="AL269" s="200"/>
    </row>
    <row r="270" spans="4:38" s="197" customFormat="1" ht="15" x14ac:dyDescent="0.25">
      <c r="D270" s="198"/>
      <c r="E270" s="198"/>
      <c r="O270" s="198"/>
      <c r="P270" s="200"/>
      <c r="R270" s="200"/>
      <c r="S270" s="200"/>
      <c r="T270" s="200"/>
      <c r="U270" s="200"/>
      <c r="V270" s="210"/>
      <c r="W270" s="198"/>
      <c r="AE270" s="204"/>
      <c r="AG270" s="206"/>
      <c r="AH270" s="206"/>
      <c r="AL270" s="200"/>
    </row>
    <row r="271" spans="4:38" s="197" customFormat="1" ht="15" x14ac:dyDescent="0.25">
      <c r="D271" s="198"/>
      <c r="E271" s="198"/>
      <c r="O271" s="198"/>
      <c r="P271" s="200"/>
      <c r="R271" s="200"/>
      <c r="S271" s="200"/>
      <c r="T271" s="200"/>
      <c r="U271" s="200"/>
      <c r="V271" s="200"/>
      <c r="AE271" s="204"/>
      <c r="AG271" s="206"/>
      <c r="AH271" s="206"/>
      <c r="AL271" s="200"/>
    </row>
    <row r="272" spans="4:38" s="197" customFormat="1" ht="15" x14ac:dyDescent="0.25">
      <c r="D272" s="198"/>
      <c r="E272" s="198"/>
      <c r="O272" s="198"/>
      <c r="P272" s="200"/>
      <c r="R272" s="200"/>
      <c r="S272" s="200"/>
      <c r="T272" s="200"/>
      <c r="U272" s="200"/>
      <c r="V272" s="200"/>
      <c r="AE272" s="204"/>
      <c r="AG272" s="206"/>
      <c r="AH272" s="206"/>
      <c r="AL272" s="200"/>
    </row>
    <row r="273" spans="4:38" s="197" customFormat="1" ht="15" x14ac:dyDescent="0.25">
      <c r="D273" s="198"/>
      <c r="E273" s="198"/>
      <c r="O273" s="198"/>
      <c r="P273" s="200"/>
      <c r="R273" s="200"/>
      <c r="S273" s="200"/>
      <c r="T273" s="200"/>
      <c r="U273" s="200"/>
      <c r="V273" s="200"/>
      <c r="AE273" s="204"/>
      <c r="AG273" s="206"/>
      <c r="AH273" s="206"/>
      <c r="AL273" s="200"/>
    </row>
    <row r="274" spans="4:38" s="197" customFormat="1" ht="15" x14ac:dyDescent="0.25">
      <c r="D274" s="198"/>
      <c r="E274" s="198"/>
      <c r="O274" s="198"/>
      <c r="P274" s="200"/>
      <c r="R274" s="200"/>
      <c r="S274" s="200"/>
      <c r="T274" s="200"/>
      <c r="U274" s="200"/>
      <c r="V274" s="200"/>
      <c r="AE274" s="204"/>
      <c r="AG274" s="206"/>
      <c r="AH274" s="206"/>
      <c r="AL274" s="200"/>
    </row>
    <row r="275" spans="4:38" s="197" customFormat="1" ht="15" x14ac:dyDescent="0.25">
      <c r="D275" s="198"/>
      <c r="E275" s="198"/>
      <c r="O275" s="198"/>
      <c r="P275" s="200"/>
      <c r="R275" s="200"/>
      <c r="S275" s="200"/>
      <c r="T275" s="200"/>
      <c r="U275" s="200"/>
      <c r="V275" s="200"/>
      <c r="AE275" s="204"/>
      <c r="AG275" s="206"/>
      <c r="AH275" s="206"/>
      <c r="AL275" s="200"/>
    </row>
    <row r="276" spans="4:38" s="197" customFormat="1" ht="15" x14ac:dyDescent="0.25">
      <c r="D276" s="198"/>
      <c r="E276" s="198"/>
      <c r="O276" s="198"/>
      <c r="P276" s="200"/>
      <c r="R276" s="200"/>
      <c r="S276" s="200"/>
      <c r="T276" s="200"/>
      <c r="U276" s="200"/>
      <c r="V276" s="200"/>
      <c r="AE276" s="204"/>
      <c r="AG276" s="206"/>
      <c r="AH276" s="206"/>
      <c r="AL276" s="200"/>
    </row>
    <row r="277" spans="4:38" s="197" customFormat="1" ht="15" x14ac:dyDescent="0.25">
      <c r="D277" s="198"/>
      <c r="E277" s="198"/>
      <c r="O277" s="198"/>
      <c r="P277" s="200"/>
      <c r="R277" s="200"/>
      <c r="S277" s="200"/>
      <c r="T277" s="200"/>
      <c r="U277" s="200"/>
      <c r="V277" s="200"/>
      <c r="AE277" s="204"/>
      <c r="AG277" s="206"/>
      <c r="AH277" s="206"/>
      <c r="AL277" s="200"/>
    </row>
    <row r="278" spans="4:38" s="197" customFormat="1" ht="15" x14ac:dyDescent="0.25">
      <c r="D278" s="198"/>
      <c r="E278" s="198"/>
      <c r="O278" s="198"/>
      <c r="P278" s="200"/>
      <c r="R278" s="200"/>
      <c r="S278" s="200"/>
      <c r="T278" s="200"/>
      <c r="U278" s="200"/>
      <c r="V278" s="200"/>
      <c r="AE278" s="204"/>
      <c r="AG278" s="206"/>
      <c r="AH278" s="206"/>
      <c r="AL278" s="200"/>
    </row>
    <row r="279" spans="4:38" s="197" customFormat="1" ht="15" x14ac:dyDescent="0.25">
      <c r="D279" s="198"/>
      <c r="E279" s="198"/>
      <c r="O279" s="198"/>
      <c r="P279" s="200"/>
      <c r="R279" s="200"/>
      <c r="S279" s="200"/>
      <c r="T279" s="200"/>
      <c r="U279" s="200"/>
      <c r="V279" s="200"/>
      <c r="AE279" s="204"/>
      <c r="AG279" s="206"/>
      <c r="AH279" s="206"/>
      <c r="AL279" s="200"/>
    </row>
    <row r="280" spans="4:38" s="197" customFormat="1" ht="15" x14ac:dyDescent="0.25">
      <c r="D280" s="198"/>
      <c r="E280" s="198"/>
      <c r="O280" s="198"/>
      <c r="P280" s="200"/>
      <c r="R280" s="200"/>
      <c r="S280" s="200"/>
      <c r="T280" s="200"/>
      <c r="U280" s="200"/>
      <c r="V280" s="200"/>
      <c r="AE280" s="204"/>
      <c r="AG280" s="206"/>
      <c r="AH280" s="206"/>
      <c r="AL280" s="200"/>
    </row>
    <row r="281" spans="4:38" s="197" customFormat="1" ht="15" x14ac:dyDescent="0.25">
      <c r="D281" s="198"/>
      <c r="E281" s="198"/>
      <c r="O281" s="198"/>
      <c r="P281" s="200"/>
      <c r="R281" s="200"/>
      <c r="S281" s="200"/>
      <c r="T281" s="200"/>
      <c r="U281" s="200"/>
      <c r="V281" s="200"/>
      <c r="AE281" s="204"/>
      <c r="AG281" s="206"/>
      <c r="AH281" s="206"/>
      <c r="AL281" s="200"/>
    </row>
    <row r="282" spans="4:38" s="197" customFormat="1" ht="15" x14ac:dyDescent="0.25">
      <c r="D282" s="198"/>
      <c r="E282" s="198"/>
      <c r="O282" s="198"/>
      <c r="P282" s="200"/>
      <c r="R282" s="200"/>
      <c r="S282" s="200"/>
      <c r="T282" s="200"/>
      <c r="U282" s="200"/>
      <c r="V282" s="200"/>
      <c r="AE282" s="204"/>
      <c r="AG282" s="206"/>
      <c r="AH282" s="206"/>
      <c r="AL282" s="200"/>
    </row>
    <row r="283" spans="4:38" s="197" customFormat="1" ht="15" x14ac:dyDescent="0.25">
      <c r="D283" s="198"/>
      <c r="E283" s="198"/>
      <c r="O283" s="198"/>
      <c r="P283" s="200"/>
      <c r="R283" s="200"/>
      <c r="S283" s="200"/>
      <c r="T283" s="200"/>
      <c r="U283" s="200"/>
      <c r="V283" s="200"/>
      <c r="AE283" s="204"/>
      <c r="AG283" s="206"/>
      <c r="AH283" s="206"/>
      <c r="AL283" s="200"/>
    </row>
    <row r="284" spans="4:38" s="197" customFormat="1" ht="15" x14ac:dyDescent="0.25">
      <c r="D284" s="198"/>
      <c r="E284" s="198"/>
      <c r="O284" s="198"/>
      <c r="P284" s="200"/>
      <c r="R284" s="200"/>
      <c r="S284" s="200"/>
      <c r="T284" s="200"/>
      <c r="U284" s="200"/>
      <c r="V284" s="200"/>
      <c r="AE284" s="204"/>
      <c r="AG284" s="206"/>
      <c r="AH284" s="206"/>
      <c r="AL284" s="200"/>
    </row>
    <row r="285" spans="4:38" s="197" customFormat="1" ht="15" x14ac:dyDescent="0.25">
      <c r="D285" s="198"/>
      <c r="E285" s="198"/>
      <c r="O285" s="198"/>
      <c r="P285" s="200"/>
      <c r="R285" s="200"/>
      <c r="S285" s="200"/>
      <c r="T285" s="200"/>
      <c r="U285" s="200"/>
      <c r="V285" s="200"/>
      <c r="AE285" s="204"/>
      <c r="AG285" s="206"/>
      <c r="AH285" s="206"/>
      <c r="AL285" s="200"/>
    </row>
    <row r="286" spans="4:38" s="197" customFormat="1" ht="15" x14ac:dyDescent="0.25">
      <c r="D286" s="198"/>
      <c r="E286" s="198"/>
      <c r="O286" s="198"/>
      <c r="P286" s="200"/>
      <c r="R286" s="200"/>
      <c r="S286" s="200"/>
      <c r="T286" s="200"/>
      <c r="U286" s="200"/>
      <c r="V286" s="200"/>
      <c r="AE286" s="204"/>
      <c r="AG286" s="206"/>
      <c r="AH286" s="206"/>
      <c r="AL286" s="200"/>
    </row>
    <row r="287" spans="4:38" s="197" customFormat="1" ht="15" x14ac:dyDescent="0.25">
      <c r="D287" s="198"/>
      <c r="E287" s="198"/>
      <c r="O287" s="198"/>
      <c r="P287" s="200"/>
      <c r="R287" s="200"/>
      <c r="S287" s="200"/>
      <c r="T287" s="200"/>
      <c r="U287" s="200"/>
      <c r="V287" s="212"/>
      <c r="W287" s="198"/>
      <c r="AE287" s="204"/>
      <c r="AG287" s="206"/>
      <c r="AH287" s="206"/>
      <c r="AL287" s="200"/>
    </row>
    <row r="288" spans="4:38" s="197" customFormat="1" ht="15" x14ac:dyDescent="0.25">
      <c r="D288" s="198"/>
      <c r="E288" s="198"/>
      <c r="O288" s="198"/>
      <c r="P288" s="200"/>
      <c r="R288" s="200"/>
      <c r="S288" s="200"/>
      <c r="T288" s="200"/>
      <c r="U288" s="200"/>
      <c r="V288" s="210"/>
      <c r="W288" s="198"/>
      <c r="AE288" s="204"/>
      <c r="AG288" s="206"/>
      <c r="AH288" s="206"/>
      <c r="AL288" s="200"/>
    </row>
    <row r="289" spans="4:38" s="197" customFormat="1" ht="15" x14ac:dyDescent="0.25">
      <c r="D289" s="198"/>
      <c r="E289" s="198"/>
      <c r="O289" s="198"/>
      <c r="P289" s="200"/>
      <c r="R289" s="200"/>
      <c r="S289" s="200"/>
      <c r="T289" s="200"/>
      <c r="U289" s="200"/>
      <c r="V289" s="210"/>
      <c r="W289" s="198"/>
      <c r="AE289" s="204"/>
      <c r="AG289" s="206"/>
      <c r="AH289" s="206"/>
      <c r="AL289" s="200"/>
    </row>
    <row r="290" spans="4:38" s="197" customFormat="1" ht="15" x14ac:dyDescent="0.25">
      <c r="D290" s="198"/>
      <c r="E290" s="198"/>
      <c r="O290" s="198"/>
      <c r="P290" s="200"/>
      <c r="R290" s="200"/>
      <c r="S290" s="200"/>
      <c r="T290" s="200"/>
      <c r="U290" s="200"/>
      <c r="V290" s="200"/>
      <c r="AE290" s="204"/>
      <c r="AG290" s="206"/>
      <c r="AH290" s="206"/>
      <c r="AL290" s="200"/>
    </row>
    <row r="291" spans="4:38" s="197" customFormat="1" ht="15" x14ac:dyDescent="0.25">
      <c r="D291" s="198"/>
      <c r="E291" s="198"/>
      <c r="O291" s="198"/>
      <c r="P291" s="200"/>
      <c r="R291" s="200"/>
      <c r="S291" s="200"/>
      <c r="T291" s="200"/>
      <c r="U291" s="200"/>
      <c r="V291" s="200"/>
      <c r="AE291" s="204"/>
      <c r="AG291" s="206"/>
      <c r="AH291" s="206"/>
      <c r="AL291" s="200"/>
    </row>
    <row r="292" spans="4:38" s="197" customFormat="1" ht="15" x14ac:dyDescent="0.25">
      <c r="D292" s="198"/>
      <c r="E292" s="198"/>
      <c r="O292" s="198"/>
      <c r="P292" s="200"/>
      <c r="R292" s="200"/>
      <c r="S292" s="200"/>
      <c r="T292" s="200"/>
      <c r="U292" s="200"/>
      <c r="V292" s="200"/>
      <c r="AE292" s="204"/>
      <c r="AG292" s="206"/>
      <c r="AH292" s="206"/>
      <c r="AL292" s="200"/>
    </row>
    <row r="293" spans="4:38" s="197" customFormat="1" ht="15" x14ac:dyDescent="0.25">
      <c r="D293" s="198"/>
      <c r="E293" s="198"/>
      <c r="O293" s="198"/>
      <c r="P293" s="200"/>
      <c r="R293" s="200"/>
      <c r="S293" s="200"/>
      <c r="T293" s="200"/>
      <c r="U293" s="200"/>
      <c r="V293" s="200"/>
      <c r="AE293" s="204"/>
      <c r="AG293" s="206"/>
      <c r="AH293" s="206"/>
      <c r="AL293" s="200"/>
    </row>
    <row r="294" spans="4:38" s="197" customFormat="1" ht="15" x14ac:dyDescent="0.25">
      <c r="D294" s="198"/>
      <c r="E294" s="198"/>
      <c r="O294" s="198"/>
      <c r="P294" s="200"/>
      <c r="R294" s="200"/>
      <c r="S294" s="200"/>
      <c r="T294" s="200"/>
      <c r="U294" s="200"/>
      <c r="V294" s="200"/>
      <c r="AE294" s="204"/>
      <c r="AG294" s="206"/>
      <c r="AH294" s="206"/>
      <c r="AL294" s="200"/>
    </row>
    <row r="295" spans="4:38" s="197" customFormat="1" ht="15" x14ac:dyDescent="0.25">
      <c r="D295" s="198"/>
      <c r="E295" s="198"/>
      <c r="O295" s="198"/>
      <c r="P295" s="200"/>
      <c r="R295" s="200"/>
      <c r="S295" s="200"/>
      <c r="T295" s="200"/>
      <c r="U295" s="200"/>
      <c r="V295" s="200"/>
      <c r="AE295" s="204"/>
      <c r="AG295" s="206"/>
      <c r="AH295" s="206"/>
      <c r="AL295" s="200"/>
    </row>
    <row r="296" spans="4:38" s="197" customFormat="1" ht="15" x14ac:dyDescent="0.25">
      <c r="D296" s="198"/>
      <c r="E296" s="198"/>
      <c r="O296" s="198"/>
      <c r="P296" s="200"/>
      <c r="R296" s="200"/>
      <c r="S296" s="200"/>
      <c r="T296" s="200"/>
      <c r="U296" s="200"/>
      <c r="V296" s="200"/>
      <c r="AE296" s="204"/>
      <c r="AG296" s="206"/>
      <c r="AH296" s="206"/>
      <c r="AL296" s="200"/>
    </row>
    <row r="297" spans="4:38" s="197" customFormat="1" ht="15" x14ac:dyDescent="0.25">
      <c r="D297" s="198"/>
      <c r="E297" s="198"/>
      <c r="O297" s="198"/>
      <c r="P297" s="200"/>
      <c r="R297" s="200"/>
      <c r="S297" s="200"/>
      <c r="T297" s="200"/>
      <c r="U297" s="200"/>
      <c r="V297" s="200"/>
      <c r="AE297" s="204"/>
      <c r="AG297" s="206"/>
      <c r="AH297" s="206"/>
      <c r="AL297" s="200"/>
    </row>
    <row r="298" spans="4:38" s="197" customFormat="1" ht="15" x14ac:dyDescent="0.25">
      <c r="D298" s="198"/>
      <c r="E298" s="198"/>
      <c r="O298" s="198"/>
      <c r="P298" s="200"/>
      <c r="R298" s="200"/>
      <c r="S298" s="200"/>
      <c r="T298" s="200"/>
      <c r="U298" s="200"/>
      <c r="V298" s="200"/>
      <c r="AE298" s="204"/>
      <c r="AG298" s="206"/>
      <c r="AH298" s="206"/>
      <c r="AL298" s="200"/>
    </row>
    <row r="299" spans="4:38" s="197" customFormat="1" ht="15" x14ac:dyDescent="0.25">
      <c r="D299" s="198"/>
      <c r="E299" s="198"/>
      <c r="O299" s="198"/>
      <c r="P299" s="200"/>
      <c r="R299" s="200"/>
      <c r="S299" s="200"/>
      <c r="T299" s="200"/>
      <c r="U299" s="200"/>
      <c r="V299" s="200"/>
      <c r="AE299" s="204"/>
      <c r="AG299" s="206"/>
      <c r="AH299" s="206"/>
      <c r="AL299" s="200"/>
    </row>
    <row r="300" spans="4:38" s="197" customFormat="1" ht="15" x14ac:dyDescent="0.25">
      <c r="D300" s="198"/>
      <c r="E300" s="198"/>
      <c r="O300" s="198"/>
      <c r="P300" s="200"/>
      <c r="R300" s="200"/>
      <c r="S300" s="200"/>
      <c r="T300" s="200"/>
      <c r="U300" s="200"/>
      <c r="V300" s="200"/>
      <c r="AE300" s="204"/>
      <c r="AG300" s="206"/>
      <c r="AH300" s="206"/>
      <c r="AL300" s="200"/>
    </row>
    <row r="301" spans="4:38" s="197" customFormat="1" ht="15" x14ac:dyDescent="0.25">
      <c r="D301" s="198"/>
      <c r="E301" s="198"/>
      <c r="O301" s="198"/>
      <c r="P301" s="200"/>
      <c r="R301" s="200"/>
      <c r="S301" s="200"/>
      <c r="T301" s="200"/>
      <c r="U301" s="200"/>
      <c r="V301" s="200"/>
      <c r="AE301" s="204"/>
      <c r="AG301" s="206"/>
      <c r="AH301" s="206"/>
      <c r="AL301" s="200"/>
    </row>
    <row r="302" spans="4:38" s="197" customFormat="1" ht="15" x14ac:dyDescent="0.25">
      <c r="D302" s="198"/>
      <c r="E302" s="198"/>
      <c r="O302" s="198"/>
      <c r="P302" s="200"/>
      <c r="R302" s="200"/>
      <c r="S302" s="200"/>
      <c r="T302" s="200"/>
      <c r="U302" s="200"/>
      <c r="V302" s="200"/>
      <c r="AE302" s="204"/>
      <c r="AG302" s="206"/>
      <c r="AH302" s="206"/>
      <c r="AL302" s="200"/>
    </row>
    <row r="303" spans="4:38" s="197" customFormat="1" ht="15" x14ac:dyDescent="0.25">
      <c r="D303" s="198"/>
      <c r="E303" s="198"/>
      <c r="O303" s="198"/>
      <c r="P303" s="200"/>
      <c r="R303" s="200"/>
      <c r="S303" s="200"/>
      <c r="T303" s="200"/>
      <c r="U303" s="200"/>
      <c r="V303" s="200"/>
      <c r="AE303" s="204"/>
      <c r="AG303" s="206"/>
      <c r="AH303" s="206"/>
      <c r="AL303" s="200"/>
    </row>
    <row r="304" spans="4:38" s="197" customFormat="1" ht="15" x14ac:dyDescent="0.25">
      <c r="D304" s="198"/>
      <c r="E304" s="198"/>
      <c r="O304" s="198"/>
      <c r="P304" s="200"/>
      <c r="R304" s="200"/>
      <c r="S304" s="200"/>
      <c r="T304" s="200"/>
      <c r="U304" s="200"/>
      <c r="V304" s="200"/>
      <c r="AE304" s="204"/>
      <c r="AG304" s="206"/>
      <c r="AH304" s="206"/>
      <c r="AL304" s="200"/>
    </row>
    <row r="305" spans="4:38" s="197" customFormat="1" ht="15" x14ac:dyDescent="0.25">
      <c r="D305" s="198"/>
      <c r="E305" s="198"/>
      <c r="O305" s="198"/>
      <c r="P305" s="200"/>
      <c r="R305" s="200"/>
      <c r="S305" s="200"/>
      <c r="T305" s="200"/>
      <c r="U305" s="200"/>
      <c r="V305" s="200"/>
      <c r="AE305" s="204"/>
      <c r="AG305" s="206"/>
      <c r="AH305" s="206"/>
      <c r="AL305" s="200"/>
    </row>
    <row r="306" spans="4:38" s="197" customFormat="1" ht="15" x14ac:dyDescent="0.25">
      <c r="D306" s="198"/>
      <c r="E306" s="198"/>
      <c r="O306" s="198"/>
      <c r="P306" s="200"/>
      <c r="R306" s="200"/>
      <c r="S306" s="200"/>
      <c r="T306" s="200"/>
      <c r="U306" s="200"/>
      <c r="V306" s="200"/>
      <c r="AE306" s="204"/>
      <c r="AG306" s="206"/>
      <c r="AH306" s="206"/>
      <c r="AL306" s="200"/>
    </row>
    <row r="307" spans="4:38" s="197" customFormat="1" ht="15" x14ac:dyDescent="0.25">
      <c r="D307" s="198"/>
      <c r="E307" s="198"/>
      <c r="O307" s="198"/>
      <c r="P307" s="200"/>
      <c r="R307" s="200"/>
      <c r="S307" s="200"/>
      <c r="T307" s="200"/>
      <c r="U307" s="200"/>
      <c r="V307" s="212"/>
      <c r="W307" s="198"/>
      <c r="AE307" s="204"/>
      <c r="AG307" s="206"/>
      <c r="AH307" s="206"/>
      <c r="AL307" s="200"/>
    </row>
    <row r="308" spans="4:38" s="197" customFormat="1" ht="15" x14ac:dyDescent="0.25">
      <c r="D308" s="198"/>
      <c r="E308" s="198"/>
      <c r="O308" s="198"/>
      <c r="P308" s="200"/>
      <c r="R308" s="200"/>
      <c r="S308" s="200"/>
      <c r="T308" s="200"/>
      <c r="U308" s="200"/>
      <c r="V308" s="212"/>
      <c r="W308" s="198"/>
      <c r="AE308" s="204"/>
      <c r="AG308" s="206"/>
      <c r="AH308" s="206"/>
      <c r="AL308" s="200"/>
    </row>
    <row r="309" spans="4:38" s="197" customFormat="1" ht="15" x14ac:dyDescent="0.25">
      <c r="D309" s="198"/>
      <c r="E309" s="198"/>
      <c r="O309" s="198"/>
      <c r="P309" s="200"/>
      <c r="R309" s="200"/>
      <c r="S309" s="200"/>
      <c r="T309" s="200"/>
      <c r="U309" s="200"/>
      <c r="V309" s="200"/>
      <c r="AE309" s="204"/>
      <c r="AG309" s="206"/>
      <c r="AH309" s="206"/>
      <c r="AL309" s="200"/>
    </row>
    <row r="310" spans="4:38" s="197" customFormat="1" ht="15" x14ac:dyDescent="0.25">
      <c r="D310" s="198"/>
      <c r="E310" s="198"/>
      <c r="O310" s="198"/>
      <c r="P310" s="200"/>
      <c r="R310" s="200"/>
      <c r="S310" s="200"/>
      <c r="T310" s="200"/>
      <c r="U310" s="200"/>
      <c r="V310" s="200"/>
      <c r="AE310" s="204"/>
      <c r="AG310" s="206"/>
      <c r="AH310" s="206"/>
      <c r="AL310" s="200"/>
    </row>
    <row r="311" spans="4:38" s="197" customFormat="1" ht="15" x14ac:dyDescent="0.25">
      <c r="D311" s="198"/>
      <c r="E311" s="198"/>
      <c r="O311" s="198"/>
      <c r="P311" s="200"/>
      <c r="R311" s="200"/>
      <c r="S311" s="200"/>
      <c r="T311" s="200"/>
      <c r="U311" s="200"/>
      <c r="V311" s="200"/>
      <c r="AE311" s="204"/>
      <c r="AG311" s="206"/>
      <c r="AH311" s="206"/>
      <c r="AL311" s="200"/>
    </row>
    <row r="312" spans="4:38" s="197" customFormat="1" ht="15" x14ac:dyDescent="0.25">
      <c r="D312" s="198"/>
      <c r="E312" s="198"/>
      <c r="O312" s="198"/>
      <c r="P312" s="200"/>
      <c r="R312" s="200"/>
      <c r="S312" s="200"/>
      <c r="T312" s="200"/>
      <c r="U312" s="200"/>
      <c r="V312" s="200"/>
      <c r="AE312" s="204"/>
      <c r="AG312" s="206"/>
      <c r="AH312" s="206"/>
      <c r="AL312" s="200"/>
    </row>
    <row r="313" spans="4:38" s="197" customFormat="1" ht="15" x14ac:dyDescent="0.25">
      <c r="D313" s="198"/>
      <c r="E313" s="198"/>
      <c r="O313" s="198"/>
      <c r="P313" s="200"/>
      <c r="R313" s="200"/>
      <c r="S313" s="200"/>
      <c r="T313" s="200"/>
      <c r="U313" s="200"/>
      <c r="V313" s="200"/>
      <c r="AE313" s="204"/>
      <c r="AG313" s="206"/>
      <c r="AH313" s="206"/>
      <c r="AL313" s="200"/>
    </row>
    <row r="314" spans="4:38" s="197" customFormat="1" ht="15" x14ac:dyDescent="0.25">
      <c r="D314" s="198"/>
      <c r="E314" s="198"/>
      <c r="O314" s="198"/>
      <c r="P314" s="200"/>
      <c r="R314" s="200"/>
      <c r="S314" s="200"/>
      <c r="T314" s="200"/>
      <c r="U314" s="200"/>
      <c r="V314" s="200"/>
      <c r="AE314" s="204"/>
      <c r="AG314" s="206"/>
      <c r="AH314" s="206"/>
      <c r="AL314" s="200"/>
    </row>
    <row r="315" spans="4:38" s="197" customFormat="1" ht="15" x14ac:dyDescent="0.25">
      <c r="D315" s="198"/>
      <c r="E315" s="198"/>
      <c r="O315" s="198"/>
      <c r="P315" s="200"/>
      <c r="R315" s="200"/>
      <c r="S315" s="200"/>
      <c r="T315" s="200"/>
      <c r="U315" s="200"/>
      <c r="V315" s="200"/>
      <c r="AE315" s="204"/>
      <c r="AG315" s="206"/>
      <c r="AH315" s="206"/>
      <c r="AL315" s="200"/>
    </row>
    <row r="316" spans="4:38" s="197" customFormat="1" ht="15" x14ac:dyDescent="0.25">
      <c r="D316" s="198"/>
      <c r="E316" s="198"/>
      <c r="O316" s="198"/>
      <c r="P316" s="200"/>
      <c r="R316" s="200"/>
      <c r="S316" s="200"/>
      <c r="T316" s="200"/>
      <c r="U316" s="200"/>
      <c r="V316" s="200"/>
      <c r="AE316" s="204"/>
      <c r="AG316" s="206"/>
      <c r="AH316" s="206"/>
      <c r="AL316" s="200"/>
    </row>
    <row r="317" spans="4:38" s="197" customFormat="1" ht="15" x14ac:dyDescent="0.25">
      <c r="D317" s="198"/>
      <c r="E317" s="198"/>
      <c r="O317" s="198"/>
      <c r="P317" s="200"/>
      <c r="R317" s="200"/>
      <c r="S317" s="200"/>
      <c r="T317" s="200"/>
      <c r="U317" s="200"/>
      <c r="V317" s="200"/>
      <c r="AE317" s="204"/>
      <c r="AG317" s="206"/>
      <c r="AH317" s="206"/>
      <c r="AL317" s="200"/>
    </row>
    <row r="318" spans="4:38" s="197" customFormat="1" ht="15" x14ac:dyDescent="0.25">
      <c r="D318" s="198"/>
      <c r="E318" s="198"/>
      <c r="O318" s="198"/>
      <c r="P318" s="200"/>
      <c r="R318" s="200"/>
      <c r="S318" s="200"/>
      <c r="T318" s="200"/>
      <c r="U318" s="200"/>
      <c r="V318" s="200"/>
      <c r="AE318" s="204"/>
      <c r="AG318" s="206"/>
      <c r="AH318" s="206"/>
      <c r="AL318" s="200"/>
    </row>
    <row r="319" spans="4:38" s="197" customFormat="1" ht="15" x14ac:dyDescent="0.25">
      <c r="D319" s="198"/>
      <c r="E319" s="198"/>
      <c r="O319" s="198"/>
      <c r="P319" s="200"/>
      <c r="R319" s="200"/>
      <c r="S319" s="200"/>
      <c r="T319" s="200"/>
      <c r="U319" s="200"/>
      <c r="V319" s="200"/>
      <c r="AE319" s="204"/>
      <c r="AG319" s="206"/>
      <c r="AH319" s="206"/>
      <c r="AL319" s="200"/>
    </row>
    <row r="320" spans="4:38" s="197" customFormat="1" ht="15" x14ac:dyDescent="0.25">
      <c r="D320" s="198"/>
      <c r="E320" s="198"/>
      <c r="O320" s="198"/>
      <c r="P320" s="200"/>
      <c r="R320" s="200"/>
      <c r="S320" s="200"/>
      <c r="T320" s="200"/>
      <c r="U320" s="200"/>
      <c r="V320" s="200"/>
      <c r="AE320" s="204"/>
      <c r="AG320" s="206"/>
      <c r="AH320" s="206"/>
      <c r="AL320" s="200"/>
    </row>
    <row r="321" spans="4:38" s="197" customFormat="1" ht="15" x14ac:dyDescent="0.25">
      <c r="D321" s="198"/>
      <c r="E321" s="198"/>
      <c r="O321" s="198"/>
      <c r="P321" s="200"/>
      <c r="R321" s="200"/>
      <c r="S321" s="200"/>
      <c r="T321" s="200"/>
      <c r="U321" s="200"/>
      <c r="V321" s="200"/>
      <c r="AE321" s="204"/>
      <c r="AG321" s="206"/>
      <c r="AH321" s="206"/>
      <c r="AL321" s="200"/>
    </row>
    <row r="322" spans="4:38" s="197" customFormat="1" ht="15" x14ac:dyDescent="0.25">
      <c r="D322" s="198"/>
      <c r="E322" s="198"/>
      <c r="O322" s="198"/>
      <c r="P322" s="200"/>
      <c r="R322" s="200"/>
      <c r="S322" s="200"/>
      <c r="T322" s="200"/>
      <c r="U322" s="200"/>
      <c r="V322" s="200"/>
      <c r="AE322" s="204"/>
      <c r="AG322" s="206"/>
      <c r="AH322" s="206"/>
      <c r="AL322" s="200"/>
    </row>
    <row r="323" spans="4:38" s="197" customFormat="1" ht="15" x14ac:dyDescent="0.25">
      <c r="D323" s="198"/>
      <c r="E323" s="198"/>
      <c r="O323" s="198"/>
      <c r="P323" s="200"/>
      <c r="R323" s="200"/>
      <c r="S323" s="200"/>
      <c r="T323" s="200"/>
      <c r="U323" s="200"/>
      <c r="V323" s="200"/>
      <c r="AE323" s="204"/>
      <c r="AG323" s="206"/>
      <c r="AH323" s="206"/>
      <c r="AL323" s="200"/>
    </row>
    <row r="324" spans="4:38" s="197" customFormat="1" ht="15" x14ac:dyDescent="0.25">
      <c r="D324" s="198"/>
      <c r="E324" s="198"/>
      <c r="O324" s="198"/>
      <c r="P324" s="200"/>
      <c r="R324" s="200"/>
      <c r="S324" s="200"/>
      <c r="T324" s="200"/>
      <c r="U324" s="200"/>
      <c r="V324" s="200"/>
      <c r="AE324" s="204"/>
      <c r="AG324" s="206"/>
      <c r="AH324" s="206"/>
      <c r="AL324" s="200"/>
    </row>
    <row r="325" spans="4:38" s="197" customFormat="1" ht="15" x14ac:dyDescent="0.25">
      <c r="D325" s="198"/>
      <c r="E325" s="198"/>
      <c r="O325" s="198"/>
      <c r="P325" s="200"/>
      <c r="R325" s="200"/>
      <c r="S325" s="200"/>
      <c r="T325" s="200"/>
      <c r="U325" s="200"/>
      <c r="V325" s="200"/>
      <c r="AE325" s="204"/>
      <c r="AG325" s="206"/>
      <c r="AH325" s="206"/>
      <c r="AL325" s="200"/>
    </row>
    <row r="326" spans="4:38" s="197" customFormat="1" ht="15" x14ac:dyDescent="0.25">
      <c r="D326" s="198"/>
      <c r="E326" s="198"/>
      <c r="O326" s="198"/>
      <c r="P326" s="200"/>
      <c r="R326" s="200"/>
      <c r="S326" s="200"/>
      <c r="T326" s="200"/>
      <c r="U326" s="200"/>
      <c r="V326" s="200"/>
      <c r="AE326" s="204"/>
      <c r="AG326" s="206"/>
      <c r="AH326" s="206"/>
      <c r="AL326" s="200"/>
    </row>
    <row r="327" spans="4:38" s="197" customFormat="1" ht="15" x14ac:dyDescent="0.25">
      <c r="D327" s="198"/>
      <c r="E327" s="198"/>
      <c r="O327" s="198"/>
      <c r="P327" s="200"/>
      <c r="R327" s="200"/>
      <c r="S327" s="200"/>
      <c r="T327" s="200"/>
      <c r="U327" s="200"/>
      <c r="V327" s="200"/>
      <c r="AE327" s="204"/>
      <c r="AG327" s="206"/>
      <c r="AH327" s="206"/>
      <c r="AL327" s="200"/>
    </row>
    <row r="328" spans="4:38" s="197" customFormat="1" ht="15" x14ac:dyDescent="0.25">
      <c r="D328" s="198"/>
      <c r="E328" s="198"/>
      <c r="O328" s="198"/>
      <c r="P328" s="200"/>
      <c r="R328" s="200"/>
      <c r="S328" s="200"/>
      <c r="T328" s="200"/>
      <c r="U328" s="200"/>
      <c r="V328" s="200"/>
      <c r="AE328" s="204"/>
      <c r="AG328" s="206"/>
      <c r="AH328" s="206"/>
      <c r="AL328" s="200"/>
    </row>
    <row r="329" spans="4:38" s="197" customFormat="1" ht="15" x14ac:dyDescent="0.25">
      <c r="D329" s="198"/>
      <c r="E329" s="198"/>
      <c r="O329" s="198"/>
      <c r="P329" s="200"/>
      <c r="R329" s="200"/>
      <c r="S329" s="200"/>
      <c r="T329" s="200"/>
      <c r="U329" s="200"/>
      <c r="V329" s="212"/>
      <c r="W329" s="198"/>
      <c r="AE329" s="204"/>
      <c r="AG329" s="206"/>
      <c r="AH329" s="206"/>
      <c r="AL329" s="200"/>
    </row>
    <row r="330" spans="4:38" s="197" customFormat="1" ht="15" x14ac:dyDescent="0.25">
      <c r="D330" s="198"/>
      <c r="E330" s="198"/>
      <c r="O330" s="198"/>
      <c r="P330" s="200"/>
      <c r="R330" s="200"/>
      <c r="S330" s="200"/>
      <c r="T330" s="200"/>
      <c r="U330" s="200"/>
      <c r="V330" s="210"/>
      <c r="AE330" s="204"/>
      <c r="AG330" s="206"/>
      <c r="AH330" s="206"/>
      <c r="AL330" s="200"/>
    </row>
    <row r="331" spans="4:38" s="197" customFormat="1" ht="15" x14ac:dyDescent="0.25">
      <c r="D331" s="198"/>
      <c r="E331" s="198"/>
      <c r="O331" s="198"/>
      <c r="P331" s="200"/>
      <c r="R331" s="200"/>
      <c r="S331" s="200"/>
      <c r="T331" s="200"/>
      <c r="U331" s="200"/>
      <c r="V331" s="210"/>
      <c r="AE331" s="204"/>
      <c r="AG331" s="206"/>
      <c r="AH331" s="206"/>
      <c r="AL331" s="200"/>
    </row>
    <row r="332" spans="4:38" s="197" customFormat="1" ht="15" x14ac:dyDescent="0.25">
      <c r="D332" s="198"/>
      <c r="E332" s="198"/>
      <c r="O332" s="198"/>
      <c r="P332" s="200"/>
      <c r="R332" s="200"/>
      <c r="S332" s="200"/>
      <c r="T332" s="200"/>
      <c r="U332" s="200"/>
      <c r="V332" s="210"/>
      <c r="AE332" s="204"/>
      <c r="AG332" s="206"/>
      <c r="AH332" s="206"/>
      <c r="AL332" s="200"/>
    </row>
    <row r="333" spans="4:38" s="197" customFormat="1" ht="15" x14ac:dyDescent="0.25">
      <c r="D333" s="198"/>
      <c r="E333" s="198"/>
      <c r="O333" s="198"/>
      <c r="P333" s="200"/>
      <c r="R333" s="200"/>
      <c r="S333" s="200"/>
      <c r="T333" s="200"/>
      <c r="U333" s="200"/>
      <c r="V333" s="210"/>
      <c r="AE333" s="204"/>
      <c r="AG333" s="206"/>
      <c r="AH333" s="206"/>
      <c r="AL333" s="200"/>
    </row>
    <row r="334" spans="4:38" s="197" customFormat="1" ht="15" x14ac:dyDescent="0.25">
      <c r="D334" s="198"/>
      <c r="E334" s="198"/>
      <c r="O334" s="198"/>
      <c r="P334" s="200"/>
      <c r="R334" s="200"/>
      <c r="S334" s="200"/>
      <c r="T334" s="200"/>
      <c r="U334" s="200"/>
      <c r="V334" s="210"/>
      <c r="AE334" s="204"/>
      <c r="AG334" s="206"/>
      <c r="AH334" s="206"/>
      <c r="AL334" s="200"/>
    </row>
    <row r="335" spans="4:38" s="197" customFormat="1" ht="15" x14ac:dyDescent="0.25">
      <c r="D335" s="198"/>
      <c r="E335" s="198"/>
      <c r="O335" s="198"/>
      <c r="P335" s="200"/>
      <c r="R335" s="200"/>
      <c r="S335" s="200"/>
      <c r="T335" s="200"/>
      <c r="U335" s="200"/>
      <c r="V335" s="210"/>
      <c r="AE335" s="204"/>
      <c r="AG335" s="206"/>
      <c r="AH335" s="206"/>
      <c r="AL335" s="200"/>
    </row>
    <row r="336" spans="4:38" s="197" customFormat="1" ht="15" x14ac:dyDescent="0.25">
      <c r="D336" s="198"/>
      <c r="E336" s="198"/>
      <c r="O336" s="198"/>
      <c r="P336" s="200"/>
      <c r="R336" s="200"/>
      <c r="S336" s="200"/>
      <c r="T336" s="200"/>
      <c r="U336" s="200"/>
      <c r="V336" s="210"/>
      <c r="AE336" s="204"/>
      <c r="AG336" s="206"/>
      <c r="AH336" s="206"/>
      <c r="AL336" s="200"/>
    </row>
    <row r="337" spans="4:38" s="197" customFormat="1" ht="15" x14ac:dyDescent="0.25">
      <c r="D337" s="198"/>
      <c r="E337" s="198"/>
      <c r="O337" s="198"/>
      <c r="P337" s="200"/>
      <c r="R337" s="200"/>
      <c r="S337" s="200"/>
      <c r="T337" s="200"/>
      <c r="U337" s="200"/>
      <c r="V337" s="210"/>
      <c r="AE337" s="204"/>
      <c r="AG337" s="206"/>
      <c r="AH337" s="206"/>
      <c r="AL337" s="200"/>
    </row>
    <row r="338" spans="4:38" s="197" customFormat="1" ht="15" x14ac:dyDescent="0.25">
      <c r="D338" s="198"/>
      <c r="E338" s="198"/>
      <c r="O338" s="198"/>
      <c r="P338" s="200"/>
      <c r="R338" s="200"/>
      <c r="S338" s="200"/>
      <c r="T338" s="200"/>
      <c r="U338" s="200"/>
      <c r="V338" s="210"/>
      <c r="AE338" s="204"/>
      <c r="AG338" s="206"/>
      <c r="AH338" s="206"/>
      <c r="AL338" s="200"/>
    </row>
    <row r="339" spans="4:38" s="197" customFormat="1" ht="15" x14ac:dyDescent="0.25">
      <c r="D339" s="198"/>
      <c r="E339" s="198"/>
      <c r="O339" s="198"/>
      <c r="P339" s="200"/>
      <c r="R339" s="200"/>
      <c r="S339" s="200"/>
      <c r="T339" s="200"/>
      <c r="U339" s="200"/>
      <c r="V339" s="210"/>
      <c r="AE339" s="204"/>
      <c r="AG339" s="206"/>
      <c r="AH339" s="206"/>
      <c r="AL339" s="200"/>
    </row>
    <row r="340" spans="4:38" s="197" customFormat="1" ht="15" x14ac:dyDescent="0.25">
      <c r="D340" s="198"/>
      <c r="E340" s="198"/>
      <c r="O340" s="198"/>
      <c r="P340" s="200"/>
      <c r="R340" s="200"/>
      <c r="S340" s="200"/>
      <c r="T340" s="200"/>
      <c r="U340" s="200"/>
      <c r="V340" s="210"/>
      <c r="AE340" s="204"/>
      <c r="AG340" s="206"/>
      <c r="AH340" s="206"/>
      <c r="AL340" s="200"/>
    </row>
    <row r="341" spans="4:38" s="197" customFormat="1" ht="15" x14ac:dyDescent="0.25">
      <c r="D341" s="198"/>
      <c r="E341" s="198"/>
      <c r="O341" s="198"/>
      <c r="P341" s="200"/>
      <c r="R341" s="200"/>
      <c r="S341" s="200"/>
      <c r="T341" s="200"/>
      <c r="U341" s="200"/>
      <c r="V341" s="212"/>
      <c r="W341" s="198"/>
      <c r="AE341" s="204"/>
      <c r="AG341" s="206"/>
      <c r="AH341" s="206"/>
      <c r="AL341" s="200"/>
    </row>
    <row r="342" spans="4:38" s="197" customFormat="1" ht="15" x14ac:dyDescent="0.25">
      <c r="D342" s="198"/>
      <c r="E342" s="198"/>
      <c r="O342" s="198"/>
      <c r="P342" s="200"/>
      <c r="R342" s="200"/>
      <c r="S342" s="200"/>
      <c r="T342" s="200"/>
      <c r="U342" s="200"/>
      <c r="V342" s="210"/>
      <c r="AE342" s="204"/>
      <c r="AG342" s="206"/>
      <c r="AH342" s="206"/>
      <c r="AL342" s="200"/>
    </row>
    <row r="343" spans="4:38" s="197" customFormat="1" ht="15" x14ac:dyDescent="0.25">
      <c r="D343" s="198"/>
      <c r="E343" s="198"/>
      <c r="O343" s="198"/>
      <c r="P343" s="200"/>
      <c r="R343" s="200"/>
      <c r="S343" s="200"/>
      <c r="T343" s="200"/>
      <c r="U343" s="200"/>
      <c r="V343" s="210"/>
      <c r="AE343" s="204"/>
      <c r="AG343" s="206"/>
      <c r="AH343" s="206"/>
      <c r="AL343" s="200"/>
    </row>
    <row r="344" spans="4:38" s="197" customFormat="1" ht="15" x14ac:dyDescent="0.25">
      <c r="D344" s="198"/>
      <c r="E344" s="198"/>
      <c r="O344" s="198"/>
      <c r="P344" s="200"/>
      <c r="R344" s="200"/>
      <c r="S344" s="200"/>
      <c r="T344" s="200"/>
      <c r="U344" s="200"/>
      <c r="V344" s="210"/>
      <c r="AE344" s="204"/>
      <c r="AG344" s="206"/>
      <c r="AH344" s="206"/>
      <c r="AL344" s="200"/>
    </row>
    <row r="345" spans="4:38" s="197" customFormat="1" ht="15" x14ac:dyDescent="0.25">
      <c r="D345" s="198"/>
      <c r="E345" s="198"/>
      <c r="O345" s="198"/>
      <c r="P345" s="200"/>
      <c r="R345" s="200"/>
      <c r="S345" s="200"/>
      <c r="T345" s="200"/>
      <c r="U345" s="200"/>
      <c r="V345" s="210"/>
      <c r="AE345" s="204"/>
      <c r="AG345" s="206"/>
      <c r="AH345" s="206"/>
      <c r="AL345" s="200"/>
    </row>
    <row r="346" spans="4:38" s="197" customFormat="1" ht="15" x14ac:dyDescent="0.25">
      <c r="D346" s="198"/>
      <c r="E346" s="198"/>
      <c r="O346" s="198"/>
      <c r="P346" s="200"/>
      <c r="R346" s="200"/>
      <c r="S346" s="200"/>
      <c r="T346" s="200"/>
      <c r="U346" s="200"/>
      <c r="V346" s="210"/>
      <c r="AE346" s="204"/>
      <c r="AG346" s="206"/>
      <c r="AH346" s="206"/>
      <c r="AL346" s="200"/>
    </row>
    <row r="347" spans="4:38" s="197" customFormat="1" ht="15" x14ac:dyDescent="0.25">
      <c r="D347" s="198"/>
      <c r="E347" s="198"/>
      <c r="O347" s="198"/>
      <c r="P347" s="200"/>
      <c r="R347" s="200"/>
      <c r="S347" s="200"/>
      <c r="T347" s="200"/>
      <c r="U347" s="200"/>
      <c r="V347" s="210"/>
      <c r="AE347" s="204"/>
      <c r="AG347" s="206"/>
      <c r="AH347" s="206"/>
      <c r="AL347" s="200"/>
    </row>
    <row r="348" spans="4:38" s="197" customFormat="1" ht="15" x14ac:dyDescent="0.25">
      <c r="D348" s="198"/>
      <c r="E348" s="198"/>
      <c r="O348" s="198"/>
      <c r="P348" s="200"/>
      <c r="R348" s="200"/>
      <c r="S348" s="200"/>
      <c r="T348" s="200"/>
      <c r="U348" s="200"/>
      <c r="V348" s="210"/>
      <c r="AE348" s="204"/>
      <c r="AG348" s="206"/>
      <c r="AH348" s="206"/>
      <c r="AL348" s="200"/>
    </row>
    <row r="349" spans="4:38" s="197" customFormat="1" ht="15" x14ac:dyDescent="0.25">
      <c r="D349" s="198"/>
      <c r="E349" s="198"/>
      <c r="O349" s="198"/>
      <c r="P349" s="200"/>
      <c r="R349" s="200"/>
      <c r="S349" s="200"/>
      <c r="T349" s="200"/>
      <c r="U349" s="200"/>
      <c r="V349" s="210"/>
      <c r="AE349" s="204"/>
      <c r="AG349" s="206"/>
      <c r="AH349" s="206"/>
      <c r="AL349" s="200"/>
    </row>
    <row r="350" spans="4:38" s="197" customFormat="1" ht="15" x14ac:dyDescent="0.25">
      <c r="D350" s="198"/>
      <c r="E350" s="198"/>
      <c r="O350" s="198"/>
      <c r="P350" s="200"/>
      <c r="R350" s="200"/>
      <c r="S350" s="200"/>
      <c r="T350" s="200"/>
      <c r="U350" s="200"/>
      <c r="V350" s="210"/>
      <c r="AE350" s="204"/>
      <c r="AG350" s="206"/>
      <c r="AH350" s="206"/>
      <c r="AL350" s="200"/>
    </row>
    <row r="351" spans="4:38" s="197" customFormat="1" ht="15" x14ac:dyDescent="0.25">
      <c r="D351" s="198"/>
      <c r="E351" s="198"/>
      <c r="O351" s="198"/>
      <c r="P351" s="200"/>
      <c r="R351" s="200"/>
      <c r="S351" s="200"/>
      <c r="T351" s="200"/>
      <c r="U351" s="200"/>
      <c r="V351" s="210"/>
      <c r="AE351" s="204"/>
      <c r="AG351" s="206"/>
      <c r="AH351" s="206"/>
      <c r="AL351" s="200"/>
    </row>
    <row r="352" spans="4:38" s="197" customFormat="1" ht="15" x14ac:dyDescent="0.25">
      <c r="D352" s="198"/>
      <c r="E352" s="198"/>
      <c r="O352" s="198"/>
      <c r="P352" s="200"/>
      <c r="R352" s="200"/>
      <c r="S352" s="200"/>
      <c r="T352" s="200"/>
      <c r="U352" s="200"/>
      <c r="V352" s="210"/>
      <c r="AE352" s="204"/>
      <c r="AG352" s="206"/>
      <c r="AH352" s="206"/>
      <c r="AL352" s="200"/>
    </row>
    <row r="353" spans="4:38" s="197" customFormat="1" ht="15" x14ac:dyDescent="0.25">
      <c r="D353" s="198"/>
      <c r="E353" s="198"/>
      <c r="O353" s="198"/>
      <c r="P353" s="200"/>
      <c r="R353" s="200"/>
      <c r="S353" s="200"/>
      <c r="T353" s="200"/>
      <c r="U353" s="200"/>
      <c r="V353" s="210"/>
      <c r="AE353" s="204"/>
      <c r="AG353" s="206"/>
      <c r="AH353" s="206"/>
      <c r="AL353" s="200"/>
    </row>
    <row r="354" spans="4:38" s="197" customFormat="1" ht="15" x14ac:dyDescent="0.25">
      <c r="D354" s="198"/>
      <c r="E354" s="198"/>
      <c r="O354" s="198"/>
      <c r="P354" s="200"/>
      <c r="R354" s="200"/>
      <c r="S354" s="200"/>
      <c r="T354" s="200"/>
      <c r="U354" s="200"/>
      <c r="V354" s="210"/>
      <c r="AE354" s="204"/>
      <c r="AG354" s="206"/>
      <c r="AH354" s="206"/>
      <c r="AL354" s="200"/>
    </row>
    <row r="355" spans="4:38" s="197" customFormat="1" ht="15" x14ac:dyDescent="0.25">
      <c r="D355" s="198"/>
      <c r="E355" s="198"/>
      <c r="O355" s="198"/>
      <c r="P355" s="200"/>
      <c r="R355" s="200"/>
      <c r="S355" s="200"/>
      <c r="T355" s="200"/>
      <c r="U355" s="200"/>
      <c r="V355" s="210"/>
      <c r="AE355" s="204"/>
      <c r="AG355" s="206"/>
      <c r="AH355" s="206"/>
      <c r="AL355" s="200"/>
    </row>
    <row r="356" spans="4:38" s="197" customFormat="1" ht="15" x14ac:dyDescent="0.25">
      <c r="D356" s="198"/>
      <c r="E356" s="198"/>
      <c r="O356" s="198"/>
      <c r="P356" s="200"/>
      <c r="R356" s="200"/>
      <c r="S356" s="200"/>
      <c r="T356" s="200"/>
      <c r="U356" s="200"/>
      <c r="V356" s="210"/>
      <c r="AE356" s="204"/>
      <c r="AG356" s="206"/>
      <c r="AH356" s="206"/>
      <c r="AL356" s="200"/>
    </row>
    <row r="357" spans="4:38" s="197" customFormat="1" ht="15" x14ac:dyDescent="0.25">
      <c r="D357" s="198"/>
      <c r="E357" s="198"/>
      <c r="O357" s="198"/>
      <c r="P357" s="200"/>
      <c r="R357" s="200"/>
      <c r="S357" s="200"/>
      <c r="T357" s="200"/>
      <c r="U357" s="200"/>
      <c r="V357" s="210"/>
      <c r="AE357" s="204"/>
      <c r="AG357" s="206"/>
      <c r="AH357" s="206"/>
      <c r="AL357" s="200"/>
    </row>
    <row r="358" spans="4:38" s="197" customFormat="1" ht="15" x14ac:dyDescent="0.25">
      <c r="D358" s="198"/>
      <c r="E358" s="198"/>
      <c r="O358" s="198"/>
      <c r="P358" s="200"/>
      <c r="R358" s="200"/>
      <c r="S358" s="200"/>
      <c r="T358" s="200"/>
      <c r="U358" s="200"/>
      <c r="V358" s="210"/>
      <c r="AE358" s="204"/>
      <c r="AG358" s="206"/>
      <c r="AH358" s="206"/>
      <c r="AL358" s="200"/>
    </row>
    <row r="359" spans="4:38" s="197" customFormat="1" ht="15" x14ac:dyDescent="0.25">
      <c r="D359" s="198"/>
      <c r="E359" s="198"/>
      <c r="O359" s="198"/>
      <c r="P359" s="200"/>
      <c r="R359" s="200"/>
      <c r="S359" s="200"/>
      <c r="T359" s="200"/>
      <c r="U359" s="200"/>
      <c r="V359" s="210"/>
      <c r="AE359" s="204"/>
      <c r="AG359" s="206"/>
      <c r="AH359" s="206"/>
      <c r="AL359" s="200"/>
    </row>
    <row r="360" spans="4:38" s="197" customFormat="1" ht="15" x14ac:dyDescent="0.25">
      <c r="D360" s="198"/>
      <c r="E360" s="198"/>
      <c r="O360" s="198"/>
      <c r="P360" s="200"/>
      <c r="R360" s="200"/>
      <c r="S360" s="200"/>
      <c r="T360" s="200"/>
      <c r="U360" s="200"/>
      <c r="V360" s="210"/>
      <c r="AE360" s="204"/>
      <c r="AG360" s="206"/>
      <c r="AH360" s="206"/>
      <c r="AL360" s="200"/>
    </row>
    <row r="361" spans="4:38" s="197" customFormat="1" ht="15" x14ac:dyDescent="0.25">
      <c r="D361" s="198"/>
      <c r="E361" s="198"/>
      <c r="O361" s="198"/>
      <c r="P361" s="200"/>
      <c r="R361" s="200"/>
      <c r="S361" s="200"/>
      <c r="T361" s="200"/>
      <c r="U361" s="200"/>
      <c r="V361" s="210"/>
      <c r="AE361" s="204"/>
      <c r="AG361" s="206"/>
      <c r="AH361" s="206"/>
      <c r="AL361" s="200"/>
    </row>
    <row r="362" spans="4:38" s="197" customFormat="1" ht="15" x14ac:dyDescent="0.25">
      <c r="D362" s="198"/>
      <c r="E362" s="198"/>
      <c r="O362" s="198"/>
      <c r="P362" s="200"/>
      <c r="R362" s="200"/>
      <c r="S362" s="200"/>
      <c r="T362" s="200"/>
      <c r="U362" s="200"/>
      <c r="V362" s="210"/>
      <c r="AE362" s="204"/>
      <c r="AG362" s="206"/>
      <c r="AH362" s="206"/>
      <c r="AL362" s="200"/>
    </row>
    <row r="363" spans="4:38" s="197" customFormat="1" ht="15" x14ac:dyDescent="0.25">
      <c r="D363" s="198"/>
      <c r="E363" s="198"/>
      <c r="O363" s="198"/>
      <c r="P363" s="200"/>
      <c r="R363" s="200"/>
      <c r="S363" s="200"/>
      <c r="T363" s="200"/>
      <c r="U363" s="200"/>
      <c r="V363" s="210"/>
      <c r="AE363" s="204"/>
      <c r="AG363" s="206"/>
      <c r="AH363" s="206"/>
      <c r="AL363" s="200"/>
    </row>
    <row r="364" spans="4:38" s="197" customFormat="1" ht="15" x14ac:dyDescent="0.25">
      <c r="D364" s="198"/>
      <c r="E364" s="198"/>
      <c r="O364" s="198"/>
      <c r="P364" s="200"/>
      <c r="R364" s="200"/>
      <c r="S364" s="200"/>
      <c r="T364" s="200"/>
      <c r="U364" s="200"/>
      <c r="V364" s="210"/>
      <c r="AE364" s="204"/>
      <c r="AG364" s="206"/>
      <c r="AH364" s="206"/>
      <c r="AL364" s="200"/>
    </row>
    <row r="365" spans="4:38" s="197" customFormat="1" ht="15" x14ac:dyDescent="0.25">
      <c r="D365" s="198"/>
      <c r="E365" s="198"/>
      <c r="O365" s="198"/>
      <c r="P365" s="200"/>
      <c r="R365" s="200"/>
      <c r="S365" s="200"/>
      <c r="T365" s="200"/>
      <c r="U365" s="200"/>
      <c r="V365" s="212"/>
      <c r="W365" s="198"/>
      <c r="AE365" s="204"/>
      <c r="AG365" s="206"/>
      <c r="AH365" s="206"/>
      <c r="AL365" s="200"/>
    </row>
    <row r="366" spans="4:38" s="197" customFormat="1" ht="15" x14ac:dyDescent="0.25">
      <c r="D366" s="198"/>
      <c r="E366" s="198"/>
      <c r="O366" s="198"/>
      <c r="P366" s="200"/>
      <c r="R366" s="200"/>
      <c r="S366" s="200"/>
      <c r="T366" s="200"/>
      <c r="U366" s="200"/>
      <c r="V366" s="210"/>
      <c r="AE366" s="204"/>
      <c r="AG366" s="206"/>
      <c r="AH366" s="206"/>
      <c r="AL366" s="200"/>
    </row>
    <row r="367" spans="4:38" s="197" customFormat="1" ht="15" x14ac:dyDescent="0.25">
      <c r="D367" s="198"/>
      <c r="E367" s="198"/>
      <c r="O367" s="198"/>
      <c r="P367" s="200"/>
      <c r="R367" s="200"/>
      <c r="S367" s="200"/>
      <c r="T367" s="200"/>
      <c r="U367" s="200"/>
      <c r="V367" s="212"/>
      <c r="W367" s="198"/>
      <c r="AE367" s="204"/>
      <c r="AG367" s="206"/>
      <c r="AH367" s="206"/>
      <c r="AL367" s="200"/>
    </row>
    <row r="368" spans="4:38" s="197" customFormat="1" ht="15" x14ac:dyDescent="0.25">
      <c r="D368" s="198"/>
      <c r="E368" s="198"/>
      <c r="O368" s="198"/>
      <c r="P368" s="200"/>
      <c r="R368" s="200"/>
      <c r="S368" s="200"/>
      <c r="T368" s="200"/>
      <c r="U368" s="200"/>
      <c r="V368" s="210"/>
      <c r="AE368" s="204"/>
      <c r="AG368" s="206"/>
      <c r="AH368" s="206"/>
      <c r="AL368" s="200"/>
    </row>
    <row r="369" spans="4:38" s="197" customFormat="1" ht="15" x14ac:dyDescent="0.25">
      <c r="D369" s="198"/>
      <c r="E369" s="198"/>
      <c r="O369" s="198"/>
      <c r="P369" s="200"/>
      <c r="R369" s="200"/>
      <c r="S369" s="200"/>
      <c r="T369" s="200"/>
      <c r="U369" s="200"/>
      <c r="V369" s="210"/>
      <c r="AE369" s="204"/>
      <c r="AG369" s="206"/>
      <c r="AH369" s="206"/>
      <c r="AL369" s="200"/>
    </row>
    <row r="370" spans="4:38" s="197" customFormat="1" ht="15" x14ac:dyDescent="0.25">
      <c r="D370" s="198"/>
      <c r="E370" s="198"/>
      <c r="O370" s="198"/>
      <c r="P370" s="200"/>
      <c r="R370" s="200"/>
      <c r="S370" s="200"/>
      <c r="T370" s="200"/>
      <c r="U370" s="200"/>
      <c r="V370" s="210"/>
      <c r="AE370" s="204"/>
      <c r="AG370" s="206"/>
      <c r="AH370" s="206"/>
      <c r="AL370" s="200"/>
    </row>
    <row r="371" spans="4:38" s="197" customFormat="1" ht="15" x14ac:dyDescent="0.25">
      <c r="D371" s="198"/>
      <c r="E371" s="198"/>
      <c r="O371" s="198"/>
      <c r="P371" s="200"/>
      <c r="R371" s="200"/>
      <c r="S371" s="200"/>
      <c r="T371" s="200"/>
      <c r="U371" s="200"/>
      <c r="V371" s="210"/>
      <c r="AE371" s="204"/>
      <c r="AG371" s="206"/>
      <c r="AH371" s="206"/>
      <c r="AL371" s="200"/>
    </row>
    <row r="372" spans="4:38" s="197" customFormat="1" ht="15" x14ac:dyDescent="0.25">
      <c r="D372" s="198"/>
      <c r="E372" s="198"/>
      <c r="O372" s="198"/>
      <c r="P372" s="200"/>
      <c r="R372" s="200"/>
      <c r="S372" s="200"/>
      <c r="T372" s="200"/>
      <c r="U372" s="200"/>
      <c r="V372" s="210"/>
      <c r="AE372" s="204"/>
      <c r="AG372" s="207"/>
      <c r="AH372" s="206"/>
      <c r="AL372" s="200"/>
    </row>
    <row r="373" spans="4:38" s="197" customFormat="1" ht="15" x14ac:dyDescent="0.25">
      <c r="D373" s="198"/>
      <c r="E373" s="198"/>
      <c r="O373" s="198"/>
      <c r="P373" s="200"/>
      <c r="R373" s="200"/>
      <c r="S373" s="200"/>
      <c r="T373" s="200"/>
      <c r="U373" s="200"/>
      <c r="V373" s="210"/>
      <c r="AE373" s="204"/>
      <c r="AG373" s="206"/>
      <c r="AH373" s="206"/>
      <c r="AL373" s="200"/>
    </row>
    <row r="374" spans="4:38" s="197" customFormat="1" ht="15" x14ac:dyDescent="0.25">
      <c r="D374" s="198"/>
      <c r="E374" s="198"/>
      <c r="O374" s="198"/>
      <c r="P374" s="200"/>
      <c r="R374" s="200"/>
      <c r="S374" s="200"/>
      <c r="T374" s="200"/>
      <c r="U374" s="200"/>
      <c r="V374" s="210"/>
      <c r="AE374" s="204"/>
      <c r="AG374" s="206"/>
      <c r="AH374" s="206"/>
      <c r="AL374" s="200"/>
    </row>
    <row r="375" spans="4:38" s="197" customFormat="1" ht="15" x14ac:dyDescent="0.25">
      <c r="D375" s="198"/>
      <c r="E375" s="198"/>
      <c r="O375" s="198"/>
      <c r="P375" s="200"/>
      <c r="R375" s="200"/>
      <c r="S375" s="200"/>
      <c r="T375" s="200"/>
      <c r="U375" s="200"/>
      <c r="V375" s="210"/>
      <c r="AE375" s="204"/>
      <c r="AG375" s="206"/>
      <c r="AH375" s="206"/>
      <c r="AL375" s="200"/>
    </row>
    <row r="376" spans="4:38" s="197" customFormat="1" ht="15" x14ac:dyDescent="0.25">
      <c r="D376" s="198"/>
      <c r="E376" s="198"/>
      <c r="O376" s="198"/>
      <c r="P376" s="200"/>
      <c r="R376" s="200"/>
      <c r="S376" s="200"/>
      <c r="T376" s="200"/>
      <c r="U376" s="200"/>
      <c r="V376" s="210"/>
      <c r="AE376" s="204"/>
      <c r="AG376" s="206"/>
      <c r="AH376" s="206"/>
      <c r="AL376" s="200"/>
    </row>
    <row r="377" spans="4:38" s="197" customFormat="1" ht="15" x14ac:dyDescent="0.25">
      <c r="D377" s="198"/>
      <c r="E377" s="198"/>
      <c r="O377" s="198"/>
      <c r="P377" s="200"/>
      <c r="R377" s="200"/>
      <c r="S377" s="200"/>
      <c r="T377" s="200"/>
      <c r="U377" s="200"/>
      <c r="V377" s="210"/>
      <c r="AE377" s="204"/>
      <c r="AG377" s="206"/>
      <c r="AH377" s="206"/>
      <c r="AL377" s="200"/>
    </row>
    <row r="378" spans="4:38" s="197" customFormat="1" ht="15" x14ac:dyDescent="0.25">
      <c r="D378" s="198"/>
      <c r="E378" s="198"/>
      <c r="O378" s="198"/>
      <c r="P378" s="200"/>
      <c r="R378" s="200"/>
      <c r="S378" s="200"/>
      <c r="T378" s="200"/>
      <c r="U378" s="200"/>
      <c r="V378" s="212"/>
      <c r="W378" s="198"/>
      <c r="AE378" s="204"/>
      <c r="AG378" s="206"/>
      <c r="AH378" s="206"/>
      <c r="AL378" s="200"/>
    </row>
    <row r="379" spans="4:38" s="197" customFormat="1" ht="15" x14ac:dyDescent="0.25">
      <c r="D379" s="198"/>
      <c r="E379" s="198"/>
      <c r="O379" s="198"/>
      <c r="P379" s="200"/>
      <c r="R379" s="200"/>
      <c r="S379" s="200"/>
      <c r="T379" s="200"/>
      <c r="U379" s="200"/>
      <c r="V379" s="210"/>
      <c r="W379" s="198"/>
      <c r="AE379" s="204"/>
      <c r="AG379" s="206"/>
      <c r="AH379" s="206"/>
      <c r="AL379" s="200"/>
    </row>
    <row r="380" spans="4:38" s="197" customFormat="1" ht="15" x14ac:dyDescent="0.25">
      <c r="D380" s="198"/>
      <c r="E380" s="198"/>
      <c r="O380" s="198"/>
      <c r="P380" s="200"/>
      <c r="R380" s="200"/>
      <c r="S380" s="200"/>
      <c r="T380" s="200"/>
      <c r="U380" s="200"/>
      <c r="V380" s="210"/>
      <c r="AE380" s="204"/>
      <c r="AG380" s="206"/>
      <c r="AH380" s="206"/>
      <c r="AL380" s="200"/>
    </row>
    <row r="381" spans="4:38" s="197" customFormat="1" ht="15" x14ac:dyDescent="0.25">
      <c r="D381" s="198"/>
      <c r="E381" s="198"/>
      <c r="O381" s="198"/>
      <c r="P381" s="200"/>
      <c r="R381" s="200"/>
      <c r="S381" s="200"/>
      <c r="T381" s="200"/>
      <c r="U381" s="200"/>
      <c r="V381" s="210"/>
      <c r="AE381" s="204"/>
      <c r="AG381" s="206"/>
      <c r="AH381" s="206"/>
      <c r="AL381" s="200"/>
    </row>
    <row r="382" spans="4:38" s="197" customFormat="1" ht="15" x14ac:dyDescent="0.25">
      <c r="D382" s="198"/>
      <c r="E382" s="198"/>
      <c r="O382" s="198"/>
      <c r="P382" s="200"/>
      <c r="R382" s="200"/>
      <c r="S382" s="200"/>
      <c r="T382" s="200"/>
      <c r="U382" s="200"/>
      <c r="V382" s="210"/>
      <c r="AE382" s="204"/>
      <c r="AG382" s="206"/>
      <c r="AH382" s="206"/>
      <c r="AL382" s="200"/>
    </row>
    <row r="383" spans="4:38" s="197" customFormat="1" ht="15" x14ac:dyDescent="0.25">
      <c r="D383" s="198"/>
      <c r="E383" s="198"/>
      <c r="O383" s="198"/>
      <c r="P383" s="200"/>
      <c r="R383" s="200"/>
      <c r="S383" s="200"/>
      <c r="T383" s="200"/>
      <c r="U383" s="200"/>
      <c r="V383" s="210"/>
      <c r="AE383" s="204"/>
      <c r="AG383" s="206"/>
      <c r="AH383" s="206"/>
      <c r="AL383" s="200"/>
    </row>
    <row r="384" spans="4:38" s="197" customFormat="1" ht="15" x14ac:dyDescent="0.25">
      <c r="D384" s="198"/>
      <c r="E384" s="198"/>
      <c r="O384" s="198"/>
      <c r="P384" s="200"/>
      <c r="R384" s="200"/>
      <c r="S384" s="200"/>
      <c r="T384" s="200"/>
      <c r="U384" s="200"/>
      <c r="V384" s="210"/>
      <c r="AE384" s="204"/>
      <c r="AG384" s="206"/>
      <c r="AH384" s="206"/>
      <c r="AL384" s="200"/>
    </row>
    <row r="385" spans="4:38" s="197" customFormat="1" ht="15" x14ac:dyDescent="0.25">
      <c r="D385" s="198"/>
      <c r="E385" s="198"/>
      <c r="O385" s="198"/>
      <c r="P385" s="200"/>
      <c r="R385" s="200"/>
      <c r="S385" s="200"/>
      <c r="T385" s="200"/>
      <c r="U385" s="200"/>
      <c r="V385" s="210"/>
      <c r="AE385" s="204"/>
      <c r="AG385" s="206"/>
      <c r="AH385" s="206"/>
      <c r="AL385" s="200"/>
    </row>
    <row r="386" spans="4:38" s="197" customFormat="1" ht="15" x14ac:dyDescent="0.25">
      <c r="D386" s="198"/>
      <c r="E386" s="198"/>
      <c r="O386" s="198"/>
      <c r="P386" s="200"/>
      <c r="R386" s="200"/>
      <c r="S386" s="200"/>
      <c r="T386" s="200"/>
      <c r="U386" s="200"/>
      <c r="V386" s="210"/>
      <c r="AE386" s="204"/>
      <c r="AG386" s="206"/>
      <c r="AH386" s="206"/>
      <c r="AL386" s="200"/>
    </row>
    <row r="387" spans="4:38" s="197" customFormat="1" ht="15" x14ac:dyDescent="0.25">
      <c r="D387" s="198"/>
      <c r="E387" s="198"/>
      <c r="O387" s="198"/>
      <c r="P387" s="200"/>
      <c r="R387" s="200"/>
      <c r="S387" s="200"/>
      <c r="T387" s="200"/>
      <c r="U387" s="200"/>
      <c r="V387" s="210"/>
      <c r="AE387" s="204"/>
      <c r="AG387" s="206"/>
      <c r="AH387" s="206"/>
      <c r="AL387" s="200"/>
    </row>
    <row r="388" spans="4:38" s="197" customFormat="1" ht="15" x14ac:dyDescent="0.25">
      <c r="D388" s="198"/>
      <c r="E388" s="198"/>
      <c r="O388" s="198"/>
      <c r="P388" s="200"/>
      <c r="R388" s="200"/>
      <c r="S388" s="200"/>
      <c r="T388" s="200"/>
      <c r="U388" s="200"/>
      <c r="V388" s="210"/>
      <c r="AE388" s="204"/>
      <c r="AG388" s="206"/>
      <c r="AH388" s="206"/>
      <c r="AL388" s="200"/>
    </row>
    <row r="389" spans="4:38" s="197" customFormat="1" ht="15" x14ac:dyDescent="0.25">
      <c r="D389" s="198"/>
      <c r="E389" s="198"/>
      <c r="O389" s="198"/>
      <c r="P389" s="200"/>
      <c r="R389" s="200"/>
      <c r="S389" s="200"/>
      <c r="T389" s="200"/>
      <c r="U389" s="200"/>
      <c r="V389" s="210"/>
      <c r="AE389" s="204"/>
      <c r="AG389" s="206"/>
      <c r="AH389" s="206"/>
      <c r="AL389" s="200"/>
    </row>
    <row r="390" spans="4:38" s="197" customFormat="1" ht="15" x14ac:dyDescent="0.25">
      <c r="D390" s="198"/>
      <c r="E390" s="198"/>
      <c r="O390" s="198"/>
      <c r="P390" s="200"/>
      <c r="R390" s="200"/>
      <c r="S390" s="200"/>
      <c r="T390" s="200"/>
      <c r="U390" s="200"/>
      <c r="V390" s="210"/>
      <c r="AE390" s="204"/>
      <c r="AG390" s="206"/>
      <c r="AH390" s="206"/>
      <c r="AL390" s="200"/>
    </row>
    <row r="391" spans="4:38" s="197" customFormat="1" ht="15" x14ac:dyDescent="0.25">
      <c r="D391" s="198"/>
      <c r="E391" s="198"/>
      <c r="O391" s="198"/>
      <c r="P391" s="200"/>
      <c r="R391" s="200"/>
      <c r="S391" s="200"/>
      <c r="T391" s="200"/>
      <c r="U391" s="200"/>
      <c r="V391" s="210"/>
      <c r="AE391" s="204"/>
      <c r="AG391" s="206"/>
      <c r="AH391" s="206"/>
      <c r="AL391" s="200"/>
    </row>
    <row r="392" spans="4:38" s="197" customFormat="1" ht="15" x14ac:dyDescent="0.25">
      <c r="D392" s="198"/>
      <c r="E392" s="198"/>
      <c r="O392" s="198"/>
      <c r="P392" s="200"/>
      <c r="R392" s="200"/>
      <c r="S392" s="200"/>
      <c r="T392" s="200"/>
      <c r="U392" s="200"/>
      <c r="V392" s="210"/>
      <c r="AE392" s="204"/>
      <c r="AG392" s="206"/>
      <c r="AH392" s="206"/>
      <c r="AL392" s="200"/>
    </row>
    <row r="393" spans="4:38" s="197" customFormat="1" ht="15" x14ac:dyDescent="0.25">
      <c r="D393" s="198"/>
      <c r="E393" s="198"/>
      <c r="O393" s="198"/>
      <c r="P393" s="200"/>
      <c r="R393" s="200"/>
      <c r="S393" s="200"/>
      <c r="T393" s="200"/>
      <c r="U393" s="200"/>
      <c r="V393" s="210"/>
      <c r="AE393" s="204"/>
      <c r="AG393" s="206"/>
      <c r="AH393" s="206"/>
      <c r="AL393" s="200"/>
    </row>
    <row r="394" spans="4:38" s="197" customFormat="1" ht="15" x14ac:dyDescent="0.25">
      <c r="D394" s="198"/>
      <c r="E394" s="198"/>
      <c r="O394" s="198"/>
      <c r="P394" s="200"/>
      <c r="R394" s="200"/>
      <c r="S394" s="200"/>
      <c r="T394" s="200"/>
      <c r="U394" s="200"/>
      <c r="V394" s="210"/>
      <c r="W394" s="198"/>
      <c r="AE394" s="204"/>
      <c r="AG394" s="206"/>
      <c r="AH394" s="206"/>
      <c r="AL394" s="200"/>
    </row>
    <row r="395" spans="4:38" s="197" customFormat="1" ht="15" x14ac:dyDescent="0.25">
      <c r="D395" s="198"/>
      <c r="E395" s="198"/>
      <c r="O395" s="198"/>
      <c r="P395" s="200"/>
      <c r="R395" s="200"/>
      <c r="S395" s="200"/>
      <c r="T395" s="200"/>
      <c r="U395" s="200"/>
      <c r="V395" s="200"/>
      <c r="AE395" s="204"/>
      <c r="AG395" s="206"/>
      <c r="AH395" s="206"/>
      <c r="AL395" s="200"/>
    </row>
    <row r="396" spans="4:38" s="197" customFormat="1" ht="15" x14ac:dyDescent="0.25">
      <c r="D396" s="198"/>
      <c r="E396" s="198"/>
      <c r="O396" s="198"/>
      <c r="P396" s="200"/>
      <c r="R396" s="200"/>
      <c r="S396" s="200"/>
      <c r="T396" s="200"/>
      <c r="U396" s="200"/>
      <c r="V396" s="200"/>
      <c r="AE396" s="204"/>
      <c r="AG396" s="206"/>
      <c r="AH396" s="206"/>
      <c r="AL396" s="200"/>
    </row>
    <row r="397" spans="4:38" s="197" customFormat="1" ht="15" x14ac:dyDescent="0.25">
      <c r="D397" s="198"/>
      <c r="E397" s="198"/>
      <c r="O397" s="198"/>
      <c r="P397" s="200"/>
      <c r="R397" s="200"/>
      <c r="S397" s="200"/>
      <c r="T397" s="200"/>
      <c r="U397" s="200"/>
      <c r="V397" s="200"/>
      <c r="AE397" s="204"/>
      <c r="AG397" s="206"/>
      <c r="AH397" s="206"/>
      <c r="AL397" s="200"/>
    </row>
    <row r="398" spans="4:38" s="197" customFormat="1" ht="15" x14ac:dyDescent="0.25">
      <c r="D398" s="198"/>
      <c r="E398" s="198"/>
      <c r="O398" s="198"/>
      <c r="P398" s="200"/>
      <c r="R398" s="200"/>
      <c r="S398" s="200"/>
      <c r="T398" s="200"/>
      <c r="U398" s="200"/>
      <c r="V398" s="200"/>
      <c r="AE398" s="204"/>
      <c r="AG398" s="206"/>
      <c r="AH398" s="206"/>
      <c r="AL398" s="200"/>
    </row>
    <row r="399" spans="4:38" s="197" customFormat="1" ht="15" x14ac:dyDescent="0.25">
      <c r="D399" s="198"/>
      <c r="E399" s="198"/>
      <c r="O399" s="198"/>
      <c r="P399" s="200"/>
      <c r="R399" s="200"/>
      <c r="S399" s="200"/>
      <c r="T399" s="200"/>
      <c r="U399" s="200"/>
      <c r="V399" s="200"/>
      <c r="AE399" s="204"/>
      <c r="AG399" s="206"/>
      <c r="AH399" s="206"/>
      <c r="AL399" s="200"/>
    </row>
    <row r="400" spans="4:38" s="197" customFormat="1" ht="15" x14ac:dyDescent="0.25">
      <c r="D400" s="198"/>
      <c r="E400" s="198"/>
      <c r="O400" s="198"/>
      <c r="P400" s="200"/>
      <c r="R400" s="200"/>
      <c r="S400" s="200"/>
      <c r="T400" s="200"/>
      <c r="U400" s="200"/>
      <c r="V400" s="200"/>
      <c r="AE400" s="204"/>
      <c r="AG400" s="206"/>
      <c r="AH400" s="206"/>
      <c r="AL400" s="200"/>
    </row>
    <row r="401" spans="4:38" s="197" customFormat="1" ht="15" x14ac:dyDescent="0.25">
      <c r="D401" s="198"/>
      <c r="E401" s="198"/>
      <c r="O401" s="198"/>
      <c r="P401" s="200"/>
      <c r="R401" s="200"/>
      <c r="S401" s="200"/>
      <c r="T401" s="200"/>
      <c r="U401" s="200"/>
      <c r="V401" s="200"/>
      <c r="AE401" s="204"/>
      <c r="AG401" s="206"/>
      <c r="AH401" s="206"/>
      <c r="AL401" s="200"/>
    </row>
    <row r="402" spans="4:38" s="197" customFormat="1" ht="15" x14ac:dyDescent="0.25">
      <c r="D402" s="198"/>
      <c r="E402" s="198"/>
      <c r="O402" s="198"/>
      <c r="P402" s="200"/>
      <c r="R402" s="200"/>
      <c r="S402" s="200"/>
      <c r="T402" s="200"/>
      <c r="U402" s="200"/>
      <c r="V402" s="200"/>
      <c r="AE402" s="204"/>
      <c r="AG402" s="206"/>
      <c r="AH402" s="206"/>
      <c r="AL402" s="200"/>
    </row>
    <row r="403" spans="4:38" s="197" customFormat="1" ht="15" x14ac:dyDescent="0.25">
      <c r="D403" s="198"/>
      <c r="E403" s="198"/>
      <c r="O403" s="198"/>
      <c r="P403" s="200"/>
      <c r="R403" s="200"/>
      <c r="S403" s="200"/>
      <c r="T403" s="200"/>
      <c r="U403" s="200"/>
      <c r="V403" s="200"/>
      <c r="AE403" s="204"/>
      <c r="AG403" s="206"/>
      <c r="AH403" s="206"/>
      <c r="AL403" s="200"/>
    </row>
    <row r="404" spans="4:38" s="197" customFormat="1" ht="15" x14ac:dyDescent="0.25">
      <c r="D404" s="198"/>
      <c r="E404" s="198"/>
      <c r="O404" s="198"/>
      <c r="P404" s="200"/>
      <c r="R404" s="200"/>
      <c r="S404" s="200"/>
      <c r="T404" s="200"/>
      <c r="U404" s="200"/>
      <c r="V404" s="213"/>
      <c r="W404" s="198"/>
      <c r="AE404" s="204"/>
      <c r="AG404" s="206"/>
      <c r="AH404" s="206"/>
      <c r="AL404" s="200"/>
    </row>
    <row r="405" spans="4:38" s="197" customFormat="1" ht="15" x14ac:dyDescent="0.25">
      <c r="D405" s="198"/>
      <c r="E405" s="198"/>
      <c r="O405" s="198"/>
      <c r="P405" s="200"/>
      <c r="R405" s="200"/>
      <c r="S405" s="200"/>
      <c r="T405" s="200"/>
      <c r="U405" s="200"/>
      <c r="V405" s="213"/>
      <c r="W405" s="198"/>
      <c r="AE405" s="204"/>
      <c r="AG405" s="206"/>
      <c r="AH405" s="206"/>
      <c r="AL405" s="200"/>
    </row>
    <row r="406" spans="4:38" s="197" customFormat="1" ht="15" x14ac:dyDescent="0.25">
      <c r="D406" s="198"/>
      <c r="E406" s="198"/>
      <c r="O406" s="198"/>
      <c r="P406" s="200"/>
      <c r="R406" s="200"/>
      <c r="S406" s="200"/>
      <c r="T406" s="200"/>
      <c r="U406" s="200"/>
      <c r="V406" s="213"/>
      <c r="W406" s="198"/>
      <c r="AE406" s="204"/>
      <c r="AG406" s="206"/>
      <c r="AH406" s="206"/>
      <c r="AL406" s="200"/>
    </row>
    <row r="407" spans="4:38" s="197" customFormat="1" ht="15" x14ac:dyDescent="0.25">
      <c r="D407" s="198"/>
      <c r="E407" s="198"/>
      <c r="O407" s="198"/>
      <c r="P407" s="200"/>
      <c r="AE407" s="204"/>
      <c r="AG407" s="206"/>
      <c r="AH407" s="206"/>
      <c r="AL407" s="200"/>
    </row>
    <row r="408" spans="4:38" s="197" customFormat="1" ht="15" x14ac:dyDescent="0.25">
      <c r="D408" s="198"/>
      <c r="E408" s="198"/>
      <c r="O408" s="198"/>
      <c r="P408" s="200"/>
      <c r="AE408" s="204"/>
      <c r="AG408" s="206"/>
      <c r="AH408" s="206"/>
      <c r="AL408" s="200"/>
    </row>
    <row r="409" spans="4:38" s="197" customFormat="1" ht="15" x14ac:dyDescent="0.25">
      <c r="D409" s="198"/>
      <c r="E409" s="198"/>
      <c r="O409" s="198"/>
      <c r="P409" s="200"/>
      <c r="AE409" s="204"/>
      <c r="AG409" s="206"/>
      <c r="AH409" s="206"/>
      <c r="AL409" s="200"/>
    </row>
    <row r="410" spans="4:38" s="197" customFormat="1" ht="15" x14ac:dyDescent="0.25">
      <c r="D410" s="198"/>
      <c r="E410" s="198"/>
      <c r="O410" s="198"/>
      <c r="P410" s="200"/>
      <c r="AE410" s="204"/>
      <c r="AG410" s="206"/>
      <c r="AH410" s="206"/>
      <c r="AL410" s="200"/>
    </row>
    <row r="411" spans="4:38" s="197" customFormat="1" ht="15" x14ac:dyDescent="0.25">
      <c r="D411" s="198"/>
      <c r="E411" s="198"/>
      <c r="O411" s="198"/>
      <c r="P411" s="200"/>
      <c r="AE411" s="204"/>
      <c r="AG411" s="206"/>
      <c r="AH411" s="206"/>
      <c r="AL411" s="200"/>
    </row>
    <row r="412" spans="4:38" s="197" customFormat="1" ht="15" x14ac:dyDescent="0.25">
      <c r="D412" s="198"/>
      <c r="E412" s="198"/>
      <c r="O412" s="198"/>
      <c r="P412" s="200"/>
      <c r="V412" s="208"/>
      <c r="AE412" s="204"/>
      <c r="AG412" s="206"/>
      <c r="AH412" s="206"/>
      <c r="AL412" s="200"/>
    </row>
    <row r="413" spans="4:38" s="197" customFormat="1" ht="15" x14ac:dyDescent="0.25">
      <c r="D413" s="198"/>
      <c r="E413" s="198"/>
      <c r="O413" s="198"/>
      <c r="P413" s="200"/>
      <c r="V413" s="200"/>
      <c r="AE413" s="204"/>
      <c r="AG413" s="206"/>
      <c r="AH413" s="206"/>
      <c r="AL413" s="200"/>
    </row>
    <row r="414" spans="4:38" s="197" customFormat="1" ht="15" x14ac:dyDescent="0.25">
      <c r="D414" s="198"/>
      <c r="E414" s="198"/>
      <c r="O414" s="198"/>
      <c r="P414" s="200"/>
      <c r="AE414" s="204"/>
      <c r="AG414" s="206"/>
      <c r="AH414" s="206"/>
      <c r="AL414" s="200"/>
    </row>
    <row r="415" spans="4:38" s="197" customFormat="1" ht="15" x14ac:dyDescent="0.25">
      <c r="D415" s="198"/>
      <c r="E415" s="198"/>
      <c r="O415" s="198"/>
      <c r="P415" s="200"/>
      <c r="AE415" s="204"/>
      <c r="AG415" s="206"/>
      <c r="AH415" s="206"/>
      <c r="AL415" s="200"/>
    </row>
    <row r="416" spans="4:38" s="197" customFormat="1" ht="15" x14ac:dyDescent="0.25">
      <c r="D416" s="198"/>
      <c r="E416" s="198"/>
      <c r="O416" s="198"/>
      <c r="P416" s="200"/>
      <c r="AE416" s="204"/>
      <c r="AG416" s="206"/>
      <c r="AH416" s="206"/>
      <c r="AL416" s="200"/>
    </row>
    <row r="417" spans="4:38" s="197" customFormat="1" ht="15" x14ac:dyDescent="0.25">
      <c r="D417" s="198"/>
      <c r="E417" s="198"/>
      <c r="O417" s="198"/>
      <c r="P417" s="200"/>
      <c r="AE417" s="204"/>
      <c r="AG417" s="206"/>
      <c r="AH417" s="206"/>
      <c r="AL417" s="200"/>
    </row>
    <row r="418" spans="4:38" s="197" customFormat="1" ht="15" x14ac:dyDescent="0.25">
      <c r="D418" s="198"/>
      <c r="E418" s="198"/>
      <c r="O418" s="198"/>
      <c r="P418" s="200"/>
      <c r="AE418" s="204"/>
      <c r="AG418" s="206"/>
      <c r="AH418" s="206"/>
      <c r="AL418" s="200"/>
    </row>
    <row r="419" spans="4:38" s="197" customFormat="1" ht="15" x14ac:dyDescent="0.25">
      <c r="D419" s="198"/>
      <c r="E419" s="198"/>
      <c r="O419" s="198"/>
      <c r="P419" s="200"/>
      <c r="AE419" s="204"/>
      <c r="AG419" s="206"/>
      <c r="AH419" s="206"/>
      <c r="AL419" s="200"/>
    </row>
    <row r="420" spans="4:38" s="197" customFormat="1" ht="15" x14ac:dyDescent="0.25">
      <c r="D420" s="198"/>
      <c r="E420" s="198"/>
      <c r="O420" s="198"/>
      <c r="P420" s="200"/>
      <c r="AE420" s="204"/>
      <c r="AG420" s="206"/>
      <c r="AH420" s="206"/>
      <c r="AL420" s="200"/>
    </row>
    <row r="421" spans="4:38" s="197" customFormat="1" ht="15" x14ac:dyDescent="0.25">
      <c r="D421" s="198"/>
      <c r="E421" s="198"/>
      <c r="O421" s="198"/>
      <c r="P421" s="200"/>
      <c r="AE421" s="204"/>
      <c r="AG421" s="206"/>
      <c r="AH421" s="206"/>
      <c r="AL421" s="200"/>
    </row>
    <row r="422" spans="4:38" s="197" customFormat="1" ht="15" x14ac:dyDescent="0.25">
      <c r="D422" s="198"/>
      <c r="E422" s="198"/>
      <c r="O422" s="198"/>
      <c r="P422" s="200"/>
      <c r="AE422" s="204"/>
      <c r="AG422" s="206"/>
      <c r="AH422" s="206"/>
      <c r="AL422" s="200"/>
    </row>
    <row r="423" spans="4:38" s="197" customFormat="1" ht="15" x14ac:dyDescent="0.25">
      <c r="D423" s="198"/>
      <c r="E423" s="198"/>
      <c r="O423" s="198"/>
      <c r="P423" s="200"/>
      <c r="AE423" s="204"/>
      <c r="AG423" s="206"/>
      <c r="AH423" s="206"/>
      <c r="AL423" s="200"/>
    </row>
    <row r="424" spans="4:38" s="197" customFormat="1" ht="15" x14ac:dyDescent="0.25">
      <c r="D424" s="198"/>
      <c r="E424" s="198"/>
      <c r="O424" s="198"/>
      <c r="P424" s="200"/>
      <c r="AE424" s="204"/>
      <c r="AG424" s="206"/>
      <c r="AH424" s="206"/>
      <c r="AL424" s="200"/>
    </row>
    <row r="425" spans="4:38" s="197" customFormat="1" ht="15" x14ac:dyDescent="0.25">
      <c r="D425" s="198"/>
      <c r="E425" s="198"/>
      <c r="O425" s="198"/>
      <c r="P425" s="200"/>
      <c r="AE425" s="204"/>
      <c r="AG425" s="206"/>
      <c r="AH425" s="206"/>
      <c r="AL425" s="200"/>
    </row>
    <row r="426" spans="4:38" s="197" customFormat="1" ht="15" x14ac:dyDescent="0.25">
      <c r="D426" s="198"/>
      <c r="E426" s="198"/>
      <c r="O426" s="198"/>
      <c r="P426" s="200"/>
      <c r="AE426" s="204"/>
      <c r="AG426" s="206"/>
      <c r="AH426" s="206"/>
      <c r="AL426" s="200"/>
    </row>
    <row r="427" spans="4:38" s="197" customFormat="1" ht="15" x14ac:dyDescent="0.25">
      <c r="D427" s="198"/>
      <c r="E427" s="198"/>
      <c r="O427" s="198"/>
      <c r="P427" s="200"/>
      <c r="AE427" s="204"/>
      <c r="AG427" s="206"/>
      <c r="AH427" s="206"/>
      <c r="AL427" s="200"/>
    </row>
    <row r="428" spans="4:38" s="197" customFormat="1" ht="15" x14ac:dyDescent="0.25">
      <c r="D428" s="198"/>
      <c r="E428" s="198"/>
      <c r="O428" s="198"/>
      <c r="P428" s="200"/>
      <c r="AE428" s="204"/>
      <c r="AG428" s="206"/>
      <c r="AH428" s="206"/>
      <c r="AL428" s="200"/>
    </row>
    <row r="429" spans="4:38" s="197" customFormat="1" ht="15" x14ac:dyDescent="0.25">
      <c r="D429" s="198"/>
      <c r="E429" s="198"/>
      <c r="O429" s="198"/>
      <c r="P429" s="200"/>
      <c r="AE429" s="204"/>
      <c r="AG429" s="206"/>
      <c r="AH429" s="206"/>
      <c r="AL429" s="200"/>
    </row>
    <row r="430" spans="4:38" s="197" customFormat="1" ht="15" x14ac:dyDescent="0.25">
      <c r="D430" s="198"/>
      <c r="E430" s="198"/>
      <c r="O430" s="198"/>
      <c r="P430" s="200"/>
      <c r="AE430" s="204"/>
      <c r="AG430" s="206"/>
      <c r="AH430" s="206"/>
      <c r="AL430" s="200"/>
    </row>
    <row r="431" spans="4:38" s="197" customFormat="1" ht="15" x14ac:dyDescent="0.25">
      <c r="D431" s="198"/>
      <c r="E431" s="198"/>
      <c r="O431" s="198"/>
      <c r="P431" s="200"/>
      <c r="AE431" s="204"/>
      <c r="AG431" s="206"/>
      <c r="AH431" s="206"/>
      <c r="AL431" s="200"/>
    </row>
    <row r="432" spans="4:38" s="197" customFormat="1" ht="15" x14ac:dyDescent="0.25">
      <c r="D432" s="198"/>
      <c r="E432" s="198"/>
      <c r="O432" s="198"/>
      <c r="P432" s="200"/>
      <c r="AE432" s="204"/>
      <c r="AG432" s="206"/>
      <c r="AH432" s="206"/>
      <c r="AL432" s="200"/>
    </row>
    <row r="433" spans="4:38" s="197" customFormat="1" ht="15" x14ac:dyDescent="0.25">
      <c r="D433" s="198"/>
      <c r="E433" s="198"/>
      <c r="O433" s="198"/>
      <c r="P433" s="200"/>
      <c r="AE433" s="204"/>
      <c r="AG433" s="206"/>
      <c r="AH433" s="206"/>
      <c r="AL433" s="200"/>
    </row>
    <row r="434" spans="4:38" s="197" customFormat="1" ht="15" x14ac:dyDescent="0.25">
      <c r="D434" s="198"/>
      <c r="E434" s="198"/>
      <c r="O434" s="198"/>
      <c r="P434" s="200"/>
      <c r="AE434" s="204"/>
      <c r="AG434" s="206"/>
      <c r="AH434" s="206"/>
      <c r="AL434" s="200"/>
    </row>
    <row r="435" spans="4:38" s="197" customFormat="1" ht="15" x14ac:dyDescent="0.25">
      <c r="D435" s="198"/>
      <c r="E435" s="198"/>
      <c r="O435" s="198"/>
      <c r="P435" s="200"/>
      <c r="AE435" s="204"/>
      <c r="AG435" s="206"/>
      <c r="AH435" s="206"/>
      <c r="AL435" s="200"/>
    </row>
    <row r="436" spans="4:38" s="197" customFormat="1" ht="15" x14ac:dyDescent="0.25">
      <c r="D436" s="198"/>
      <c r="E436" s="198"/>
      <c r="O436" s="198"/>
      <c r="P436" s="200"/>
      <c r="AE436" s="204"/>
      <c r="AG436" s="206"/>
      <c r="AH436" s="206"/>
      <c r="AL436" s="200"/>
    </row>
    <row r="437" spans="4:38" s="197" customFormat="1" ht="15" x14ac:dyDescent="0.25">
      <c r="D437" s="198"/>
      <c r="E437" s="198"/>
      <c r="O437" s="198"/>
      <c r="P437" s="200"/>
      <c r="AE437" s="204"/>
      <c r="AG437" s="206"/>
      <c r="AH437" s="206"/>
      <c r="AL437" s="200"/>
    </row>
    <row r="438" spans="4:38" s="197" customFormat="1" ht="15" x14ac:dyDescent="0.25">
      <c r="D438" s="198"/>
      <c r="E438" s="198"/>
      <c r="O438" s="198"/>
      <c r="P438" s="200"/>
      <c r="AE438" s="204"/>
      <c r="AG438" s="206"/>
      <c r="AH438" s="206"/>
      <c r="AL438" s="200"/>
    </row>
    <row r="439" spans="4:38" s="197" customFormat="1" ht="15" x14ac:dyDescent="0.25">
      <c r="D439" s="198"/>
      <c r="E439" s="198"/>
      <c r="O439" s="198"/>
      <c r="P439" s="200"/>
      <c r="AE439" s="204"/>
      <c r="AG439" s="206"/>
      <c r="AH439" s="206"/>
      <c r="AL439" s="200"/>
    </row>
    <row r="440" spans="4:38" s="197" customFormat="1" ht="15" x14ac:dyDescent="0.25">
      <c r="D440" s="198"/>
      <c r="E440" s="198"/>
      <c r="O440" s="198"/>
      <c r="P440" s="200"/>
      <c r="AE440" s="204"/>
      <c r="AG440" s="209"/>
      <c r="AH440" s="206"/>
      <c r="AL440" s="200"/>
    </row>
    <row r="441" spans="4:38" s="197" customFormat="1" ht="15" x14ac:dyDescent="0.25">
      <c r="D441" s="198"/>
      <c r="E441" s="198"/>
      <c r="O441" s="198"/>
      <c r="P441" s="200"/>
      <c r="AE441" s="204"/>
      <c r="AG441" s="206"/>
      <c r="AH441" s="206"/>
      <c r="AL441" s="200"/>
    </row>
    <row r="442" spans="4:38" s="197" customFormat="1" ht="15" x14ac:dyDescent="0.25">
      <c r="D442" s="198"/>
      <c r="E442" s="198"/>
      <c r="O442" s="198"/>
      <c r="P442" s="200"/>
      <c r="AE442" s="204"/>
      <c r="AG442" s="206"/>
      <c r="AH442" s="206"/>
      <c r="AL442" s="200"/>
    </row>
    <row r="443" spans="4:38" s="197" customFormat="1" ht="15" x14ac:dyDescent="0.25">
      <c r="D443" s="198"/>
      <c r="E443" s="198"/>
      <c r="O443" s="198"/>
      <c r="P443" s="200"/>
      <c r="AE443" s="204"/>
      <c r="AG443" s="206"/>
      <c r="AH443" s="206"/>
      <c r="AL443" s="200"/>
    </row>
    <row r="444" spans="4:38" s="197" customFormat="1" ht="15" x14ac:dyDescent="0.25">
      <c r="D444" s="198"/>
      <c r="E444" s="198"/>
      <c r="O444" s="198"/>
      <c r="P444" s="200"/>
      <c r="AE444" s="204"/>
      <c r="AG444" s="206"/>
      <c r="AH444" s="206"/>
      <c r="AL444" s="200"/>
    </row>
    <row r="445" spans="4:38" s="197" customFormat="1" ht="15" x14ac:dyDescent="0.25">
      <c r="D445" s="198"/>
      <c r="E445" s="198"/>
      <c r="O445" s="198"/>
      <c r="P445" s="200"/>
      <c r="AE445" s="204"/>
      <c r="AG445" s="206"/>
      <c r="AH445" s="206"/>
      <c r="AL445" s="200"/>
    </row>
    <row r="446" spans="4:38" s="197" customFormat="1" ht="15" x14ac:dyDescent="0.25">
      <c r="D446" s="198"/>
      <c r="E446" s="198"/>
      <c r="O446" s="198"/>
      <c r="P446" s="200"/>
      <c r="AE446" s="204"/>
      <c r="AG446" s="206"/>
      <c r="AH446" s="206"/>
      <c r="AL446" s="200"/>
    </row>
    <row r="447" spans="4:38" s="197" customFormat="1" ht="15" x14ac:dyDescent="0.25">
      <c r="D447" s="198"/>
      <c r="E447" s="198"/>
      <c r="O447" s="198"/>
      <c r="P447" s="200"/>
      <c r="V447" s="210"/>
      <c r="W447" s="198"/>
      <c r="AE447" s="204"/>
      <c r="AG447" s="206"/>
      <c r="AH447" s="206"/>
      <c r="AL447" s="200"/>
    </row>
    <row r="448" spans="4:38" s="197" customFormat="1" ht="15" x14ac:dyDescent="0.25">
      <c r="D448" s="198"/>
      <c r="E448" s="198"/>
      <c r="O448" s="198"/>
      <c r="P448" s="200"/>
      <c r="AE448" s="204"/>
      <c r="AG448" s="206"/>
      <c r="AH448" s="206"/>
      <c r="AL448" s="200"/>
    </row>
    <row r="449" spans="1:38" s="197" customFormat="1" ht="15" x14ac:dyDescent="0.25">
      <c r="D449" s="198"/>
      <c r="E449" s="198"/>
      <c r="O449" s="198"/>
      <c r="P449" s="200"/>
      <c r="AE449" s="204"/>
      <c r="AG449" s="206"/>
      <c r="AH449" s="206"/>
      <c r="AL449" s="200"/>
    </row>
    <row r="450" spans="1:38" s="197" customFormat="1" ht="15" x14ac:dyDescent="0.25">
      <c r="D450" s="198"/>
      <c r="E450" s="198"/>
      <c r="O450" s="198"/>
      <c r="P450" s="200"/>
      <c r="AE450" s="204"/>
      <c r="AG450" s="206"/>
      <c r="AH450" s="206"/>
      <c r="AL450" s="200"/>
    </row>
    <row r="451" spans="1:38" s="197" customFormat="1" ht="15" x14ac:dyDescent="0.25">
      <c r="D451" s="198"/>
      <c r="E451" s="198"/>
      <c r="O451" s="198"/>
      <c r="P451" s="200"/>
      <c r="AE451" s="204"/>
      <c r="AG451" s="206"/>
      <c r="AH451" s="206"/>
      <c r="AL451" s="200"/>
    </row>
    <row r="452" spans="1:38" s="197" customFormat="1" ht="15" x14ac:dyDescent="0.25">
      <c r="D452" s="198"/>
      <c r="E452" s="198"/>
      <c r="O452" s="198"/>
      <c r="P452" s="200"/>
      <c r="AE452" s="204"/>
      <c r="AG452" s="206"/>
      <c r="AH452" s="206"/>
      <c r="AL452" s="200"/>
    </row>
    <row r="453" spans="1:38" s="197" customFormat="1" ht="15" x14ac:dyDescent="0.25">
      <c r="D453" s="198"/>
      <c r="E453" s="198"/>
      <c r="O453" s="198"/>
      <c r="P453" s="200"/>
      <c r="AE453" s="204"/>
      <c r="AG453" s="206"/>
      <c r="AH453" s="206"/>
      <c r="AL453" s="200"/>
    </row>
    <row r="454" spans="1:38" s="197" customFormat="1" ht="15" x14ac:dyDescent="0.25">
      <c r="D454" s="198"/>
      <c r="E454" s="198"/>
      <c r="O454" s="198"/>
      <c r="P454" s="200"/>
      <c r="AE454" s="204"/>
      <c r="AG454" s="206"/>
      <c r="AH454" s="206"/>
      <c r="AL454" s="200"/>
    </row>
    <row r="455" spans="1:38" s="197" customFormat="1" ht="15" x14ac:dyDescent="0.25">
      <c r="D455" s="198"/>
      <c r="E455" s="198"/>
      <c r="O455" s="198"/>
      <c r="P455" s="200"/>
      <c r="AE455" s="204"/>
      <c r="AG455" s="206"/>
      <c r="AH455" s="206"/>
      <c r="AL455" s="200"/>
    </row>
    <row r="456" spans="1:38" s="197" customFormat="1" ht="15" x14ac:dyDescent="0.25">
      <c r="D456" s="198"/>
      <c r="E456" s="198"/>
      <c r="O456" s="198"/>
      <c r="P456" s="200"/>
      <c r="AE456" s="204"/>
      <c r="AG456" s="206"/>
      <c r="AH456" s="206"/>
      <c r="AL456" s="200"/>
    </row>
    <row r="457" spans="1:38" s="197" customFormat="1" ht="15" x14ac:dyDescent="0.25">
      <c r="D457" s="198"/>
      <c r="E457" s="198"/>
      <c r="O457" s="198"/>
      <c r="P457" s="200"/>
      <c r="AE457" s="204"/>
      <c r="AG457" s="206"/>
      <c r="AH457" s="206"/>
      <c r="AL457" s="200"/>
    </row>
    <row r="458" spans="1:38" s="197" customFormat="1" ht="15" x14ac:dyDescent="0.25">
      <c r="D458" s="198"/>
      <c r="E458" s="198"/>
      <c r="O458" s="198"/>
      <c r="P458" s="200"/>
      <c r="AE458" s="204"/>
      <c r="AG458" s="206"/>
      <c r="AH458" s="206"/>
      <c r="AL458" s="200"/>
    </row>
    <row r="459" spans="1:38" s="197" customFormat="1" ht="15" x14ac:dyDescent="0.25">
      <c r="D459" s="198"/>
      <c r="E459" s="198"/>
      <c r="O459" s="198"/>
      <c r="P459" s="200"/>
      <c r="AE459" s="204"/>
      <c r="AG459" s="206"/>
      <c r="AH459" s="206"/>
      <c r="AL459" s="200"/>
    </row>
    <row r="460" spans="1:38" s="197" customFormat="1" ht="15" x14ac:dyDescent="0.25">
      <c r="D460" s="198"/>
      <c r="E460" s="198"/>
      <c r="O460" s="198"/>
      <c r="P460" s="200"/>
      <c r="AE460" s="204"/>
      <c r="AG460" s="206"/>
      <c r="AH460" s="206"/>
      <c r="AL460" s="200"/>
    </row>
    <row r="461" spans="1:38" s="197" customFormat="1" ht="15" x14ac:dyDescent="0.25">
      <c r="D461" s="198"/>
      <c r="E461" s="198"/>
      <c r="O461" s="198"/>
      <c r="P461" s="200"/>
      <c r="AE461" s="204"/>
      <c r="AG461" s="206"/>
      <c r="AH461" s="206"/>
      <c r="AL461" s="200"/>
    </row>
    <row r="462" spans="1:38" s="197" customFormat="1" ht="15" x14ac:dyDescent="0.25">
      <c r="D462" s="198"/>
      <c r="E462" s="198"/>
      <c r="O462" s="198"/>
      <c r="P462" s="200"/>
      <c r="V462" s="210"/>
      <c r="W462" s="198"/>
      <c r="AE462" s="204"/>
      <c r="AG462" s="206"/>
      <c r="AH462" s="206"/>
      <c r="AL462" s="200"/>
    </row>
    <row r="463" spans="1:38" s="197" customFormat="1" ht="15" x14ac:dyDescent="0.25">
      <c r="D463" s="198"/>
      <c r="E463" s="198"/>
      <c r="O463" s="198"/>
      <c r="P463" s="200"/>
      <c r="V463" s="210"/>
      <c r="W463" s="198"/>
      <c r="AE463" s="204"/>
      <c r="AG463" s="206"/>
      <c r="AH463" s="206"/>
      <c r="AL463" s="200"/>
    </row>
    <row r="464" spans="1:38" s="197" customFormat="1" ht="15" x14ac:dyDescent="0.25">
      <c r="A464" s="211"/>
      <c r="D464" s="198"/>
      <c r="E464" s="198"/>
      <c r="O464" s="198"/>
      <c r="P464" s="200"/>
      <c r="AE464" s="204"/>
      <c r="AG464" s="206"/>
      <c r="AH464" s="206"/>
      <c r="AL464" s="200"/>
    </row>
    <row r="465" spans="1:38" s="197" customFormat="1" ht="15" x14ac:dyDescent="0.25">
      <c r="A465" s="211"/>
      <c r="D465" s="198"/>
      <c r="E465" s="198"/>
      <c r="O465" s="198"/>
      <c r="P465" s="200"/>
      <c r="AE465" s="204"/>
      <c r="AG465" s="206"/>
      <c r="AH465" s="206"/>
      <c r="AL465" s="200"/>
    </row>
    <row r="466" spans="1:38" s="197" customFormat="1" ht="15" x14ac:dyDescent="0.25">
      <c r="A466" s="211"/>
      <c r="D466" s="198"/>
      <c r="E466" s="198"/>
      <c r="O466" s="198"/>
      <c r="P466" s="200"/>
      <c r="V466" s="200"/>
      <c r="X466" s="200"/>
      <c r="AE466" s="204"/>
      <c r="AG466" s="206"/>
      <c r="AH466" s="206"/>
      <c r="AL466" s="200"/>
    </row>
    <row r="467" spans="1:38" s="197" customFormat="1" ht="15" x14ac:dyDescent="0.25">
      <c r="A467" s="211"/>
      <c r="D467" s="198"/>
      <c r="E467" s="198"/>
      <c r="O467" s="198"/>
      <c r="P467" s="200"/>
      <c r="AE467" s="204"/>
      <c r="AG467" s="206"/>
      <c r="AH467" s="206"/>
      <c r="AL467" s="200"/>
    </row>
    <row r="468" spans="1:38" s="197" customFormat="1" ht="15" x14ac:dyDescent="0.25">
      <c r="A468" s="211"/>
      <c r="D468" s="198"/>
      <c r="E468" s="198"/>
      <c r="O468" s="198"/>
      <c r="P468" s="200"/>
      <c r="V468" s="200"/>
      <c r="X468" s="200"/>
      <c r="AE468" s="204"/>
      <c r="AG468" s="206"/>
      <c r="AH468" s="206"/>
      <c r="AL468" s="200"/>
    </row>
    <row r="469" spans="1:38" s="197" customFormat="1" ht="15" x14ac:dyDescent="0.25">
      <c r="A469" s="211"/>
      <c r="D469" s="198"/>
      <c r="E469" s="198"/>
      <c r="O469" s="198"/>
      <c r="P469" s="200"/>
      <c r="AE469" s="204"/>
      <c r="AG469" s="206"/>
      <c r="AH469" s="206"/>
      <c r="AL469" s="200"/>
    </row>
    <row r="470" spans="1:38" s="197" customFormat="1" ht="15" x14ac:dyDescent="0.25">
      <c r="A470" s="211"/>
      <c r="D470" s="198"/>
      <c r="E470" s="198"/>
      <c r="O470" s="198"/>
      <c r="P470" s="200"/>
      <c r="AE470" s="204"/>
      <c r="AG470" s="206"/>
      <c r="AH470" s="206"/>
      <c r="AL470" s="200"/>
    </row>
    <row r="471" spans="1:38" s="197" customFormat="1" ht="15" x14ac:dyDescent="0.25">
      <c r="A471" s="211"/>
      <c r="D471" s="198"/>
      <c r="E471" s="198"/>
      <c r="O471" s="198"/>
      <c r="P471" s="200"/>
      <c r="AE471" s="204"/>
      <c r="AG471" s="206"/>
      <c r="AH471" s="206"/>
      <c r="AL471" s="200"/>
    </row>
    <row r="472" spans="1:38" s="197" customFormat="1" ht="15" x14ac:dyDescent="0.25">
      <c r="A472" s="211"/>
      <c r="D472" s="198"/>
      <c r="E472" s="198"/>
      <c r="O472" s="198"/>
      <c r="P472" s="200"/>
      <c r="AE472" s="204"/>
      <c r="AG472" s="206"/>
      <c r="AH472" s="206"/>
      <c r="AL472" s="200"/>
    </row>
    <row r="473" spans="1:38" s="197" customFormat="1" ht="15" x14ac:dyDescent="0.25">
      <c r="A473" s="211"/>
      <c r="D473" s="198"/>
      <c r="E473" s="198"/>
      <c r="O473" s="198"/>
      <c r="P473" s="200"/>
      <c r="AE473" s="204"/>
      <c r="AG473" s="206"/>
      <c r="AH473" s="206"/>
      <c r="AL473" s="200"/>
    </row>
    <row r="474" spans="1:38" s="197" customFormat="1" ht="15" x14ac:dyDescent="0.25">
      <c r="A474" s="211"/>
      <c r="D474" s="198"/>
      <c r="E474" s="198"/>
      <c r="O474" s="198"/>
      <c r="P474" s="200"/>
      <c r="AE474" s="204"/>
      <c r="AG474" s="206"/>
      <c r="AH474" s="206"/>
      <c r="AL474" s="200"/>
    </row>
    <row r="475" spans="1:38" s="197" customFormat="1" ht="15" x14ac:dyDescent="0.25">
      <c r="A475" s="211"/>
      <c r="D475" s="198"/>
      <c r="E475" s="198"/>
      <c r="O475" s="198"/>
      <c r="P475" s="200"/>
      <c r="AE475" s="204"/>
      <c r="AG475" s="206"/>
      <c r="AH475" s="206"/>
      <c r="AL475" s="200"/>
    </row>
    <row r="476" spans="1:38" s="197" customFormat="1" ht="15" x14ac:dyDescent="0.25">
      <c r="A476" s="211"/>
      <c r="D476" s="198"/>
      <c r="E476" s="198"/>
      <c r="O476" s="198"/>
      <c r="P476" s="200"/>
      <c r="AE476" s="204"/>
      <c r="AG476" s="206"/>
      <c r="AH476" s="206"/>
      <c r="AL476" s="200"/>
    </row>
    <row r="477" spans="1:38" s="197" customFormat="1" ht="15" x14ac:dyDescent="0.25">
      <c r="A477" s="211"/>
      <c r="D477" s="198"/>
      <c r="E477" s="198"/>
      <c r="O477" s="198"/>
      <c r="P477" s="200"/>
      <c r="AE477" s="204"/>
      <c r="AG477" s="206"/>
      <c r="AH477" s="206"/>
      <c r="AL477" s="200"/>
    </row>
    <row r="478" spans="1:38" s="197" customFormat="1" ht="15" x14ac:dyDescent="0.25">
      <c r="A478" s="211"/>
      <c r="D478" s="198"/>
      <c r="E478" s="198"/>
      <c r="O478" s="198"/>
      <c r="P478" s="200"/>
      <c r="AE478" s="204"/>
      <c r="AG478" s="206"/>
      <c r="AH478" s="206"/>
      <c r="AL478" s="200"/>
    </row>
    <row r="479" spans="1:38" s="197" customFormat="1" ht="15" x14ac:dyDescent="0.25">
      <c r="A479" s="211"/>
      <c r="D479" s="198"/>
      <c r="E479" s="198"/>
      <c r="O479" s="198"/>
      <c r="P479" s="200"/>
      <c r="W479" s="198"/>
      <c r="AE479" s="204"/>
      <c r="AG479" s="206"/>
      <c r="AH479" s="206"/>
      <c r="AL479" s="200"/>
    </row>
    <row r="480" spans="1:38" s="197" customFormat="1" ht="15" x14ac:dyDescent="0.25">
      <c r="A480" s="211"/>
      <c r="D480" s="198"/>
      <c r="E480" s="198"/>
      <c r="O480" s="198"/>
      <c r="P480" s="200"/>
      <c r="W480" s="198"/>
      <c r="AE480" s="204"/>
      <c r="AG480" s="206"/>
      <c r="AH480" s="206"/>
      <c r="AL480" s="200"/>
    </row>
    <row r="481" spans="1:38" s="197" customFormat="1" ht="15" x14ac:dyDescent="0.25">
      <c r="A481" s="211"/>
      <c r="D481" s="198"/>
      <c r="E481" s="198"/>
      <c r="O481" s="198"/>
      <c r="P481" s="200"/>
      <c r="AE481" s="204"/>
      <c r="AG481" s="206"/>
      <c r="AH481" s="206"/>
      <c r="AL481" s="200"/>
    </row>
    <row r="482" spans="1:38" s="197" customFormat="1" ht="15" x14ac:dyDescent="0.25">
      <c r="A482" s="211"/>
      <c r="D482" s="198"/>
      <c r="E482" s="198"/>
      <c r="O482" s="198"/>
      <c r="P482" s="200"/>
      <c r="AE482" s="204"/>
      <c r="AG482" s="206"/>
      <c r="AH482" s="206"/>
      <c r="AL482" s="200"/>
    </row>
    <row r="483" spans="1:38" s="197" customFormat="1" ht="15" x14ac:dyDescent="0.25">
      <c r="A483" s="211"/>
      <c r="D483" s="198"/>
      <c r="E483" s="198"/>
      <c r="O483" s="198"/>
      <c r="P483" s="200"/>
      <c r="AE483" s="204"/>
      <c r="AG483" s="206"/>
      <c r="AH483" s="206"/>
      <c r="AL483" s="200"/>
    </row>
    <row r="484" spans="1:38" s="197" customFormat="1" ht="15" x14ac:dyDescent="0.25">
      <c r="A484" s="211"/>
      <c r="D484" s="198"/>
      <c r="E484" s="198"/>
      <c r="O484" s="198"/>
      <c r="P484" s="200"/>
      <c r="AE484" s="204"/>
      <c r="AG484" s="206"/>
      <c r="AH484" s="206"/>
      <c r="AL484" s="200"/>
    </row>
    <row r="485" spans="1:38" s="197" customFormat="1" ht="15" x14ac:dyDescent="0.25">
      <c r="A485" s="211"/>
      <c r="D485" s="198"/>
      <c r="E485" s="198"/>
      <c r="O485" s="198"/>
      <c r="P485" s="200"/>
      <c r="AE485" s="204"/>
      <c r="AG485" s="206"/>
      <c r="AH485" s="206"/>
      <c r="AL485" s="200"/>
    </row>
    <row r="486" spans="1:38" s="197" customFormat="1" ht="15" x14ac:dyDescent="0.25">
      <c r="A486" s="211"/>
      <c r="D486" s="198"/>
      <c r="E486" s="198"/>
      <c r="O486" s="198"/>
      <c r="P486" s="200"/>
      <c r="AE486" s="204"/>
      <c r="AG486" s="206"/>
      <c r="AH486" s="206"/>
      <c r="AL486" s="200"/>
    </row>
    <row r="487" spans="1:38" s="197" customFormat="1" ht="15" x14ac:dyDescent="0.25">
      <c r="A487" s="211"/>
      <c r="D487" s="198"/>
      <c r="E487" s="198"/>
      <c r="O487" s="198"/>
      <c r="P487" s="200"/>
      <c r="AE487" s="204"/>
      <c r="AG487" s="206"/>
      <c r="AH487" s="206"/>
      <c r="AL487" s="200"/>
    </row>
    <row r="488" spans="1:38" s="197" customFormat="1" ht="15" x14ac:dyDescent="0.25">
      <c r="A488" s="211"/>
      <c r="D488" s="198"/>
      <c r="E488" s="198"/>
      <c r="O488" s="198"/>
      <c r="P488" s="200"/>
      <c r="V488" s="210"/>
      <c r="W488" s="198"/>
      <c r="AE488" s="204"/>
      <c r="AG488" s="206"/>
      <c r="AH488" s="206"/>
      <c r="AL488" s="200"/>
    </row>
    <row r="489" spans="1:38" s="197" customFormat="1" ht="15" x14ac:dyDescent="0.25">
      <c r="A489" s="211"/>
      <c r="D489" s="198"/>
      <c r="E489" s="198"/>
      <c r="O489" s="198"/>
      <c r="P489" s="200"/>
      <c r="V489" s="210"/>
      <c r="W489" s="198"/>
      <c r="AE489" s="204"/>
      <c r="AG489" s="206"/>
      <c r="AH489" s="206"/>
      <c r="AL489" s="200"/>
    </row>
    <row r="490" spans="1:38" s="197" customFormat="1" ht="15" x14ac:dyDescent="0.25">
      <c r="A490" s="211"/>
      <c r="D490" s="198"/>
      <c r="E490" s="198"/>
      <c r="O490" s="198"/>
      <c r="P490" s="200"/>
      <c r="V490" s="210"/>
      <c r="W490" s="198"/>
      <c r="AE490" s="204"/>
      <c r="AG490" s="206"/>
      <c r="AH490" s="206"/>
      <c r="AL490" s="200"/>
    </row>
    <row r="491" spans="1:38" s="197" customFormat="1" ht="15" x14ac:dyDescent="0.25">
      <c r="A491" s="211"/>
      <c r="D491" s="198"/>
      <c r="E491" s="198"/>
      <c r="O491" s="198"/>
      <c r="P491" s="200"/>
      <c r="AE491" s="204"/>
      <c r="AG491" s="206"/>
      <c r="AH491" s="206"/>
      <c r="AL491" s="200"/>
    </row>
    <row r="492" spans="1:38" s="197" customFormat="1" ht="15" x14ac:dyDescent="0.25">
      <c r="A492" s="211"/>
      <c r="D492" s="198"/>
      <c r="E492" s="198"/>
      <c r="O492" s="198"/>
      <c r="P492" s="200"/>
      <c r="AE492" s="204"/>
      <c r="AG492" s="206"/>
      <c r="AH492" s="206"/>
      <c r="AL492" s="200"/>
    </row>
    <row r="493" spans="1:38" s="197" customFormat="1" ht="15" x14ac:dyDescent="0.25">
      <c r="A493" s="211"/>
      <c r="D493" s="198"/>
      <c r="E493" s="198"/>
      <c r="O493" s="198"/>
      <c r="P493" s="200"/>
      <c r="AE493" s="204"/>
      <c r="AG493" s="206"/>
      <c r="AH493" s="206"/>
      <c r="AL493" s="200"/>
    </row>
    <row r="494" spans="1:38" s="197" customFormat="1" ht="15" x14ac:dyDescent="0.25">
      <c r="A494" s="211"/>
      <c r="D494" s="198"/>
      <c r="E494" s="198"/>
      <c r="O494" s="198"/>
      <c r="P494" s="200"/>
      <c r="AE494" s="204"/>
      <c r="AG494" s="206"/>
      <c r="AH494" s="206"/>
      <c r="AL494" s="200"/>
    </row>
    <row r="495" spans="1:38" s="197" customFormat="1" ht="15" x14ac:dyDescent="0.25">
      <c r="A495" s="211"/>
      <c r="D495" s="198"/>
      <c r="E495" s="198"/>
      <c r="O495" s="198"/>
      <c r="P495" s="200"/>
      <c r="AE495" s="204"/>
      <c r="AG495" s="206"/>
      <c r="AH495" s="206"/>
      <c r="AL495" s="200"/>
    </row>
    <row r="496" spans="1:38" s="197" customFormat="1" ht="15" x14ac:dyDescent="0.25">
      <c r="A496" s="211"/>
      <c r="D496" s="198"/>
      <c r="E496" s="198"/>
      <c r="O496" s="198"/>
      <c r="P496" s="200"/>
      <c r="AE496" s="204"/>
      <c r="AG496" s="206"/>
      <c r="AH496" s="206"/>
      <c r="AL496" s="200"/>
    </row>
    <row r="497" spans="1:38" s="197" customFormat="1" ht="15" x14ac:dyDescent="0.25">
      <c r="A497" s="211"/>
      <c r="D497" s="198"/>
      <c r="E497" s="198"/>
      <c r="O497" s="198"/>
      <c r="P497" s="200"/>
      <c r="AE497" s="204"/>
      <c r="AG497" s="206"/>
      <c r="AH497" s="206"/>
      <c r="AL497" s="200"/>
    </row>
    <row r="498" spans="1:38" s="197" customFormat="1" ht="15" x14ac:dyDescent="0.25">
      <c r="A498" s="211"/>
      <c r="D498" s="198"/>
      <c r="E498" s="198"/>
      <c r="O498" s="198"/>
      <c r="P498" s="200"/>
      <c r="AE498" s="204"/>
      <c r="AG498" s="206"/>
      <c r="AH498" s="206"/>
      <c r="AL498" s="200"/>
    </row>
    <row r="499" spans="1:38" s="197" customFormat="1" ht="15" x14ac:dyDescent="0.25">
      <c r="A499" s="211"/>
      <c r="D499" s="198"/>
      <c r="E499" s="198"/>
      <c r="O499" s="198"/>
      <c r="P499" s="200"/>
      <c r="AE499" s="204"/>
      <c r="AG499" s="206"/>
      <c r="AH499" s="206"/>
      <c r="AL499" s="200"/>
    </row>
    <row r="500" spans="1:38" s="197" customFormat="1" ht="15" x14ac:dyDescent="0.25">
      <c r="A500" s="211"/>
      <c r="D500" s="198"/>
      <c r="E500" s="198"/>
      <c r="O500" s="198"/>
      <c r="P500" s="200"/>
      <c r="AE500" s="204"/>
      <c r="AG500" s="206"/>
      <c r="AH500" s="206"/>
      <c r="AL500" s="200"/>
    </row>
    <row r="501" spans="1:38" s="197" customFormat="1" ht="15" x14ac:dyDescent="0.25">
      <c r="A501" s="211"/>
      <c r="D501" s="198"/>
      <c r="E501" s="198"/>
      <c r="O501" s="198"/>
      <c r="P501" s="200"/>
      <c r="AE501" s="204"/>
      <c r="AG501" s="206"/>
      <c r="AH501" s="206"/>
      <c r="AL501" s="200"/>
    </row>
    <row r="502" spans="1:38" s="197" customFormat="1" ht="15" x14ac:dyDescent="0.25">
      <c r="A502" s="211"/>
      <c r="D502" s="198"/>
      <c r="E502" s="198"/>
      <c r="O502" s="198"/>
      <c r="P502" s="200"/>
      <c r="AE502" s="204"/>
      <c r="AG502" s="206"/>
      <c r="AH502" s="206"/>
      <c r="AL502" s="200"/>
    </row>
    <row r="503" spans="1:38" s="197" customFormat="1" ht="15" x14ac:dyDescent="0.25">
      <c r="A503" s="211"/>
      <c r="D503" s="198"/>
      <c r="E503" s="198"/>
      <c r="O503" s="198"/>
      <c r="P503" s="200"/>
      <c r="AE503" s="204"/>
      <c r="AG503" s="206"/>
      <c r="AH503" s="206"/>
      <c r="AL503" s="200"/>
    </row>
    <row r="504" spans="1:38" s="197" customFormat="1" ht="15" x14ac:dyDescent="0.25">
      <c r="A504" s="211"/>
      <c r="D504" s="198"/>
      <c r="E504" s="198"/>
      <c r="O504" s="198"/>
      <c r="P504" s="200"/>
      <c r="AE504" s="204"/>
      <c r="AG504" s="206"/>
      <c r="AH504" s="206"/>
      <c r="AL504" s="200"/>
    </row>
    <row r="505" spans="1:38" s="197" customFormat="1" ht="15" x14ac:dyDescent="0.25">
      <c r="A505" s="211"/>
      <c r="D505" s="198"/>
      <c r="E505" s="198"/>
      <c r="O505" s="198"/>
      <c r="P505" s="200"/>
      <c r="AE505" s="204"/>
      <c r="AG505" s="206"/>
      <c r="AH505" s="206"/>
      <c r="AL505" s="200"/>
    </row>
    <row r="506" spans="1:38" s="197" customFormat="1" ht="15" x14ac:dyDescent="0.25">
      <c r="A506" s="211"/>
      <c r="D506" s="198"/>
      <c r="E506" s="198"/>
      <c r="O506" s="198"/>
      <c r="P506" s="200"/>
      <c r="AE506" s="204"/>
      <c r="AG506" s="206"/>
      <c r="AH506" s="206"/>
      <c r="AL506" s="200"/>
    </row>
    <row r="507" spans="1:38" s="197" customFormat="1" ht="15" x14ac:dyDescent="0.25">
      <c r="A507" s="211"/>
      <c r="D507" s="198"/>
      <c r="E507" s="198"/>
      <c r="O507" s="198"/>
      <c r="P507" s="200"/>
      <c r="AE507" s="204"/>
      <c r="AG507" s="206"/>
      <c r="AH507" s="206"/>
      <c r="AL507" s="200"/>
    </row>
    <row r="508" spans="1:38" s="197" customFormat="1" ht="15" x14ac:dyDescent="0.25">
      <c r="A508" s="211"/>
      <c r="D508" s="198"/>
      <c r="E508" s="198"/>
      <c r="O508" s="198"/>
      <c r="P508" s="200"/>
      <c r="AE508" s="204"/>
      <c r="AG508" s="206"/>
      <c r="AH508" s="206"/>
      <c r="AL508" s="200"/>
    </row>
    <row r="509" spans="1:38" s="197" customFormat="1" ht="15" x14ac:dyDescent="0.25">
      <c r="A509" s="211"/>
      <c r="D509" s="198"/>
      <c r="E509" s="198"/>
      <c r="O509" s="198"/>
      <c r="P509" s="200"/>
      <c r="AE509" s="204"/>
      <c r="AG509" s="206"/>
      <c r="AH509" s="206"/>
      <c r="AL509" s="200"/>
    </row>
    <row r="510" spans="1:38" s="197" customFormat="1" ht="15" x14ac:dyDescent="0.25">
      <c r="A510" s="211"/>
      <c r="D510" s="198"/>
      <c r="E510" s="198"/>
      <c r="O510" s="198"/>
      <c r="P510" s="200"/>
      <c r="AE510" s="204"/>
      <c r="AG510" s="206"/>
      <c r="AH510" s="206"/>
      <c r="AL510" s="200"/>
    </row>
    <row r="511" spans="1:38" s="197" customFormat="1" ht="15" x14ac:dyDescent="0.25">
      <c r="A511" s="211"/>
      <c r="D511" s="198"/>
      <c r="E511" s="198"/>
      <c r="O511" s="198"/>
      <c r="P511" s="200"/>
      <c r="AE511" s="204"/>
      <c r="AG511" s="206"/>
      <c r="AH511" s="206"/>
      <c r="AL511" s="200"/>
    </row>
    <row r="512" spans="1:38" s="197" customFormat="1" ht="15" x14ac:dyDescent="0.25">
      <c r="A512" s="211"/>
      <c r="D512" s="198"/>
      <c r="E512" s="198"/>
      <c r="O512" s="198"/>
      <c r="P512" s="200"/>
      <c r="AE512" s="204"/>
      <c r="AG512" s="206"/>
      <c r="AH512" s="206"/>
      <c r="AL512" s="200"/>
    </row>
    <row r="513" spans="1:38" s="197" customFormat="1" ht="15" x14ac:dyDescent="0.25">
      <c r="A513" s="211"/>
      <c r="D513" s="198"/>
      <c r="E513" s="198"/>
      <c r="O513" s="198"/>
      <c r="P513" s="200"/>
      <c r="AE513" s="204"/>
      <c r="AG513" s="206"/>
      <c r="AH513" s="206"/>
      <c r="AL513" s="200"/>
    </row>
    <row r="514" spans="1:38" s="197" customFormat="1" ht="15" x14ac:dyDescent="0.25">
      <c r="A514" s="211"/>
      <c r="D514" s="198"/>
      <c r="E514" s="198"/>
      <c r="O514" s="198"/>
      <c r="P514" s="200"/>
      <c r="AE514" s="204"/>
      <c r="AG514" s="206"/>
      <c r="AH514" s="206"/>
      <c r="AL514" s="200"/>
    </row>
    <row r="515" spans="1:38" s="197" customFormat="1" ht="15" x14ac:dyDescent="0.25">
      <c r="A515" s="211"/>
      <c r="D515" s="198"/>
      <c r="E515" s="198"/>
      <c r="O515" s="198"/>
      <c r="P515" s="200"/>
      <c r="AE515" s="204"/>
      <c r="AG515" s="206"/>
      <c r="AH515" s="206"/>
      <c r="AL515" s="200"/>
    </row>
    <row r="516" spans="1:38" s="197" customFormat="1" ht="15" x14ac:dyDescent="0.25">
      <c r="A516" s="211"/>
      <c r="D516" s="198"/>
      <c r="E516" s="198"/>
      <c r="O516" s="198"/>
      <c r="P516" s="200"/>
      <c r="AE516" s="204"/>
      <c r="AG516" s="206"/>
      <c r="AH516" s="206"/>
      <c r="AL516" s="200"/>
    </row>
    <row r="517" spans="1:38" s="197" customFormat="1" ht="15" x14ac:dyDescent="0.25">
      <c r="A517" s="211"/>
      <c r="D517" s="198"/>
      <c r="E517" s="198"/>
      <c r="O517" s="198"/>
      <c r="P517" s="200"/>
      <c r="AE517" s="204"/>
      <c r="AG517" s="206"/>
      <c r="AH517" s="206"/>
      <c r="AL517" s="200"/>
    </row>
    <row r="518" spans="1:38" s="197" customFormat="1" ht="15" x14ac:dyDescent="0.25">
      <c r="A518" s="211"/>
      <c r="D518" s="198"/>
      <c r="E518" s="198"/>
      <c r="O518" s="198"/>
      <c r="P518" s="200"/>
      <c r="AE518" s="204"/>
      <c r="AG518" s="206"/>
      <c r="AH518" s="206"/>
      <c r="AL518" s="200"/>
    </row>
    <row r="519" spans="1:38" s="197" customFormat="1" ht="15" x14ac:dyDescent="0.25">
      <c r="A519" s="211"/>
      <c r="D519" s="198"/>
      <c r="E519" s="198"/>
      <c r="O519" s="198"/>
      <c r="P519" s="200"/>
      <c r="AE519" s="204"/>
      <c r="AG519" s="206"/>
      <c r="AH519" s="206"/>
      <c r="AL519" s="200"/>
    </row>
    <row r="520" spans="1:38" s="197" customFormat="1" ht="15" x14ac:dyDescent="0.25">
      <c r="A520" s="211"/>
      <c r="D520" s="198"/>
      <c r="E520" s="198"/>
      <c r="O520" s="198"/>
      <c r="P520" s="200"/>
      <c r="AE520" s="204"/>
      <c r="AG520" s="206"/>
      <c r="AH520" s="206"/>
      <c r="AL520" s="200"/>
    </row>
    <row r="521" spans="1:38" s="197" customFormat="1" ht="15" x14ac:dyDescent="0.25">
      <c r="A521" s="211"/>
      <c r="D521" s="198"/>
      <c r="E521" s="198"/>
      <c r="O521" s="198"/>
      <c r="P521" s="200"/>
      <c r="AE521" s="204"/>
      <c r="AG521" s="206"/>
      <c r="AH521" s="206"/>
      <c r="AL521" s="200"/>
    </row>
    <row r="522" spans="1:38" s="197" customFormat="1" ht="15" x14ac:dyDescent="0.25">
      <c r="A522" s="211"/>
      <c r="D522" s="198"/>
      <c r="E522" s="198"/>
      <c r="O522" s="198"/>
      <c r="P522" s="200"/>
      <c r="AE522" s="204"/>
      <c r="AG522" s="206"/>
      <c r="AH522" s="206"/>
      <c r="AL522" s="200"/>
    </row>
    <row r="523" spans="1:38" s="197" customFormat="1" ht="15" x14ac:dyDescent="0.25">
      <c r="A523" s="211"/>
      <c r="D523" s="198"/>
      <c r="E523" s="198"/>
      <c r="O523" s="198"/>
      <c r="P523" s="200"/>
      <c r="AE523" s="204"/>
      <c r="AG523" s="206"/>
      <c r="AH523" s="206"/>
      <c r="AL523" s="200"/>
    </row>
    <row r="524" spans="1:38" s="197" customFormat="1" ht="15" x14ac:dyDescent="0.25">
      <c r="A524" s="211"/>
      <c r="D524" s="198"/>
      <c r="E524" s="198"/>
      <c r="O524" s="198"/>
      <c r="P524" s="200"/>
      <c r="AE524" s="204"/>
      <c r="AG524" s="206"/>
      <c r="AH524" s="206"/>
      <c r="AL524" s="200"/>
    </row>
    <row r="525" spans="1:38" s="197" customFormat="1" ht="15" x14ac:dyDescent="0.25">
      <c r="A525" s="211"/>
      <c r="D525" s="198"/>
      <c r="E525" s="198"/>
      <c r="O525" s="198"/>
      <c r="P525" s="200"/>
      <c r="AE525" s="204"/>
      <c r="AG525" s="206"/>
      <c r="AH525" s="206"/>
      <c r="AL525" s="200"/>
    </row>
    <row r="526" spans="1:38" s="197" customFormat="1" ht="15" x14ac:dyDescent="0.25">
      <c r="A526" s="211"/>
      <c r="D526" s="198"/>
      <c r="E526" s="198"/>
      <c r="O526" s="198"/>
      <c r="P526" s="200"/>
      <c r="AE526" s="204"/>
      <c r="AG526" s="206"/>
      <c r="AH526" s="206"/>
      <c r="AL526" s="200"/>
    </row>
    <row r="527" spans="1:38" s="197" customFormat="1" ht="15" x14ac:dyDescent="0.25">
      <c r="A527" s="211"/>
      <c r="D527" s="198"/>
      <c r="E527" s="198"/>
      <c r="O527" s="198"/>
      <c r="P527" s="200"/>
      <c r="AE527" s="204"/>
      <c r="AG527" s="206"/>
      <c r="AH527" s="206"/>
      <c r="AL527" s="200"/>
    </row>
    <row r="528" spans="1:38" s="197" customFormat="1" ht="15" x14ac:dyDescent="0.25">
      <c r="A528" s="211"/>
      <c r="D528" s="198"/>
      <c r="E528" s="198"/>
      <c r="O528" s="198"/>
      <c r="P528" s="200"/>
      <c r="AE528" s="204"/>
      <c r="AG528" s="206"/>
      <c r="AH528" s="206"/>
      <c r="AL528" s="200"/>
    </row>
    <row r="529" spans="1:38" s="197" customFormat="1" ht="15" x14ac:dyDescent="0.25">
      <c r="A529" s="211"/>
      <c r="D529" s="198"/>
      <c r="E529" s="198"/>
      <c r="O529" s="198"/>
      <c r="P529" s="200"/>
      <c r="AE529" s="204"/>
      <c r="AG529" s="206"/>
      <c r="AH529" s="206"/>
      <c r="AL529" s="200"/>
    </row>
    <row r="530" spans="1:38" s="197" customFormat="1" ht="15" x14ac:dyDescent="0.25">
      <c r="A530" s="211"/>
      <c r="D530" s="198"/>
      <c r="E530" s="198"/>
      <c r="O530" s="198"/>
      <c r="P530" s="200"/>
      <c r="AE530" s="204"/>
      <c r="AG530" s="206"/>
      <c r="AH530" s="206"/>
      <c r="AL530" s="200"/>
    </row>
    <row r="531" spans="1:38" s="197" customFormat="1" ht="15" x14ac:dyDescent="0.25">
      <c r="A531" s="211"/>
      <c r="D531" s="198"/>
      <c r="E531" s="198"/>
      <c r="O531" s="198"/>
      <c r="P531" s="200"/>
      <c r="AE531" s="204"/>
      <c r="AG531" s="206"/>
      <c r="AH531" s="206"/>
      <c r="AL531" s="200"/>
    </row>
    <row r="532" spans="1:38" ht="15" x14ac:dyDescent="0.25">
      <c r="A532" s="203"/>
      <c r="B532" s="197"/>
      <c r="C532" s="197"/>
      <c r="D532" s="198"/>
      <c r="E532" s="198"/>
      <c r="F532" s="197"/>
      <c r="G532" s="197"/>
      <c r="H532" s="197"/>
      <c r="I532" s="197"/>
      <c r="J532" s="197"/>
      <c r="K532" s="197"/>
      <c r="L532" s="197"/>
      <c r="M532" s="197"/>
      <c r="N532" s="197"/>
      <c r="O532" s="198"/>
      <c r="P532" s="200"/>
      <c r="Q532" s="197"/>
      <c r="R532" s="197"/>
      <c r="S532" s="197"/>
      <c r="T532" s="197"/>
      <c r="U532" s="197"/>
      <c r="V532" s="197"/>
      <c r="W532" s="197"/>
      <c r="X532" s="197"/>
      <c r="Y532" s="197"/>
      <c r="Z532" s="197"/>
      <c r="AA532" s="197"/>
      <c r="AB532" s="197"/>
      <c r="AC532" s="197"/>
      <c r="AD532" s="197"/>
      <c r="AE532" s="204"/>
      <c r="AF532" s="205"/>
    </row>
    <row r="533" spans="1:38" ht="15" x14ac:dyDescent="0.25">
      <c r="A533" s="184"/>
      <c r="B533" s="164"/>
      <c r="C533" s="164"/>
      <c r="D533" s="165"/>
      <c r="E533" s="165"/>
      <c r="F533" s="164"/>
      <c r="G533" s="164"/>
      <c r="H533" s="164"/>
      <c r="I533" s="164"/>
      <c r="J533" s="164"/>
      <c r="K533" s="164"/>
      <c r="L533" s="164"/>
      <c r="M533" s="164"/>
      <c r="N533" s="164"/>
      <c r="O533" s="165"/>
      <c r="P533" s="166"/>
      <c r="Q533" s="164"/>
      <c r="R533" s="164"/>
      <c r="S533" s="164"/>
      <c r="T533" s="164"/>
      <c r="U533" s="164"/>
      <c r="V533" s="164"/>
      <c r="W533" s="164"/>
      <c r="X533" s="164"/>
      <c r="Y533" s="164"/>
      <c r="Z533" s="164"/>
      <c r="AA533" s="164"/>
      <c r="AB533" s="164"/>
      <c r="AC533" s="164"/>
      <c r="AD533" s="164"/>
      <c r="AE533" s="167"/>
      <c r="AF533" s="168"/>
    </row>
    <row r="534" spans="1:38" ht="15" x14ac:dyDescent="0.25">
      <c r="A534" s="184"/>
      <c r="B534" s="164"/>
      <c r="C534" s="164"/>
      <c r="D534" s="165"/>
      <c r="E534" s="165"/>
      <c r="F534" s="164"/>
      <c r="G534" s="164"/>
      <c r="H534" s="164"/>
      <c r="I534" s="164"/>
      <c r="J534" s="164"/>
      <c r="K534" s="164"/>
      <c r="L534" s="164"/>
      <c r="M534" s="164"/>
      <c r="N534" s="164"/>
      <c r="O534" s="165"/>
      <c r="P534" s="166"/>
      <c r="Q534" s="164"/>
      <c r="R534" s="164"/>
      <c r="S534" s="164"/>
      <c r="T534" s="164"/>
      <c r="U534" s="164"/>
      <c r="V534" s="164"/>
      <c r="W534" s="164"/>
      <c r="X534" s="164"/>
      <c r="Y534" s="164"/>
      <c r="Z534" s="164"/>
      <c r="AA534" s="164"/>
      <c r="AB534" s="164"/>
      <c r="AC534" s="164"/>
      <c r="AD534" s="164"/>
      <c r="AE534" s="167"/>
      <c r="AF534" s="168"/>
    </row>
    <row r="535" spans="1:38" ht="15" x14ac:dyDescent="0.25">
      <c r="A535" s="184"/>
      <c r="B535" s="164"/>
      <c r="C535" s="164"/>
      <c r="D535" s="165"/>
      <c r="E535" s="165"/>
      <c r="F535" s="164"/>
      <c r="G535" s="164"/>
      <c r="H535" s="164"/>
      <c r="I535" s="164"/>
      <c r="J535" s="164"/>
      <c r="K535" s="164"/>
      <c r="L535" s="164"/>
      <c r="M535" s="164"/>
      <c r="N535" s="164"/>
      <c r="O535" s="165"/>
      <c r="P535" s="166"/>
      <c r="Q535" s="164"/>
      <c r="R535" s="164"/>
      <c r="S535" s="164"/>
      <c r="T535" s="164"/>
      <c r="U535" s="164"/>
      <c r="V535" s="164"/>
      <c r="W535" s="164"/>
      <c r="X535" s="164"/>
      <c r="Y535" s="164"/>
      <c r="Z535" s="164"/>
      <c r="AA535" s="164"/>
      <c r="AB535" s="164"/>
      <c r="AC535" s="164"/>
      <c r="AD535" s="164"/>
      <c r="AE535" s="167"/>
      <c r="AF535" s="168"/>
    </row>
    <row r="536" spans="1:38" ht="15" x14ac:dyDescent="0.25">
      <c r="A536" s="184"/>
      <c r="B536" s="164"/>
      <c r="C536" s="164"/>
      <c r="D536" s="165"/>
      <c r="E536" s="165"/>
      <c r="F536" s="164"/>
      <c r="G536" s="164"/>
      <c r="H536" s="164"/>
      <c r="I536" s="164"/>
      <c r="J536" s="164"/>
      <c r="K536" s="164"/>
      <c r="L536" s="164"/>
      <c r="M536" s="164"/>
      <c r="N536" s="164"/>
      <c r="O536" s="165"/>
      <c r="P536" s="166"/>
      <c r="Q536" s="164"/>
      <c r="R536" s="164"/>
      <c r="S536" s="164"/>
      <c r="T536" s="164"/>
      <c r="U536" s="164"/>
      <c r="V536" s="164"/>
      <c r="W536" s="164"/>
      <c r="X536" s="164"/>
      <c r="Y536" s="164"/>
      <c r="Z536" s="164"/>
      <c r="AA536" s="164"/>
      <c r="AB536" s="164"/>
      <c r="AC536" s="164"/>
      <c r="AD536" s="164"/>
      <c r="AE536" s="167"/>
      <c r="AF536" s="168"/>
    </row>
    <row r="537" spans="1:38" ht="15" x14ac:dyDescent="0.25">
      <c r="A537" s="184"/>
      <c r="B537" s="164"/>
      <c r="C537" s="164"/>
      <c r="D537" s="165"/>
      <c r="E537" s="165"/>
      <c r="F537" s="164"/>
      <c r="G537" s="164"/>
      <c r="H537" s="164"/>
      <c r="I537" s="164"/>
      <c r="J537" s="164"/>
      <c r="K537" s="164"/>
      <c r="L537" s="164"/>
      <c r="M537" s="164"/>
      <c r="N537" s="164"/>
      <c r="O537" s="165"/>
      <c r="P537" s="166"/>
      <c r="Q537" s="164"/>
      <c r="R537" s="164"/>
      <c r="S537" s="164"/>
      <c r="T537" s="164"/>
      <c r="U537" s="164"/>
      <c r="V537" s="164"/>
      <c r="W537" s="164"/>
      <c r="X537" s="164"/>
      <c r="Y537" s="164"/>
      <c r="Z537" s="164"/>
      <c r="AA537" s="164"/>
      <c r="AB537" s="164"/>
      <c r="AC537" s="164"/>
      <c r="AD537" s="164"/>
      <c r="AE537" s="167"/>
      <c r="AF537" s="168"/>
    </row>
    <row r="538" spans="1:38" ht="15" x14ac:dyDescent="0.25">
      <c r="A538" s="184"/>
      <c r="B538" s="164"/>
      <c r="C538" s="164"/>
      <c r="D538" s="165"/>
      <c r="E538" s="165"/>
      <c r="F538" s="164"/>
      <c r="G538" s="164"/>
      <c r="H538" s="164"/>
      <c r="I538" s="164"/>
      <c r="J538" s="164"/>
      <c r="K538" s="164"/>
      <c r="L538" s="164"/>
      <c r="M538" s="164"/>
      <c r="N538" s="164"/>
      <c r="O538" s="165"/>
      <c r="P538" s="166"/>
      <c r="Q538" s="164"/>
      <c r="R538" s="164"/>
      <c r="S538" s="164"/>
      <c r="T538" s="164"/>
      <c r="U538" s="164"/>
      <c r="V538" s="164"/>
      <c r="W538" s="164"/>
      <c r="X538" s="164"/>
      <c r="Y538" s="164"/>
      <c r="Z538" s="164"/>
      <c r="AA538" s="164"/>
      <c r="AB538" s="164"/>
      <c r="AC538" s="164"/>
      <c r="AD538" s="164"/>
      <c r="AE538" s="167"/>
      <c r="AF538" s="168"/>
    </row>
    <row r="539" spans="1:38" ht="15" x14ac:dyDescent="0.25">
      <c r="A539" s="184"/>
      <c r="B539" s="164"/>
      <c r="C539" s="164"/>
      <c r="D539" s="165"/>
      <c r="E539" s="165"/>
      <c r="F539" s="164"/>
      <c r="G539" s="164"/>
      <c r="H539" s="164"/>
      <c r="I539" s="164"/>
      <c r="J539" s="164"/>
      <c r="K539" s="164"/>
      <c r="L539" s="164"/>
      <c r="M539" s="164"/>
      <c r="N539" s="164"/>
      <c r="O539" s="165"/>
      <c r="P539" s="166"/>
      <c r="Q539" s="164"/>
      <c r="R539" s="164"/>
      <c r="S539" s="164"/>
      <c r="T539" s="164"/>
      <c r="U539" s="164"/>
      <c r="V539" s="164"/>
      <c r="W539" s="164"/>
      <c r="X539" s="164"/>
      <c r="Y539" s="164"/>
      <c r="Z539" s="164"/>
      <c r="AA539" s="164"/>
      <c r="AB539" s="164"/>
      <c r="AC539" s="164"/>
      <c r="AD539" s="164"/>
      <c r="AE539" s="167"/>
      <c r="AF539" s="168"/>
    </row>
    <row r="540" spans="1:38" ht="15" x14ac:dyDescent="0.25">
      <c r="A540" s="184"/>
      <c r="B540" s="164"/>
      <c r="C540" s="164"/>
      <c r="D540" s="165"/>
      <c r="E540" s="165"/>
      <c r="F540" s="164"/>
      <c r="G540" s="164"/>
      <c r="H540" s="164"/>
      <c r="I540" s="164"/>
      <c r="J540" s="164"/>
      <c r="K540" s="164"/>
      <c r="L540" s="164"/>
      <c r="M540" s="164"/>
      <c r="N540" s="164"/>
      <c r="O540" s="165"/>
      <c r="P540" s="166"/>
      <c r="Q540" s="164"/>
      <c r="R540" s="164"/>
      <c r="S540" s="164"/>
      <c r="T540" s="164"/>
      <c r="U540" s="164"/>
      <c r="V540" s="164"/>
      <c r="W540" s="164"/>
      <c r="X540" s="164"/>
      <c r="Y540" s="164"/>
      <c r="Z540" s="164"/>
      <c r="AA540" s="164"/>
      <c r="AB540" s="164"/>
      <c r="AC540" s="164"/>
      <c r="AD540" s="164"/>
      <c r="AE540" s="167"/>
      <c r="AF540" s="168"/>
    </row>
    <row r="541" spans="1:38" ht="15" x14ac:dyDescent="0.25">
      <c r="A541" s="184"/>
      <c r="B541" s="164"/>
      <c r="C541" s="164"/>
      <c r="D541" s="165"/>
      <c r="E541" s="165"/>
      <c r="F541" s="164"/>
      <c r="G541" s="164"/>
      <c r="H541" s="164"/>
      <c r="I541" s="164"/>
      <c r="J541" s="164"/>
      <c r="K541" s="164"/>
      <c r="L541" s="164"/>
      <c r="M541" s="164"/>
      <c r="N541" s="164"/>
      <c r="O541" s="165"/>
      <c r="P541" s="166"/>
      <c r="Q541" s="164"/>
      <c r="R541" s="164"/>
      <c r="S541" s="164"/>
      <c r="T541" s="164"/>
      <c r="U541" s="164"/>
      <c r="V541" s="164"/>
      <c r="W541" s="164"/>
      <c r="X541" s="164"/>
      <c r="Y541" s="164"/>
      <c r="Z541" s="164"/>
      <c r="AA541" s="164"/>
      <c r="AB541" s="164"/>
      <c r="AC541" s="164"/>
      <c r="AD541" s="164"/>
      <c r="AE541" s="167"/>
      <c r="AF541" s="168"/>
    </row>
    <row r="542" spans="1:38" ht="15" x14ac:dyDescent="0.25">
      <c r="A542" s="184"/>
      <c r="B542" s="164"/>
      <c r="C542" s="164"/>
      <c r="D542" s="165"/>
      <c r="E542" s="165"/>
      <c r="F542" s="164"/>
      <c r="G542" s="164"/>
      <c r="H542" s="164"/>
      <c r="I542" s="164"/>
      <c r="J542" s="164"/>
      <c r="K542" s="164"/>
      <c r="L542" s="164"/>
      <c r="M542" s="164"/>
      <c r="N542" s="164"/>
      <c r="O542" s="165"/>
      <c r="P542" s="166"/>
      <c r="Q542" s="164"/>
      <c r="R542" s="164"/>
      <c r="S542" s="164"/>
      <c r="T542" s="164"/>
      <c r="U542" s="164"/>
      <c r="V542" s="164"/>
      <c r="W542" s="164"/>
      <c r="X542" s="164"/>
      <c r="Y542" s="164"/>
      <c r="Z542" s="164"/>
      <c r="AA542" s="164"/>
      <c r="AB542" s="164"/>
      <c r="AC542" s="164"/>
      <c r="AD542" s="164"/>
      <c r="AE542" s="167"/>
      <c r="AF542" s="168"/>
    </row>
    <row r="543" spans="1:38" ht="15" x14ac:dyDescent="0.25">
      <c r="A543" s="184"/>
      <c r="B543" s="164"/>
      <c r="C543" s="164"/>
      <c r="D543" s="165"/>
      <c r="E543" s="165"/>
      <c r="F543" s="164"/>
      <c r="G543" s="164"/>
      <c r="H543" s="164"/>
      <c r="I543" s="164"/>
      <c r="J543" s="164"/>
      <c r="K543" s="164"/>
      <c r="L543" s="164"/>
      <c r="M543" s="164"/>
      <c r="N543" s="164"/>
      <c r="O543" s="165"/>
      <c r="P543" s="166"/>
      <c r="Q543" s="164"/>
      <c r="R543" s="164"/>
      <c r="S543" s="164"/>
      <c r="T543" s="164"/>
      <c r="U543" s="164"/>
      <c r="V543" s="164"/>
      <c r="W543" s="164"/>
      <c r="X543" s="164"/>
      <c r="Y543" s="164"/>
      <c r="Z543" s="164"/>
      <c r="AA543" s="164"/>
      <c r="AB543" s="164"/>
      <c r="AC543" s="164"/>
      <c r="AD543" s="164"/>
      <c r="AE543" s="167"/>
      <c r="AF543" s="168"/>
    </row>
    <row r="544" spans="1:38" ht="15" x14ac:dyDescent="0.25">
      <c r="A544" s="184"/>
      <c r="B544" s="164"/>
      <c r="C544" s="164"/>
      <c r="D544" s="165"/>
      <c r="E544" s="165"/>
      <c r="F544" s="164"/>
      <c r="G544" s="164"/>
      <c r="H544" s="164"/>
      <c r="I544" s="164"/>
      <c r="J544" s="164"/>
      <c r="K544" s="164"/>
      <c r="L544" s="164"/>
      <c r="M544" s="164"/>
      <c r="N544" s="164"/>
      <c r="O544" s="165"/>
      <c r="P544" s="166"/>
      <c r="Q544" s="164"/>
      <c r="R544" s="164"/>
      <c r="S544" s="164"/>
      <c r="T544" s="164"/>
      <c r="U544" s="164"/>
      <c r="V544" s="164"/>
      <c r="W544" s="164"/>
      <c r="X544" s="164"/>
      <c r="Y544" s="164"/>
      <c r="Z544" s="164"/>
      <c r="AA544" s="164"/>
      <c r="AB544" s="164"/>
      <c r="AC544" s="164"/>
      <c r="AD544" s="164"/>
      <c r="AE544" s="167"/>
      <c r="AF544" s="168"/>
    </row>
    <row r="545" spans="1:32" ht="15" x14ac:dyDescent="0.25">
      <c r="A545" s="184"/>
      <c r="B545" s="164"/>
      <c r="C545" s="164"/>
      <c r="D545" s="165"/>
      <c r="E545" s="165"/>
      <c r="F545" s="164"/>
      <c r="G545" s="164"/>
      <c r="H545" s="164"/>
      <c r="I545" s="164"/>
      <c r="J545" s="164"/>
      <c r="K545" s="164"/>
      <c r="L545" s="164"/>
      <c r="M545" s="164"/>
      <c r="N545" s="164"/>
      <c r="O545" s="165"/>
      <c r="P545" s="166"/>
      <c r="Q545" s="164"/>
      <c r="R545" s="164"/>
      <c r="S545" s="164"/>
      <c r="T545" s="164"/>
      <c r="U545" s="164"/>
      <c r="V545" s="164"/>
      <c r="W545" s="164"/>
      <c r="X545" s="164"/>
      <c r="Y545" s="164"/>
      <c r="Z545" s="164"/>
      <c r="AA545" s="164"/>
      <c r="AB545" s="164"/>
      <c r="AC545" s="164"/>
      <c r="AD545" s="164"/>
      <c r="AE545" s="167"/>
      <c r="AF545" s="168"/>
    </row>
    <row r="546" spans="1:32" ht="15" x14ac:dyDescent="0.25">
      <c r="A546" s="184"/>
      <c r="B546" s="164"/>
      <c r="C546" s="164"/>
      <c r="D546" s="165"/>
      <c r="E546" s="165"/>
      <c r="F546" s="164"/>
      <c r="G546" s="164"/>
      <c r="H546" s="164"/>
      <c r="I546" s="164"/>
      <c r="J546" s="164"/>
      <c r="K546" s="164"/>
      <c r="L546" s="164"/>
      <c r="M546" s="164"/>
      <c r="N546" s="164"/>
      <c r="O546" s="165"/>
      <c r="P546" s="166"/>
      <c r="Q546" s="164"/>
      <c r="R546" s="164"/>
      <c r="S546" s="164"/>
      <c r="T546" s="164"/>
      <c r="U546" s="164"/>
      <c r="V546" s="164"/>
      <c r="W546" s="164"/>
      <c r="X546" s="164"/>
      <c r="Y546" s="164"/>
      <c r="Z546" s="164"/>
      <c r="AA546" s="164"/>
      <c r="AB546" s="164"/>
      <c r="AC546" s="164"/>
      <c r="AD546" s="164"/>
      <c r="AE546" s="167"/>
      <c r="AF546" s="168"/>
    </row>
    <row r="547" spans="1:32" ht="15" x14ac:dyDescent="0.25">
      <c r="A547" s="184"/>
      <c r="B547" s="164"/>
      <c r="C547" s="164"/>
      <c r="D547" s="165"/>
      <c r="E547" s="165"/>
      <c r="F547" s="164"/>
      <c r="G547" s="164"/>
      <c r="H547" s="164"/>
      <c r="I547" s="164"/>
      <c r="J547" s="164"/>
      <c r="K547" s="164"/>
      <c r="L547" s="164"/>
      <c r="M547" s="164"/>
      <c r="N547" s="164"/>
      <c r="O547" s="165"/>
      <c r="P547" s="166"/>
      <c r="Q547" s="164"/>
      <c r="R547" s="164"/>
      <c r="S547" s="164"/>
      <c r="T547" s="164"/>
      <c r="U547" s="164"/>
      <c r="V547" s="164"/>
      <c r="W547" s="164"/>
      <c r="X547" s="164"/>
      <c r="Y547" s="164"/>
      <c r="Z547" s="164"/>
      <c r="AA547" s="164"/>
      <c r="AB547" s="164"/>
      <c r="AC547" s="164"/>
      <c r="AD547" s="164"/>
      <c r="AE547" s="167"/>
      <c r="AF547" s="168"/>
    </row>
    <row r="548" spans="1:32" ht="15" x14ac:dyDescent="0.25">
      <c r="A548" s="184"/>
      <c r="B548" s="164"/>
      <c r="C548" s="164"/>
      <c r="D548" s="165"/>
      <c r="E548" s="165"/>
      <c r="F548" s="164"/>
      <c r="G548" s="164"/>
      <c r="H548" s="164"/>
      <c r="I548" s="164"/>
      <c r="J548" s="164"/>
      <c r="K548" s="164"/>
      <c r="L548" s="164"/>
      <c r="M548" s="164"/>
      <c r="N548" s="164"/>
      <c r="O548" s="165"/>
      <c r="P548" s="166"/>
      <c r="Q548" s="164"/>
      <c r="R548" s="164"/>
      <c r="S548" s="164"/>
      <c r="T548" s="164"/>
      <c r="U548" s="164"/>
      <c r="V548" s="164"/>
      <c r="W548" s="164"/>
      <c r="X548" s="164"/>
      <c r="Y548" s="164"/>
      <c r="Z548" s="164"/>
      <c r="AA548" s="164"/>
      <c r="AB548" s="164"/>
      <c r="AC548" s="164"/>
      <c r="AD548" s="164"/>
      <c r="AE548" s="167"/>
      <c r="AF548" s="168"/>
    </row>
    <row r="549" spans="1:32" ht="15" x14ac:dyDescent="0.25">
      <c r="A549" s="184"/>
      <c r="B549" s="164"/>
      <c r="C549" s="164"/>
      <c r="D549" s="165"/>
      <c r="E549" s="165"/>
      <c r="F549" s="164"/>
      <c r="G549" s="164"/>
      <c r="H549" s="164"/>
      <c r="I549" s="164"/>
      <c r="J549" s="164"/>
      <c r="K549" s="164"/>
      <c r="L549" s="164"/>
      <c r="M549" s="164"/>
      <c r="N549" s="164"/>
      <c r="O549" s="165"/>
      <c r="P549" s="166"/>
      <c r="Q549" s="164"/>
      <c r="R549" s="164"/>
      <c r="S549" s="164"/>
      <c r="T549" s="164"/>
      <c r="U549" s="164"/>
      <c r="V549" s="169"/>
      <c r="W549" s="165"/>
      <c r="X549" s="164"/>
      <c r="Y549" s="164"/>
      <c r="Z549" s="164"/>
      <c r="AA549" s="164"/>
      <c r="AB549" s="164"/>
      <c r="AC549" s="164"/>
      <c r="AD549" s="164"/>
      <c r="AE549" s="167"/>
      <c r="AF549" s="168"/>
    </row>
    <row r="550" spans="1:32" ht="15" x14ac:dyDescent="0.25">
      <c r="A550" s="184"/>
      <c r="B550" s="164"/>
      <c r="C550" s="164"/>
      <c r="D550" s="165"/>
      <c r="E550" s="165"/>
      <c r="F550" s="164"/>
      <c r="G550" s="164"/>
      <c r="H550" s="164"/>
      <c r="I550" s="164"/>
      <c r="J550" s="164"/>
      <c r="K550" s="164"/>
      <c r="L550" s="164"/>
      <c r="M550" s="164"/>
      <c r="N550" s="164"/>
      <c r="O550" s="165"/>
      <c r="P550" s="166"/>
      <c r="Q550" s="164"/>
      <c r="R550" s="164"/>
      <c r="S550" s="164"/>
      <c r="T550" s="164"/>
      <c r="U550" s="164"/>
      <c r="V550" s="169"/>
      <c r="W550" s="165"/>
      <c r="X550" s="164"/>
      <c r="Y550" s="164"/>
      <c r="Z550" s="164"/>
      <c r="AA550" s="164"/>
      <c r="AB550" s="164"/>
      <c r="AC550" s="164"/>
      <c r="AD550" s="164"/>
      <c r="AE550" s="167"/>
      <c r="AF550" s="168"/>
    </row>
    <row r="551" spans="1:32" ht="15" x14ac:dyDescent="0.25">
      <c r="A551" s="184"/>
      <c r="B551" s="164"/>
      <c r="C551" s="164"/>
      <c r="D551" s="165"/>
      <c r="E551" s="165"/>
      <c r="F551" s="164"/>
      <c r="G551" s="164"/>
      <c r="H551" s="164"/>
      <c r="I551" s="164"/>
      <c r="J551" s="164"/>
      <c r="K551" s="164"/>
      <c r="L551" s="164"/>
      <c r="M551" s="164"/>
      <c r="N551" s="164"/>
      <c r="O551" s="165"/>
      <c r="P551" s="166"/>
      <c r="Q551" s="164"/>
      <c r="R551" s="164"/>
      <c r="S551" s="164"/>
      <c r="T551" s="164"/>
      <c r="U551" s="164"/>
      <c r="V551" s="164"/>
      <c r="W551" s="164"/>
      <c r="X551" s="164"/>
      <c r="Y551" s="164"/>
      <c r="Z551" s="164"/>
      <c r="AA551" s="164"/>
      <c r="AB551" s="164"/>
      <c r="AC551" s="164"/>
      <c r="AD551" s="164"/>
      <c r="AE551" s="167"/>
      <c r="AF551" s="168"/>
    </row>
    <row r="552" spans="1:32" ht="15" x14ac:dyDescent="0.25">
      <c r="A552" s="184"/>
      <c r="B552" s="164"/>
      <c r="C552" s="164"/>
      <c r="D552" s="165"/>
      <c r="E552" s="165"/>
      <c r="F552" s="164"/>
      <c r="G552" s="164"/>
      <c r="H552" s="164"/>
      <c r="I552" s="164"/>
      <c r="J552" s="164"/>
      <c r="K552" s="164"/>
      <c r="L552" s="164"/>
      <c r="M552" s="164"/>
      <c r="N552" s="164"/>
      <c r="O552" s="165"/>
      <c r="P552" s="166"/>
      <c r="Q552" s="164"/>
      <c r="R552" s="164"/>
      <c r="S552" s="164"/>
      <c r="T552" s="164"/>
      <c r="U552" s="164"/>
      <c r="V552" s="164"/>
      <c r="W552" s="164"/>
      <c r="X552" s="164"/>
      <c r="Y552" s="164"/>
      <c r="Z552" s="164"/>
      <c r="AA552" s="164"/>
      <c r="AB552" s="164"/>
      <c r="AC552" s="164"/>
      <c r="AD552" s="164"/>
      <c r="AE552" s="167"/>
      <c r="AF552" s="168"/>
    </row>
    <row r="553" spans="1:32" ht="15" x14ac:dyDescent="0.25">
      <c r="A553" s="184"/>
      <c r="B553" s="164"/>
      <c r="C553" s="164"/>
      <c r="D553" s="165"/>
      <c r="E553" s="165"/>
      <c r="F553" s="164"/>
      <c r="G553" s="164"/>
      <c r="H553" s="164"/>
      <c r="I553" s="164"/>
      <c r="J553" s="164"/>
      <c r="K553" s="164"/>
      <c r="L553" s="164"/>
      <c r="M553" s="164"/>
      <c r="N553" s="164"/>
      <c r="O553" s="165"/>
      <c r="P553" s="166"/>
      <c r="Q553" s="164"/>
      <c r="R553" s="164"/>
      <c r="S553" s="164"/>
      <c r="T553" s="164"/>
      <c r="U553" s="164"/>
      <c r="V553" s="164"/>
      <c r="W553" s="164"/>
      <c r="X553" s="164"/>
      <c r="Y553" s="164"/>
      <c r="Z553" s="164"/>
      <c r="AA553" s="164"/>
      <c r="AB553" s="164"/>
      <c r="AC553" s="164"/>
      <c r="AD553" s="164"/>
      <c r="AE553" s="167"/>
      <c r="AF553" s="168"/>
    </row>
    <row r="554" spans="1:32" ht="15" x14ac:dyDescent="0.25">
      <c r="A554" s="184"/>
      <c r="B554" s="164"/>
      <c r="C554" s="164"/>
      <c r="D554" s="165"/>
      <c r="E554" s="165"/>
      <c r="F554" s="164"/>
      <c r="G554" s="164"/>
      <c r="H554" s="164"/>
      <c r="I554" s="164"/>
      <c r="J554" s="164"/>
      <c r="K554" s="164"/>
      <c r="L554" s="164"/>
      <c r="M554" s="164"/>
      <c r="N554" s="164"/>
      <c r="O554" s="165"/>
      <c r="P554" s="166"/>
      <c r="Q554" s="164"/>
      <c r="R554" s="164"/>
      <c r="S554" s="164"/>
      <c r="T554" s="164"/>
      <c r="U554" s="164"/>
      <c r="V554" s="164"/>
      <c r="W554" s="164"/>
      <c r="X554" s="164"/>
      <c r="Y554" s="164"/>
      <c r="Z554" s="164"/>
      <c r="AA554" s="164"/>
      <c r="AB554" s="164"/>
      <c r="AC554" s="164"/>
      <c r="AD554" s="164"/>
      <c r="AE554" s="167"/>
      <c r="AF554" s="168"/>
    </row>
    <row r="555" spans="1:32" ht="15" x14ac:dyDescent="0.25">
      <c r="A555" s="184"/>
      <c r="B555" s="164"/>
      <c r="C555" s="164"/>
      <c r="D555" s="165"/>
      <c r="E555" s="165"/>
      <c r="F555" s="164"/>
      <c r="G555" s="164"/>
      <c r="H555" s="164"/>
      <c r="I555" s="164"/>
      <c r="J555" s="164"/>
      <c r="K555" s="164"/>
      <c r="L555" s="164"/>
      <c r="M555" s="164"/>
      <c r="N555" s="164"/>
      <c r="O555" s="165"/>
      <c r="P555" s="166"/>
      <c r="Q555" s="164"/>
      <c r="R555" s="164"/>
      <c r="S555" s="164"/>
      <c r="T555" s="164"/>
      <c r="U555" s="164"/>
      <c r="V555" s="169"/>
      <c r="W555" s="165"/>
      <c r="X555" s="164"/>
      <c r="Y555" s="164"/>
      <c r="Z555" s="164"/>
      <c r="AA555" s="164"/>
      <c r="AB555" s="164"/>
      <c r="AC555" s="164"/>
      <c r="AD555" s="164"/>
      <c r="AE555" s="167"/>
      <c r="AF555" s="168"/>
    </row>
    <row r="556" spans="1:32" ht="15" x14ac:dyDescent="0.25">
      <c r="A556" s="184"/>
      <c r="B556" s="164"/>
      <c r="C556" s="164"/>
      <c r="D556" s="165"/>
      <c r="E556" s="165"/>
      <c r="F556" s="164"/>
      <c r="G556" s="164"/>
      <c r="H556" s="164"/>
      <c r="I556" s="164"/>
      <c r="J556" s="164"/>
      <c r="K556" s="164"/>
      <c r="L556" s="164"/>
      <c r="M556" s="164"/>
      <c r="N556" s="164"/>
      <c r="O556" s="165"/>
      <c r="P556" s="166"/>
      <c r="Q556" s="164"/>
      <c r="R556" s="164"/>
      <c r="S556" s="164"/>
      <c r="T556" s="164"/>
      <c r="U556" s="164"/>
      <c r="V556" s="164"/>
      <c r="W556" s="164"/>
      <c r="X556" s="164"/>
      <c r="Y556" s="164"/>
      <c r="Z556" s="164"/>
      <c r="AA556" s="164"/>
      <c r="AB556" s="164"/>
      <c r="AC556" s="164"/>
      <c r="AD556" s="164"/>
      <c r="AE556" s="167"/>
      <c r="AF556" s="168"/>
    </row>
    <row r="557" spans="1:32" ht="15" x14ac:dyDescent="0.25">
      <c r="A557" s="184"/>
      <c r="B557" s="164"/>
      <c r="C557" s="164"/>
      <c r="D557" s="165"/>
      <c r="E557" s="165"/>
      <c r="F557" s="164"/>
      <c r="G557" s="164"/>
      <c r="H557" s="164"/>
      <c r="I557" s="164"/>
      <c r="J557" s="164"/>
      <c r="K557" s="164"/>
      <c r="L557" s="164"/>
      <c r="M557" s="164"/>
      <c r="N557" s="164"/>
      <c r="O557" s="165"/>
      <c r="P557" s="166"/>
      <c r="Q557" s="164"/>
      <c r="R557" s="164"/>
      <c r="S557" s="164"/>
      <c r="T557" s="164"/>
      <c r="U557" s="164"/>
      <c r="V557" s="164"/>
      <c r="W557" s="164"/>
      <c r="X557" s="164"/>
      <c r="Y557" s="164"/>
      <c r="Z557" s="164"/>
      <c r="AA557" s="164"/>
      <c r="AB557" s="164"/>
      <c r="AC557" s="164"/>
      <c r="AD557" s="164"/>
      <c r="AE557" s="167"/>
      <c r="AF557" s="168"/>
    </row>
    <row r="558" spans="1:32" ht="15" x14ac:dyDescent="0.25">
      <c r="A558" s="184"/>
      <c r="B558" s="164"/>
      <c r="C558" s="164"/>
      <c r="D558" s="165"/>
      <c r="E558" s="165"/>
      <c r="F558" s="164"/>
      <c r="G558" s="164"/>
      <c r="H558" s="164"/>
      <c r="I558" s="164"/>
      <c r="J558" s="164"/>
      <c r="K558" s="164"/>
      <c r="L558" s="164"/>
      <c r="M558" s="164"/>
      <c r="N558" s="164"/>
      <c r="O558" s="165"/>
      <c r="P558" s="166"/>
      <c r="Q558" s="164"/>
      <c r="R558" s="164"/>
      <c r="S558" s="164"/>
      <c r="T558" s="164"/>
      <c r="U558" s="164"/>
      <c r="V558" s="164"/>
      <c r="W558" s="164"/>
      <c r="X558" s="164"/>
      <c r="Y558" s="164"/>
      <c r="Z558" s="164"/>
      <c r="AA558" s="164"/>
      <c r="AB558" s="164"/>
      <c r="AC558" s="164"/>
      <c r="AD558" s="164"/>
      <c r="AE558" s="167"/>
      <c r="AF558" s="168"/>
    </row>
    <row r="559" spans="1:32" ht="15" x14ac:dyDescent="0.25">
      <c r="A559" s="184"/>
      <c r="B559" s="164"/>
      <c r="C559" s="164"/>
      <c r="D559" s="165"/>
      <c r="E559" s="165"/>
      <c r="F559" s="164"/>
      <c r="G559" s="164"/>
      <c r="H559" s="164"/>
      <c r="I559" s="164"/>
      <c r="J559" s="164"/>
      <c r="K559" s="164"/>
      <c r="L559" s="164"/>
      <c r="M559" s="164"/>
      <c r="N559" s="164"/>
      <c r="O559" s="165"/>
      <c r="P559" s="166"/>
      <c r="Q559" s="164"/>
      <c r="R559" s="164"/>
      <c r="S559" s="164"/>
      <c r="T559" s="164"/>
      <c r="U559" s="164"/>
      <c r="V559" s="164"/>
      <c r="W559" s="164"/>
      <c r="X559" s="164"/>
      <c r="Y559" s="164"/>
      <c r="Z559" s="164"/>
      <c r="AA559" s="164"/>
      <c r="AB559" s="164"/>
      <c r="AC559" s="164"/>
      <c r="AD559" s="164"/>
      <c r="AE559" s="167"/>
      <c r="AF559" s="168"/>
    </row>
    <row r="560" spans="1:32" ht="15" x14ac:dyDescent="0.25">
      <c r="A560" s="184"/>
      <c r="B560" s="164"/>
      <c r="C560" s="164"/>
      <c r="D560" s="165"/>
      <c r="E560" s="165"/>
      <c r="F560" s="164"/>
      <c r="G560" s="164"/>
      <c r="H560" s="164"/>
      <c r="I560" s="164"/>
      <c r="J560" s="164"/>
      <c r="K560" s="164"/>
      <c r="L560" s="164"/>
      <c r="M560" s="164"/>
      <c r="N560" s="164"/>
      <c r="O560" s="165"/>
      <c r="P560" s="166"/>
      <c r="Q560" s="164"/>
      <c r="R560" s="164"/>
      <c r="S560" s="164"/>
      <c r="T560" s="164"/>
      <c r="U560" s="164"/>
      <c r="V560" s="164"/>
      <c r="W560" s="164"/>
      <c r="X560" s="164"/>
      <c r="Y560" s="164"/>
      <c r="Z560" s="164"/>
      <c r="AA560" s="164"/>
      <c r="AB560" s="164"/>
      <c r="AC560" s="164"/>
      <c r="AD560" s="164"/>
      <c r="AE560" s="167"/>
      <c r="AF560" s="168"/>
    </row>
    <row r="561" spans="1:32" ht="15" x14ac:dyDescent="0.25">
      <c r="A561" s="184"/>
      <c r="B561" s="164"/>
      <c r="C561" s="164"/>
      <c r="D561" s="165"/>
      <c r="E561" s="165"/>
      <c r="F561" s="164"/>
      <c r="G561" s="164"/>
      <c r="H561" s="164"/>
      <c r="I561" s="164"/>
      <c r="J561" s="164"/>
      <c r="K561" s="164"/>
      <c r="L561" s="164"/>
      <c r="M561" s="164"/>
      <c r="N561" s="164"/>
      <c r="O561" s="165"/>
      <c r="P561" s="166"/>
      <c r="Q561" s="164"/>
      <c r="R561" s="164"/>
      <c r="S561" s="164"/>
      <c r="T561" s="164"/>
      <c r="U561" s="164"/>
      <c r="V561" s="164"/>
      <c r="W561" s="164"/>
      <c r="X561" s="164"/>
      <c r="Y561" s="164"/>
      <c r="Z561" s="164"/>
      <c r="AA561" s="164"/>
      <c r="AB561" s="164"/>
      <c r="AC561" s="164"/>
      <c r="AD561" s="164"/>
      <c r="AE561" s="167"/>
      <c r="AF561" s="168"/>
    </row>
    <row r="562" spans="1:32" ht="15" x14ac:dyDescent="0.25">
      <c r="A562" s="184"/>
      <c r="B562" s="164"/>
      <c r="C562" s="164"/>
      <c r="D562" s="165"/>
      <c r="E562" s="165"/>
      <c r="F562" s="164"/>
      <c r="G562" s="164"/>
      <c r="H562" s="164"/>
      <c r="I562" s="164"/>
      <c r="J562" s="164"/>
      <c r="K562" s="164"/>
      <c r="L562" s="164"/>
      <c r="M562" s="164"/>
      <c r="N562" s="164"/>
      <c r="O562" s="165"/>
      <c r="P562" s="166"/>
      <c r="Q562" s="164"/>
      <c r="R562" s="164"/>
      <c r="S562" s="164"/>
      <c r="T562" s="164"/>
      <c r="U562" s="164"/>
      <c r="V562" s="164"/>
      <c r="W562" s="164"/>
      <c r="X562" s="164"/>
      <c r="Y562" s="164"/>
      <c r="Z562" s="164"/>
      <c r="AA562" s="164"/>
      <c r="AB562" s="164"/>
      <c r="AC562" s="164"/>
      <c r="AD562" s="164"/>
      <c r="AE562" s="167"/>
      <c r="AF562" s="168"/>
    </row>
    <row r="563" spans="1:32" ht="15" x14ac:dyDescent="0.25">
      <c r="A563" s="184"/>
      <c r="B563" s="164"/>
      <c r="C563" s="164"/>
      <c r="D563" s="165"/>
      <c r="E563" s="165"/>
      <c r="F563" s="164"/>
      <c r="G563" s="164"/>
      <c r="H563" s="164"/>
      <c r="I563" s="164"/>
      <c r="J563" s="164"/>
      <c r="K563" s="164"/>
      <c r="L563" s="164"/>
      <c r="M563" s="164"/>
      <c r="N563" s="164"/>
      <c r="O563" s="165"/>
      <c r="P563" s="166"/>
      <c r="Q563" s="164"/>
      <c r="R563" s="164"/>
      <c r="S563" s="164"/>
      <c r="T563" s="164"/>
      <c r="U563" s="164"/>
      <c r="V563" s="164"/>
      <c r="W563" s="164"/>
      <c r="X563" s="164"/>
      <c r="Y563" s="164"/>
      <c r="Z563" s="164"/>
      <c r="AA563" s="164"/>
      <c r="AB563" s="164"/>
      <c r="AC563" s="164"/>
      <c r="AD563" s="164"/>
      <c r="AE563" s="167"/>
      <c r="AF563" s="168"/>
    </row>
    <row r="564" spans="1:32" ht="15" x14ac:dyDescent="0.25">
      <c r="A564" s="184"/>
      <c r="B564" s="164"/>
      <c r="C564" s="164"/>
      <c r="D564" s="165"/>
      <c r="E564" s="165"/>
      <c r="F564" s="164"/>
      <c r="G564" s="164"/>
      <c r="H564" s="164"/>
      <c r="I564" s="164"/>
      <c r="J564" s="164"/>
      <c r="K564" s="164"/>
      <c r="L564" s="164"/>
      <c r="M564" s="164"/>
      <c r="N564" s="164"/>
      <c r="O564" s="165"/>
      <c r="P564" s="166"/>
      <c r="Q564" s="164"/>
      <c r="R564" s="164"/>
      <c r="S564" s="164"/>
      <c r="T564" s="164"/>
      <c r="U564" s="164"/>
      <c r="V564" s="164"/>
      <c r="W564" s="164"/>
      <c r="X564" s="164"/>
      <c r="Y564" s="164"/>
      <c r="Z564" s="164"/>
      <c r="AA564" s="164"/>
      <c r="AB564" s="164"/>
      <c r="AC564" s="164"/>
      <c r="AD564" s="164"/>
      <c r="AE564" s="167"/>
      <c r="AF564" s="168"/>
    </row>
    <row r="565" spans="1:32" ht="15" x14ac:dyDescent="0.25">
      <c r="A565" s="184"/>
      <c r="B565" s="164"/>
      <c r="C565" s="164"/>
      <c r="D565" s="165"/>
      <c r="E565" s="165"/>
      <c r="F565" s="164"/>
      <c r="G565" s="164"/>
      <c r="H565" s="164"/>
      <c r="I565" s="164"/>
      <c r="J565" s="164"/>
      <c r="K565" s="164"/>
      <c r="L565" s="164"/>
      <c r="M565" s="164"/>
      <c r="N565" s="164"/>
      <c r="O565" s="165"/>
      <c r="P565" s="166"/>
      <c r="Q565" s="164"/>
      <c r="R565" s="164"/>
      <c r="S565" s="164"/>
      <c r="T565" s="164"/>
      <c r="U565" s="164"/>
      <c r="V565" s="164"/>
      <c r="W565" s="164"/>
      <c r="X565" s="164"/>
      <c r="Y565" s="164"/>
      <c r="Z565" s="164"/>
      <c r="AA565" s="164"/>
      <c r="AB565" s="164"/>
      <c r="AC565" s="164"/>
      <c r="AD565" s="164"/>
      <c r="AE565" s="167"/>
      <c r="AF565" s="168"/>
    </row>
    <row r="566" spans="1:32" ht="15" x14ac:dyDescent="0.25">
      <c r="A566" s="184"/>
      <c r="B566" s="164"/>
      <c r="C566" s="164"/>
      <c r="D566" s="165"/>
      <c r="E566" s="165"/>
      <c r="F566" s="164"/>
      <c r="G566" s="164"/>
      <c r="H566" s="164"/>
      <c r="I566" s="164"/>
      <c r="J566" s="164"/>
      <c r="K566" s="164"/>
      <c r="L566" s="164"/>
      <c r="M566" s="164"/>
      <c r="N566" s="164"/>
      <c r="O566" s="165"/>
      <c r="P566" s="166"/>
      <c r="Q566" s="164"/>
      <c r="R566" s="164"/>
      <c r="S566" s="164"/>
      <c r="T566" s="164"/>
      <c r="U566" s="164"/>
      <c r="V566" s="164"/>
      <c r="W566" s="164"/>
      <c r="X566" s="164"/>
      <c r="Y566" s="164"/>
      <c r="Z566" s="164"/>
      <c r="AA566" s="164"/>
      <c r="AB566" s="164"/>
      <c r="AC566" s="164"/>
      <c r="AD566" s="164"/>
      <c r="AE566" s="167"/>
      <c r="AF566" s="168"/>
    </row>
    <row r="567" spans="1:32" ht="15" x14ac:dyDescent="0.25">
      <c r="A567" s="184"/>
      <c r="B567" s="164"/>
      <c r="C567" s="164"/>
      <c r="D567" s="165"/>
      <c r="E567" s="165"/>
      <c r="F567" s="164"/>
      <c r="G567" s="164"/>
      <c r="H567" s="164"/>
      <c r="I567" s="164"/>
      <c r="J567" s="164"/>
      <c r="K567" s="164"/>
      <c r="L567" s="164"/>
      <c r="M567" s="164"/>
      <c r="N567" s="164"/>
      <c r="O567" s="165"/>
      <c r="P567" s="166"/>
      <c r="Q567" s="164"/>
      <c r="R567" s="164"/>
      <c r="S567" s="164"/>
      <c r="T567" s="164"/>
      <c r="U567" s="164"/>
      <c r="V567" s="164"/>
      <c r="W567" s="164"/>
      <c r="X567" s="164"/>
      <c r="Y567" s="164"/>
      <c r="Z567" s="164"/>
      <c r="AA567" s="164"/>
      <c r="AB567" s="164"/>
      <c r="AC567" s="164"/>
      <c r="AD567" s="164"/>
      <c r="AE567" s="167"/>
      <c r="AF567" s="168"/>
    </row>
    <row r="568" spans="1:32" ht="15" x14ac:dyDescent="0.25">
      <c r="A568" s="184"/>
      <c r="B568" s="164"/>
      <c r="C568" s="164"/>
      <c r="D568" s="165"/>
      <c r="E568" s="165"/>
      <c r="F568" s="164"/>
      <c r="G568" s="164"/>
      <c r="H568" s="164"/>
      <c r="I568" s="164"/>
      <c r="J568" s="164"/>
      <c r="K568" s="164"/>
      <c r="L568" s="164"/>
      <c r="M568" s="164"/>
      <c r="N568" s="164"/>
      <c r="O568" s="165"/>
      <c r="P568" s="166"/>
      <c r="Q568" s="164"/>
      <c r="R568" s="164"/>
      <c r="S568" s="164"/>
      <c r="T568" s="164"/>
      <c r="U568" s="164"/>
      <c r="V568" s="164"/>
      <c r="W568" s="164"/>
      <c r="X568" s="164"/>
      <c r="Y568" s="164"/>
      <c r="Z568" s="164"/>
      <c r="AA568" s="164"/>
      <c r="AB568" s="164"/>
      <c r="AC568" s="164"/>
      <c r="AD568" s="164"/>
      <c r="AE568" s="167"/>
      <c r="AF568" s="168"/>
    </row>
    <row r="569" spans="1:32" ht="15" x14ac:dyDescent="0.25">
      <c r="A569" s="184"/>
      <c r="B569" s="164"/>
      <c r="C569" s="164"/>
      <c r="D569" s="165"/>
      <c r="E569" s="165"/>
      <c r="F569" s="164"/>
      <c r="G569" s="164"/>
      <c r="H569" s="164"/>
      <c r="I569" s="164"/>
      <c r="J569" s="164"/>
      <c r="K569" s="164"/>
      <c r="L569" s="164"/>
      <c r="M569" s="164"/>
      <c r="N569" s="164"/>
      <c r="O569" s="165"/>
      <c r="P569" s="166"/>
      <c r="Q569" s="164"/>
      <c r="R569" s="164"/>
      <c r="S569" s="164"/>
      <c r="T569" s="164"/>
      <c r="U569" s="164"/>
      <c r="V569" s="164"/>
      <c r="W569" s="164"/>
      <c r="X569" s="164"/>
      <c r="Y569" s="164"/>
      <c r="Z569" s="164"/>
      <c r="AA569" s="164"/>
      <c r="AB569" s="164"/>
      <c r="AC569" s="164"/>
      <c r="AD569" s="164"/>
      <c r="AE569" s="167"/>
      <c r="AF569" s="168"/>
    </row>
    <row r="570" spans="1:32" ht="15" x14ac:dyDescent="0.25">
      <c r="A570" s="184"/>
      <c r="B570" s="164"/>
      <c r="C570" s="164"/>
      <c r="D570" s="165"/>
      <c r="E570" s="165"/>
      <c r="F570" s="164"/>
      <c r="G570" s="164"/>
      <c r="H570" s="164"/>
      <c r="I570" s="164"/>
      <c r="J570" s="164"/>
      <c r="K570" s="164"/>
      <c r="L570" s="164"/>
      <c r="M570" s="164"/>
      <c r="N570" s="164"/>
      <c r="O570" s="165"/>
      <c r="P570" s="166"/>
      <c r="Q570" s="164"/>
      <c r="R570" s="164"/>
      <c r="S570" s="164"/>
      <c r="T570" s="164"/>
      <c r="U570" s="164"/>
      <c r="V570" s="164"/>
      <c r="W570" s="164"/>
      <c r="X570" s="164"/>
      <c r="Y570" s="164"/>
      <c r="Z570" s="164"/>
      <c r="AA570" s="164"/>
      <c r="AB570" s="164"/>
      <c r="AC570" s="164"/>
      <c r="AD570" s="164"/>
      <c r="AE570" s="167"/>
      <c r="AF570" s="168"/>
    </row>
    <row r="571" spans="1:32" ht="15" x14ac:dyDescent="0.25">
      <c r="A571" s="184"/>
      <c r="B571" s="164"/>
      <c r="C571" s="164"/>
      <c r="D571" s="165"/>
      <c r="E571" s="165"/>
      <c r="F571" s="164"/>
      <c r="G571" s="164"/>
      <c r="H571" s="164"/>
      <c r="I571" s="164"/>
      <c r="J571" s="164"/>
      <c r="K571" s="164"/>
      <c r="L571" s="164"/>
      <c r="M571" s="164"/>
      <c r="N571" s="164"/>
      <c r="O571" s="165"/>
      <c r="P571" s="166"/>
      <c r="Q571" s="164"/>
      <c r="R571" s="164"/>
      <c r="S571" s="164"/>
      <c r="T571" s="164"/>
      <c r="U571" s="164"/>
      <c r="V571" s="164"/>
      <c r="W571" s="164"/>
      <c r="X571" s="164"/>
      <c r="Y571" s="164"/>
      <c r="Z571" s="164"/>
      <c r="AA571" s="164"/>
      <c r="AB571" s="164"/>
      <c r="AC571" s="164"/>
      <c r="AD571" s="164"/>
      <c r="AE571" s="167"/>
      <c r="AF571" s="168"/>
    </row>
    <row r="572" spans="1:32" ht="15" x14ac:dyDescent="0.25">
      <c r="A572" s="184"/>
      <c r="B572" s="164"/>
      <c r="C572" s="164"/>
      <c r="D572" s="165"/>
      <c r="E572" s="165"/>
      <c r="F572" s="164"/>
      <c r="G572" s="164"/>
      <c r="H572" s="164"/>
      <c r="I572" s="164"/>
      <c r="J572" s="164"/>
      <c r="K572" s="164"/>
      <c r="L572" s="164"/>
      <c r="M572" s="164"/>
      <c r="N572" s="164"/>
      <c r="O572" s="165"/>
      <c r="P572" s="166"/>
      <c r="Q572" s="164"/>
      <c r="R572" s="164"/>
      <c r="S572" s="164"/>
      <c r="T572" s="164"/>
      <c r="U572" s="164"/>
      <c r="V572" s="164"/>
      <c r="W572" s="164"/>
      <c r="X572" s="164"/>
      <c r="Y572" s="164"/>
      <c r="Z572" s="164"/>
      <c r="AA572" s="164"/>
      <c r="AB572" s="164"/>
      <c r="AC572" s="164"/>
      <c r="AD572" s="164"/>
      <c r="AE572" s="167"/>
      <c r="AF572" s="168"/>
    </row>
    <row r="573" spans="1:32" ht="15" x14ac:dyDescent="0.25">
      <c r="A573" s="184"/>
      <c r="B573" s="164"/>
      <c r="C573" s="164"/>
      <c r="D573" s="165"/>
      <c r="E573" s="165"/>
      <c r="F573" s="164"/>
      <c r="G573" s="164"/>
      <c r="H573" s="164"/>
      <c r="I573" s="164"/>
      <c r="J573" s="164"/>
      <c r="K573" s="164"/>
      <c r="L573" s="164"/>
      <c r="M573" s="164"/>
      <c r="N573" s="164"/>
      <c r="O573" s="165"/>
      <c r="P573" s="166"/>
      <c r="Q573" s="164"/>
      <c r="R573" s="164"/>
      <c r="S573" s="164"/>
      <c r="T573" s="164"/>
      <c r="U573" s="164"/>
      <c r="V573" s="164"/>
      <c r="W573" s="164"/>
      <c r="X573" s="164"/>
      <c r="Y573" s="164"/>
      <c r="Z573" s="164"/>
      <c r="AA573" s="164"/>
      <c r="AB573" s="164"/>
      <c r="AC573" s="164"/>
      <c r="AD573" s="164"/>
      <c r="AE573" s="167"/>
      <c r="AF573" s="168"/>
    </row>
    <row r="574" spans="1:32" ht="15" x14ac:dyDescent="0.25">
      <c r="A574" s="184"/>
      <c r="B574" s="164"/>
      <c r="C574" s="164"/>
      <c r="D574" s="165"/>
      <c r="E574" s="165"/>
      <c r="F574" s="164"/>
      <c r="G574" s="164"/>
      <c r="H574" s="164"/>
      <c r="I574" s="164"/>
      <c r="J574" s="164"/>
      <c r="K574" s="164"/>
      <c r="L574" s="164"/>
      <c r="M574" s="164"/>
      <c r="N574" s="164"/>
      <c r="O574" s="165"/>
      <c r="P574" s="166"/>
      <c r="Q574" s="164"/>
      <c r="R574" s="164"/>
      <c r="S574" s="164"/>
      <c r="T574" s="164"/>
      <c r="U574" s="164"/>
      <c r="V574" s="164"/>
      <c r="W574" s="164"/>
      <c r="X574" s="164"/>
      <c r="Y574" s="164"/>
      <c r="Z574" s="164"/>
      <c r="AA574" s="164"/>
      <c r="AB574" s="164"/>
      <c r="AC574" s="164"/>
      <c r="AD574" s="164"/>
      <c r="AE574" s="167"/>
      <c r="AF574" s="168"/>
    </row>
    <row r="575" spans="1:32" ht="15" x14ac:dyDescent="0.25">
      <c r="A575" s="184"/>
      <c r="B575" s="164"/>
      <c r="C575" s="164"/>
      <c r="D575" s="165"/>
      <c r="E575" s="165"/>
      <c r="F575" s="164"/>
      <c r="G575" s="164"/>
      <c r="H575" s="164"/>
      <c r="I575" s="164"/>
      <c r="J575" s="164"/>
      <c r="K575" s="164"/>
      <c r="L575" s="164"/>
      <c r="M575" s="164"/>
      <c r="N575" s="164"/>
      <c r="O575" s="165"/>
      <c r="P575" s="166"/>
      <c r="Q575" s="164"/>
      <c r="R575" s="164"/>
      <c r="S575" s="164"/>
      <c r="T575" s="164"/>
      <c r="U575" s="164"/>
      <c r="V575" s="164"/>
      <c r="W575" s="164"/>
      <c r="X575" s="164"/>
      <c r="Y575" s="164"/>
      <c r="Z575" s="164"/>
      <c r="AA575" s="164"/>
      <c r="AB575" s="164"/>
      <c r="AC575" s="164"/>
      <c r="AD575" s="164"/>
      <c r="AE575" s="167"/>
      <c r="AF575" s="168"/>
    </row>
    <row r="576" spans="1:32" ht="15" x14ac:dyDescent="0.25">
      <c r="A576" s="184"/>
      <c r="B576" s="164"/>
      <c r="C576" s="164"/>
      <c r="D576" s="165"/>
      <c r="E576" s="165"/>
      <c r="F576" s="164"/>
      <c r="G576" s="164"/>
      <c r="H576" s="164"/>
      <c r="I576" s="164"/>
      <c r="J576" s="164"/>
      <c r="K576" s="164"/>
      <c r="L576" s="164"/>
      <c r="M576" s="164"/>
      <c r="N576" s="164"/>
      <c r="O576" s="165"/>
      <c r="P576" s="166"/>
      <c r="Q576" s="164"/>
      <c r="R576" s="164"/>
      <c r="S576" s="164"/>
      <c r="T576" s="164"/>
      <c r="U576" s="164"/>
      <c r="V576" s="164"/>
      <c r="W576" s="164"/>
      <c r="X576" s="164"/>
      <c r="Y576" s="164"/>
      <c r="Z576" s="164"/>
      <c r="AA576" s="164"/>
      <c r="AB576" s="164"/>
      <c r="AC576" s="164"/>
      <c r="AD576" s="164"/>
      <c r="AE576" s="167"/>
      <c r="AF576" s="168"/>
    </row>
    <row r="577" spans="1:32" ht="15" x14ac:dyDescent="0.25">
      <c r="A577" s="184"/>
      <c r="B577" s="164"/>
      <c r="C577" s="164"/>
      <c r="D577" s="165"/>
      <c r="E577" s="165"/>
      <c r="F577" s="164"/>
      <c r="G577" s="164"/>
      <c r="H577" s="164"/>
      <c r="I577" s="164"/>
      <c r="J577" s="164"/>
      <c r="K577" s="164"/>
      <c r="L577" s="164"/>
      <c r="M577" s="164"/>
      <c r="N577" s="164"/>
      <c r="O577" s="165"/>
      <c r="P577" s="166"/>
      <c r="Q577" s="164"/>
      <c r="R577" s="164"/>
      <c r="S577" s="164"/>
      <c r="T577" s="164"/>
      <c r="U577" s="164"/>
      <c r="V577" s="164"/>
      <c r="W577" s="164"/>
      <c r="X577" s="164"/>
      <c r="Y577" s="164"/>
      <c r="Z577" s="164"/>
      <c r="AA577" s="164"/>
      <c r="AB577" s="164"/>
      <c r="AC577" s="164"/>
      <c r="AD577" s="164"/>
      <c r="AE577" s="167"/>
      <c r="AF577" s="168"/>
    </row>
    <row r="578" spans="1:32" ht="15" x14ac:dyDescent="0.25">
      <c r="A578" s="184"/>
      <c r="B578" s="164"/>
      <c r="C578" s="164"/>
      <c r="D578" s="165"/>
      <c r="E578" s="165"/>
      <c r="F578" s="164"/>
      <c r="G578" s="164"/>
      <c r="H578" s="164"/>
      <c r="I578" s="164"/>
      <c r="J578" s="164"/>
      <c r="K578" s="164"/>
      <c r="L578" s="164"/>
      <c r="M578" s="164"/>
      <c r="N578" s="164"/>
      <c r="O578" s="165"/>
      <c r="P578" s="166"/>
      <c r="Q578" s="164"/>
      <c r="R578" s="164"/>
      <c r="S578" s="164"/>
      <c r="T578" s="164"/>
      <c r="U578" s="164"/>
      <c r="V578" s="164"/>
      <c r="W578" s="164"/>
      <c r="X578" s="164"/>
      <c r="Y578" s="164"/>
      <c r="Z578" s="164"/>
      <c r="AA578" s="164"/>
      <c r="AB578" s="164"/>
      <c r="AC578" s="164"/>
      <c r="AD578" s="164"/>
      <c r="AE578" s="167"/>
      <c r="AF578" s="168"/>
    </row>
    <row r="579" spans="1:32" ht="15" x14ac:dyDescent="0.25">
      <c r="A579" s="184"/>
      <c r="B579" s="164"/>
      <c r="C579" s="164"/>
      <c r="D579" s="165"/>
      <c r="E579" s="165"/>
      <c r="F579" s="164"/>
      <c r="G579" s="164"/>
      <c r="H579" s="164"/>
      <c r="I579" s="164"/>
      <c r="J579" s="164"/>
      <c r="K579" s="164"/>
      <c r="L579" s="164"/>
      <c r="M579" s="164"/>
      <c r="N579" s="164"/>
      <c r="O579" s="165"/>
      <c r="P579" s="166"/>
      <c r="Q579" s="164"/>
      <c r="R579" s="164"/>
      <c r="S579" s="164"/>
      <c r="T579" s="164"/>
      <c r="U579" s="164"/>
      <c r="V579" s="164"/>
      <c r="W579" s="164"/>
      <c r="X579" s="164"/>
      <c r="Y579" s="164"/>
      <c r="Z579" s="164"/>
      <c r="AA579" s="164"/>
      <c r="AB579" s="164"/>
      <c r="AC579" s="164"/>
      <c r="AD579" s="164"/>
      <c r="AE579" s="167"/>
      <c r="AF579" s="168"/>
    </row>
    <row r="580" spans="1:32" ht="15" x14ac:dyDescent="0.25">
      <c r="A580" s="184"/>
      <c r="B580" s="164"/>
      <c r="C580" s="164"/>
      <c r="D580" s="165"/>
      <c r="E580" s="165"/>
      <c r="F580" s="164"/>
      <c r="G580" s="164"/>
      <c r="H580" s="164"/>
      <c r="I580" s="164"/>
      <c r="J580" s="164"/>
      <c r="K580" s="164"/>
      <c r="L580" s="164"/>
      <c r="M580" s="164"/>
      <c r="N580" s="164"/>
      <c r="O580" s="165"/>
      <c r="P580" s="166"/>
      <c r="Q580" s="164"/>
      <c r="R580" s="164"/>
      <c r="S580" s="164"/>
      <c r="T580" s="164"/>
      <c r="U580" s="164"/>
      <c r="V580" s="164"/>
      <c r="W580" s="164"/>
      <c r="X580" s="164"/>
      <c r="Y580" s="164"/>
      <c r="Z580" s="164"/>
      <c r="AA580" s="164"/>
      <c r="AB580" s="164"/>
      <c r="AC580" s="164"/>
      <c r="AD580" s="164"/>
      <c r="AE580" s="167"/>
      <c r="AF580" s="168"/>
    </row>
    <row r="581" spans="1:32" ht="15" x14ac:dyDescent="0.25">
      <c r="A581" s="184"/>
      <c r="B581" s="164"/>
      <c r="C581" s="164"/>
      <c r="D581" s="165"/>
      <c r="E581" s="165"/>
      <c r="F581" s="164"/>
      <c r="G581" s="164"/>
      <c r="H581" s="164"/>
      <c r="I581" s="164"/>
      <c r="J581" s="164"/>
      <c r="K581" s="164"/>
      <c r="L581" s="164"/>
      <c r="M581" s="164"/>
      <c r="N581" s="164"/>
      <c r="O581" s="165"/>
      <c r="P581" s="166"/>
      <c r="Q581" s="164"/>
      <c r="R581" s="164"/>
      <c r="S581" s="164"/>
      <c r="T581" s="164"/>
      <c r="U581" s="164"/>
      <c r="V581" s="169"/>
      <c r="W581" s="165"/>
      <c r="X581" s="164"/>
      <c r="Y581" s="164"/>
      <c r="Z581" s="164"/>
      <c r="AA581" s="164"/>
      <c r="AB581" s="164"/>
      <c r="AC581" s="164"/>
      <c r="AD581" s="164"/>
      <c r="AE581" s="167"/>
      <c r="AF581" s="168"/>
    </row>
    <row r="582" spans="1:32" ht="15" x14ac:dyDescent="0.25">
      <c r="A582" s="184"/>
      <c r="B582" s="164"/>
      <c r="C582" s="164"/>
      <c r="D582" s="165"/>
      <c r="E582" s="165"/>
      <c r="F582" s="164"/>
      <c r="G582" s="164"/>
      <c r="H582" s="164"/>
      <c r="I582" s="164"/>
      <c r="J582" s="164"/>
      <c r="K582" s="164"/>
      <c r="L582" s="164"/>
      <c r="M582" s="164"/>
      <c r="N582" s="164"/>
      <c r="O582" s="165"/>
      <c r="P582" s="166"/>
      <c r="Q582" s="164"/>
      <c r="R582" s="164"/>
      <c r="S582" s="164"/>
      <c r="T582" s="164"/>
      <c r="U582" s="164"/>
      <c r="V582" s="164"/>
      <c r="W582" s="164"/>
      <c r="X582" s="164"/>
      <c r="Y582" s="164"/>
      <c r="Z582" s="164"/>
      <c r="AA582" s="164"/>
      <c r="AB582" s="164"/>
      <c r="AC582" s="164"/>
      <c r="AD582" s="164"/>
      <c r="AE582" s="167"/>
      <c r="AF582" s="168"/>
    </row>
    <row r="583" spans="1:32" ht="15" x14ac:dyDescent="0.25">
      <c r="A583" s="184"/>
      <c r="B583" s="164"/>
      <c r="C583" s="164"/>
      <c r="D583" s="165"/>
      <c r="E583" s="165"/>
      <c r="F583" s="164"/>
      <c r="G583" s="164"/>
      <c r="H583" s="164"/>
      <c r="I583" s="164"/>
      <c r="J583" s="164"/>
      <c r="K583" s="164"/>
      <c r="L583" s="164"/>
      <c r="M583" s="164"/>
      <c r="N583" s="164"/>
      <c r="O583" s="165"/>
      <c r="P583" s="166"/>
      <c r="Q583" s="164"/>
      <c r="R583" s="164"/>
      <c r="S583" s="164"/>
      <c r="T583" s="164"/>
      <c r="U583" s="164"/>
      <c r="V583" s="169"/>
      <c r="W583" s="165"/>
      <c r="X583" s="164"/>
      <c r="Y583" s="164"/>
      <c r="Z583" s="164"/>
      <c r="AA583" s="164"/>
      <c r="AB583" s="164"/>
      <c r="AC583" s="164"/>
      <c r="AD583" s="164"/>
      <c r="AE583" s="167"/>
      <c r="AF583" s="168"/>
    </row>
    <row r="584" spans="1:32" ht="15" x14ac:dyDescent="0.25">
      <c r="A584" s="184"/>
      <c r="B584" s="164"/>
      <c r="C584" s="164"/>
      <c r="D584" s="165"/>
      <c r="E584" s="165"/>
      <c r="F584" s="164"/>
      <c r="G584" s="164"/>
      <c r="H584" s="164"/>
      <c r="I584" s="164"/>
      <c r="J584" s="164"/>
      <c r="K584" s="164"/>
      <c r="L584" s="164"/>
      <c r="M584" s="164"/>
      <c r="N584" s="164"/>
      <c r="O584" s="165"/>
      <c r="P584" s="166"/>
      <c r="Q584" s="164"/>
      <c r="R584" s="164"/>
      <c r="S584" s="164"/>
      <c r="T584" s="164"/>
      <c r="U584" s="164"/>
      <c r="V584" s="164"/>
      <c r="W584" s="164"/>
      <c r="X584" s="164"/>
      <c r="Y584" s="164"/>
      <c r="Z584" s="164"/>
      <c r="AA584" s="164"/>
      <c r="AB584" s="164"/>
      <c r="AC584" s="164"/>
      <c r="AD584" s="164"/>
      <c r="AE584" s="167"/>
      <c r="AF584" s="168"/>
    </row>
    <row r="585" spans="1:32" ht="15" x14ac:dyDescent="0.25">
      <c r="A585" s="184"/>
      <c r="B585" s="164"/>
      <c r="C585" s="164"/>
      <c r="D585" s="165"/>
      <c r="E585" s="165"/>
      <c r="F585" s="164"/>
      <c r="G585" s="164"/>
      <c r="H585" s="164"/>
      <c r="I585" s="164"/>
      <c r="J585" s="164"/>
      <c r="K585" s="164"/>
      <c r="L585" s="164"/>
      <c r="M585" s="164"/>
      <c r="N585" s="164"/>
      <c r="O585" s="165"/>
      <c r="P585" s="166"/>
      <c r="Q585" s="164"/>
      <c r="R585" s="164"/>
      <c r="S585" s="164"/>
      <c r="T585" s="164"/>
      <c r="U585" s="164"/>
      <c r="V585" s="169"/>
      <c r="W585" s="165"/>
      <c r="X585" s="164"/>
      <c r="Y585" s="164"/>
      <c r="Z585" s="164"/>
      <c r="AA585" s="164"/>
      <c r="AB585" s="164"/>
      <c r="AC585" s="164"/>
      <c r="AD585" s="164"/>
      <c r="AE585" s="167"/>
      <c r="AF585" s="168"/>
    </row>
    <row r="586" spans="1:32" ht="15" x14ac:dyDescent="0.25">
      <c r="A586" s="184"/>
      <c r="B586" s="164"/>
      <c r="C586" s="164"/>
      <c r="D586" s="165"/>
      <c r="E586" s="165"/>
      <c r="F586" s="164"/>
      <c r="G586" s="164"/>
      <c r="H586" s="164"/>
      <c r="I586" s="164"/>
      <c r="J586" s="164"/>
      <c r="K586" s="164"/>
      <c r="L586" s="164"/>
      <c r="M586" s="164"/>
      <c r="N586" s="164"/>
      <c r="O586" s="165"/>
      <c r="P586" s="166"/>
      <c r="Q586" s="164"/>
      <c r="R586" s="164"/>
      <c r="S586" s="164"/>
      <c r="T586" s="164"/>
      <c r="U586" s="164"/>
      <c r="V586" s="164"/>
      <c r="W586" s="164"/>
      <c r="X586" s="164"/>
      <c r="Y586" s="164"/>
      <c r="Z586" s="164"/>
      <c r="AA586" s="164"/>
      <c r="AB586" s="164"/>
      <c r="AC586" s="164"/>
      <c r="AD586" s="164"/>
      <c r="AE586" s="167"/>
      <c r="AF586" s="168"/>
    </row>
    <row r="587" spans="1:32" ht="15" x14ac:dyDescent="0.25">
      <c r="A587" s="184"/>
      <c r="B587" s="164"/>
      <c r="C587" s="164"/>
      <c r="D587" s="165"/>
      <c r="E587" s="165"/>
      <c r="F587" s="164"/>
      <c r="G587" s="164"/>
      <c r="H587" s="164"/>
      <c r="I587" s="164"/>
      <c r="J587" s="164"/>
      <c r="K587" s="164"/>
      <c r="L587" s="164"/>
      <c r="M587" s="164"/>
      <c r="N587" s="164"/>
      <c r="O587" s="165"/>
      <c r="P587" s="166"/>
      <c r="Q587" s="164"/>
      <c r="R587" s="164"/>
      <c r="S587" s="164"/>
      <c r="T587" s="164"/>
      <c r="U587" s="164"/>
      <c r="V587" s="164"/>
      <c r="W587" s="164"/>
      <c r="X587" s="164"/>
      <c r="Y587" s="164"/>
      <c r="Z587" s="164"/>
      <c r="AA587" s="164"/>
      <c r="AB587" s="164"/>
      <c r="AC587" s="164"/>
      <c r="AD587" s="164"/>
      <c r="AE587" s="167"/>
      <c r="AF587" s="168"/>
    </row>
    <row r="588" spans="1:32" ht="15" x14ac:dyDescent="0.25">
      <c r="A588" s="184"/>
      <c r="B588" s="164"/>
      <c r="C588" s="164"/>
      <c r="D588" s="165"/>
      <c r="E588" s="165"/>
      <c r="F588" s="164"/>
      <c r="G588" s="164"/>
      <c r="H588" s="164"/>
      <c r="I588" s="164"/>
      <c r="J588" s="164"/>
      <c r="K588" s="164"/>
      <c r="L588" s="164"/>
      <c r="M588" s="164"/>
      <c r="N588" s="164"/>
      <c r="O588" s="165"/>
      <c r="P588" s="166"/>
      <c r="Q588" s="164"/>
      <c r="R588" s="164"/>
      <c r="S588" s="164"/>
      <c r="T588" s="164"/>
      <c r="U588" s="164"/>
      <c r="V588" s="164"/>
      <c r="W588" s="164"/>
      <c r="X588" s="164"/>
      <c r="Y588" s="164"/>
      <c r="Z588" s="164"/>
      <c r="AA588" s="164"/>
      <c r="AB588" s="164"/>
      <c r="AC588" s="164"/>
      <c r="AD588" s="164"/>
      <c r="AE588" s="167"/>
      <c r="AF588" s="168"/>
    </row>
    <row r="589" spans="1:32" ht="15" x14ac:dyDescent="0.25">
      <c r="A589" s="184"/>
      <c r="B589" s="164"/>
      <c r="C589" s="164"/>
      <c r="D589" s="165"/>
      <c r="E589" s="165"/>
      <c r="F589" s="164"/>
      <c r="G589" s="164"/>
      <c r="H589" s="164"/>
      <c r="I589" s="164"/>
      <c r="J589" s="164"/>
      <c r="K589" s="164"/>
      <c r="L589" s="164"/>
      <c r="M589" s="164"/>
      <c r="N589" s="164"/>
      <c r="O589" s="165"/>
      <c r="P589" s="166"/>
      <c r="Q589" s="164"/>
      <c r="R589" s="164"/>
      <c r="S589" s="164"/>
      <c r="T589" s="164"/>
      <c r="U589" s="164"/>
      <c r="V589" s="164"/>
      <c r="W589" s="164"/>
      <c r="X589" s="164"/>
      <c r="Y589" s="164"/>
      <c r="Z589" s="164"/>
      <c r="AA589" s="164"/>
      <c r="AB589" s="164"/>
      <c r="AC589" s="164"/>
      <c r="AD589" s="164"/>
      <c r="AE589" s="167"/>
      <c r="AF589" s="168"/>
    </row>
    <row r="590" spans="1:32" ht="15" x14ac:dyDescent="0.25">
      <c r="A590" s="184"/>
      <c r="B590" s="164"/>
      <c r="C590" s="164"/>
      <c r="D590" s="165"/>
      <c r="E590" s="165"/>
      <c r="F590" s="164"/>
      <c r="G590" s="164"/>
      <c r="H590" s="164"/>
      <c r="I590" s="164"/>
      <c r="J590" s="164"/>
      <c r="K590" s="164"/>
      <c r="L590" s="164"/>
      <c r="M590" s="164"/>
      <c r="N590" s="164"/>
      <c r="O590" s="165"/>
      <c r="P590" s="166"/>
      <c r="Q590" s="164"/>
      <c r="R590" s="164"/>
      <c r="S590" s="164"/>
      <c r="T590" s="164"/>
      <c r="U590" s="164"/>
      <c r="V590" s="164"/>
      <c r="W590" s="164"/>
      <c r="X590" s="164"/>
      <c r="Y590" s="164"/>
      <c r="Z590" s="164"/>
      <c r="AA590" s="164"/>
      <c r="AB590" s="164"/>
      <c r="AC590" s="164"/>
      <c r="AD590" s="164"/>
      <c r="AE590" s="167"/>
      <c r="AF590" s="168"/>
    </row>
    <row r="591" spans="1:32" ht="15" x14ac:dyDescent="0.25">
      <c r="A591" s="184"/>
      <c r="B591" s="164"/>
      <c r="C591" s="164"/>
      <c r="D591" s="165"/>
      <c r="E591" s="165"/>
      <c r="F591" s="164"/>
      <c r="G591" s="164"/>
      <c r="H591" s="164"/>
      <c r="I591" s="164"/>
      <c r="J591" s="164"/>
      <c r="K591" s="164"/>
      <c r="L591" s="164"/>
      <c r="M591" s="164"/>
      <c r="N591" s="164"/>
      <c r="O591" s="165"/>
      <c r="P591" s="166"/>
      <c r="Q591" s="164"/>
      <c r="R591" s="164"/>
      <c r="S591" s="164"/>
      <c r="T591" s="164"/>
      <c r="U591" s="164"/>
      <c r="V591" s="164"/>
      <c r="W591" s="164"/>
      <c r="X591" s="164"/>
      <c r="Y591" s="164"/>
      <c r="Z591" s="164"/>
      <c r="AA591" s="164"/>
      <c r="AB591" s="164"/>
      <c r="AC591" s="164"/>
      <c r="AD591" s="164"/>
      <c r="AE591" s="167"/>
      <c r="AF591" s="168"/>
    </row>
    <row r="592" spans="1:32" ht="15" x14ac:dyDescent="0.25">
      <c r="A592" s="184"/>
      <c r="B592" s="164"/>
      <c r="C592" s="164"/>
      <c r="D592" s="165"/>
      <c r="E592" s="165"/>
      <c r="F592" s="164"/>
      <c r="G592" s="164"/>
      <c r="H592" s="164"/>
      <c r="I592" s="164"/>
      <c r="J592" s="164"/>
      <c r="K592" s="164"/>
      <c r="L592" s="164"/>
      <c r="M592" s="164"/>
      <c r="N592" s="164"/>
      <c r="O592" s="165"/>
      <c r="P592" s="166"/>
      <c r="Q592" s="164"/>
      <c r="R592" s="164"/>
      <c r="S592" s="164"/>
      <c r="T592" s="164"/>
      <c r="U592" s="164"/>
      <c r="V592" s="164"/>
      <c r="W592" s="164"/>
      <c r="X592" s="164"/>
      <c r="Y592" s="164"/>
      <c r="Z592" s="164"/>
      <c r="AA592" s="164"/>
      <c r="AB592" s="164"/>
      <c r="AC592" s="164"/>
      <c r="AD592" s="164"/>
      <c r="AE592" s="167"/>
      <c r="AF592" s="168"/>
    </row>
    <row r="593" spans="1:32" ht="15" x14ac:dyDescent="0.25">
      <c r="A593" s="184"/>
      <c r="B593" s="164"/>
      <c r="C593" s="164"/>
      <c r="D593" s="165"/>
      <c r="E593" s="165"/>
      <c r="F593" s="164"/>
      <c r="G593" s="164"/>
      <c r="H593" s="164"/>
      <c r="I593" s="164"/>
      <c r="J593" s="164"/>
      <c r="K593" s="164"/>
      <c r="L593" s="164"/>
      <c r="M593" s="164"/>
      <c r="N593" s="164"/>
      <c r="O593" s="165"/>
      <c r="P593" s="166"/>
      <c r="Q593" s="164"/>
      <c r="R593" s="164"/>
      <c r="S593" s="164"/>
      <c r="T593" s="164"/>
      <c r="U593" s="164"/>
      <c r="V593" s="164"/>
      <c r="W593" s="164"/>
      <c r="X593" s="164"/>
      <c r="Y593" s="164"/>
      <c r="Z593" s="164"/>
      <c r="AA593" s="164"/>
      <c r="AB593" s="164"/>
      <c r="AC593" s="164"/>
      <c r="AD593" s="164"/>
      <c r="AE593" s="167"/>
      <c r="AF593" s="168"/>
    </row>
    <row r="594" spans="1:32" ht="15" x14ac:dyDescent="0.25">
      <c r="A594" s="184"/>
      <c r="B594" s="164"/>
      <c r="C594" s="164"/>
      <c r="D594" s="165"/>
      <c r="E594" s="165"/>
      <c r="F594" s="164"/>
      <c r="G594" s="164"/>
      <c r="H594" s="164"/>
      <c r="I594" s="164"/>
      <c r="J594" s="164"/>
      <c r="K594" s="164"/>
      <c r="L594" s="164"/>
      <c r="M594" s="164"/>
      <c r="N594" s="164"/>
      <c r="O594" s="165"/>
      <c r="P594" s="166"/>
      <c r="Q594" s="164"/>
      <c r="R594" s="164"/>
      <c r="S594" s="164"/>
      <c r="T594" s="164"/>
      <c r="U594" s="164"/>
      <c r="V594" s="164"/>
      <c r="W594" s="164"/>
      <c r="X594" s="164"/>
      <c r="Y594" s="164"/>
      <c r="Z594" s="164"/>
      <c r="AA594" s="164"/>
      <c r="AB594" s="164"/>
      <c r="AC594" s="164"/>
      <c r="AD594" s="164"/>
      <c r="AE594" s="167"/>
      <c r="AF594" s="168"/>
    </row>
    <row r="595" spans="1:32" ht="15" x14ac:dyDescent="0.25">
      <c r="A595" s="184"/>
      <c r="B595" s="164"/>
      <c r="C595" s="164"/>
      <c r="D595" s="165"/>
      <c r="E595" s="165"/>
      <c r="F595" s="164"/>
      <c r="G595" s="164"/>
      <c r="H595" s="164"/>
      <c r="I595" s="164"/>
      <c r="J595" s="164"/>
      <c r="K595" s="164"/>
      <c r="L595" s="164"/>
      <c r="M595" s="164"/>
      <c r="N595" s="164"/>
      <c r="O595" s="165"/>
      <c r="P595" s="166"/>
      <c r="Q595" s="164"/>
      <c r="R595" s="164"/>
      <c r="S595" s="164"/>
      <c r="T595" s="164"/>
      <c r="U595" s="164"/>
      <c r="V595" s="164"/>
      <c r="W595" s="164"/>
      <c r="X595" s="164"/>
      <c r="Y595" s="164"/>
      <c r="Z595" s="164"/>
      <c r="AA595" s="164"/>
      <c r="AB595" s="164"/>
      <c r="AC595" s="164"/>
      <c r="AD595" s="164"/>
      <c r="AE595" s="167"/>
      <c r="AF595" s="168"/>
    </row>
    <row r="596" spans="1:32" ht="15" x14ac:dyDescent="0.25">
      <c r="A596" s="184"/>
      <c r="B596" s="164"/>
      <c r="C596" s="164"/>
      <c r="D596" s="165"/>
      <c r="E596" s="165"/>
      <c r="F596" s="164"/>
      <c r="G596" s="164"/>
      <c r="H596" s="164"/>
      <c r="I596" s="164"/>
      <c r="J596" s="164"/>
      <c r="K596" s="164"/>
      <c r="L596" s="164"/>
      <c r="M596" s="164"/>
      <c r="N596" s="164"/>
      <c r="O596" s="165"/>
      <c r="P596" s="166"/>
      <c r="Q596" s="164"/>
      <c r="R596" s="164"/>
      <c r="S596" s="164"/>
      <c r="T596" s="164"/>
      <c r="U596" s="164"/>
      <c r="V596" s="164"/>
      <c r="W596" s="164"/>
      <c r="X596" s="164"/>
      <c r="Y596" s="164"/>
      <c r="Z596" s="164"/>
      <c r="AA596" s="164"/>
      <c r="AB596" s="164"/>
      <c r="AC596" s="164"/>
      <c r="AD596" s="164"/>
      <c r="AE596" s="167"/>
      <c r="AF596" s="168"/>
    </row>
    <row r="597" spans="1:32" ht="15" x14ac:dyDescent="0.25">
      <c r="A597" s="184"/>
      <c r="B597" s="164"/>
      <c r="C597" s="164"/>
      <c r="D597" s="165"/>
      <c r="E597" s="165"/>
      <c r="F597" s="164"/>
      <c r="G597" s="164"/>
      <c r="H597" s="164"/>
      <c r="I597" s="164"/>
      <c r="J597" s="164"/>
      <c r="K597" s="164"/>
      <c r="L597" s="164"/>
      <c r="M597" s="164"/>
      <c r="N597" s="164"/>
      <c r="O597" s="165"/>
      <c r="P597" s="166"/>
      <c r="Q597" s="164"/>
      <c r="R597" s="164"/>
      <c r="S597" s="164"/>
      <c r="T597" s="164"/>
      <c r="U597" s="164"/>
      <c r="V597" s="164"/>
      <c r="W597" s="164"/>
      <c r="X597" s="164"/>
      <c r="Y597" s="164"/>
      <c r="Z597" s="164"/>
      <c r="AA597" s="164"/>
      <c r="AB597" s="164"/>
      <c r="AC597" s="164"/>
      <c r="AD597" s="164"/>
      <c r="AE597" s="167"/>
      <c r="AF597" s="168"/>
    </row>
    <row r="598" spans="1:32" ht="15" x14ac:dyDescent="0.25">
      <c r="A598" s="184"/>
      <c r="B598" s="164"/>
      <c r="C598" s="164"/>
      <c r="D598" s="165"/>
      <c r="E598" s="165"/>
      <c r="F598" s="164"/>
      <c r="G598" s="164"/>
      <c r="H598" s="164"/>
      <c r="I598" s="164"/>
      <c r="J598" s="164"/>
      <c r="K598" s="164"/>
      <c r="L598" s="164"/>
      <c r="M598" s="164"/>
      <c r="N598" s="164"/>
      <c r="O598" s="165"/>
      <c r="P598" s="166"/>
      <c r="Q598" s="164"/>
      <c r="R598" s="164"/>
      <c r="S598" s="164"/>
      <c r="T598" s="164"/>
      <c r="U598" s="164"/>
      <c r="V598" s="164"/>
      <c r="W598" s="164"/>
      <c r="X598" s="164"/>
      <c r="Y598" s="164"/>
      <c r="Z598" s="164"/>
      <c r="AA598" s="164"/>
      <c r="AB598" s="164"/>
      <c r="AC598" s="164"/>
      <c r="AD598" s="164"/>
      <c r="AE598" s="167"/>
      <c r="AF598" s="168"/>
    </row>
    <row r="599" spans="1:32" ht="15" x14ac:dyDescent="0.25">
      <c r="A599" s="184"/>
      <c r="B599" s="164"/>
      <c r="C599" s="164"/>
      <c r="D599" s="165"/>
      <c r="E599" s="165"/>
      <c r="F599" s="164"/>
      <c r="G599" s="164"/>
      <c r="H599" s="164"/>
      <c r="I599" s="164"/>
      <c r="J599" s="164"/>
      <c r="K599" s="164"/>
      <c r="L599" s="164"/>
      <c r="M599" s="164"/>
      <c r="N599" s="164"/>
      <c r="O599" s="165"/>
      <c r="P599" s="166"/>
      <c r="Q599" s="164"/>
      <c r="R599" s="164"/>
      <c r="S599" s="164"/>
      <c r="T599" s="164"/>
      <c r="U599" s="164"/>
      <c r="V599" s="164"/>
      <c r="W599" s="164"/>
      <c r="X599" s="164"/>
      <c r="Y599" s="164"/>
      <c r="Z599" s="164"/>
      <c r="AA599" s="164"/>
      <c r="AB599" s="164"/>
      <c r="AC599" s="164"/>
      <c r="AD599" s="164"/>
      <c r="AE599" s="167"/>
      <c r="AF599" s="168"/>
    </row>
    <row r="600" spans="1:32" ht="15" x14ac:dyDescent="0.25">
      <c r="A600" s="184"/>
      <c r="B600" s="164"/>
      <c r="C600" s="164"/>
      <c r="D600" s="165"/>
      <c r="E600" s="165"/>
      <c r="F600" s="164"/>
      <c r="G600" s="164"/>
      <c r="H600" s="164"/>
      <c r="I600" s="164"/>
      <c r="J600" s="164"/>
      <c r="K600" s="164"/>
      <c r="L600" s="164"/>
      <c r="M600" s="164"/>
      <c r="N600" s="164"/>
      <c r="O600" s="165"/>
      <c r="P600" s="166"/>
      <c r="Q600" s="164"/>
      <c r="R600" s="164"/>
      <c r="S600" s="164"/>
      <c r="T600" s="164"/>
      <c r="U600" s="164"/>
      <c r="V600" s="164"/>
      <c r="W600" s="164"/>
      <c r="X600" s="164"/>
      <c r="Y600" s="164"/>
      <c r="Z600" s="164"/>
      <c r="AA600" s="164"/>
      <c r="AB600" s="164"/>
      <c r="AC600" s="164"/>
      <c r="AD600" s="164"/>
      <c r="AE600" s="167"/>
      <c r="AF600" s="168"/>
    </row>
    <row r="601" spans="1:32" ht="15" x14ac:dyDescent="0.25">
      <c r="A601" s="184"/>
      <c r="B601" s="164"/>
      <c r="C601" s="164"/>
      <c r="D601" s="165"/>
      <c r="E601" s="165"/>
      <c r="F601" s="164"/>
      <c r="G601" s="164"/>
      <c r="H601" s="164"/>
      <c r="I601" s="164"/>
      <c r="J601" s="164"/>
      <c r="K601" s="164"/>
      <c r="L601" s="164"/>
      <c r="M601" s="164"/>
      <c r="N601" s="164"/>
      <c r="O601" s="165"/>
      <c r="P601" s="166"/>
      <c r="Q601" s="164"/>
      <c r="R601" s="164"/>
      <c r="S601" s="164"/>
      <c r="T601" s="164"/>
      <c r="U601" s="164"/>
      <c r="V601" s="164"/>
      <c r="W601" s="164"/>
      <c r="X601" s="164"/>
      <c r="Y601" s="164"/>
      <c r="Z601" s="164"/>
      <c r="AA601" s="164"/>
      <c r="AB601" s="164"/>
      <c r="AC601" s="164"/>
      <c r="AD601" s="164"/>
      <c r="AE601" s="167"/>
      <c r="AF601" s="168"/>
    </row>
    <row r="602" spans="1:32" ht="15" x14ac:dyDescent="0.25">
      <c r="A602" s="184"/>
      <c r="B602" s="164"/>
      <c r="C602" s="164"/>
      <c r="D602" s="165"/>
      <c r="E602" s="165"/>
      <c r="F602" s="164"/>
      <c r="G602" s="164"/>
      <c r="H602" s="164"/>
      <c r="I602" s="164"/>
      <c r="J602" s="164"/>
      <c r="K602" s="164"/>
      <c r="L602" s="164"/>
      <c r="M602" s="164"/>
      <c r="N602" s="164"/>
      <c r="O602" s="165"/>
      <c r="P602" s="166"/>
      <c r="Q602" s="164"/>
      <c r="R602" s="164"/>
      <c r="S602" s="164"/>
      <c r="T602" s="164"/>
      <c r="U602" s="164"/>
      <c r="V602" s="164"/>
      <c r="W602" s="164"/>
      <c r="X602" s="164"/>
      <c r="Y602" s="164"/>
      <c r="Z602" s="164"/>
      <c r="AA602" s="164"/>
      <c r="AB602" s="164"/>
      <c r="AC602" s="164"/>
      <c r="AD602" s="164"/>
      <c r="AE602" s="167"/>
      <c r="AF602" s="168"/>
    </row>
    <row r="603" spans="1:32" ht="15" x14ac:dyDescent="0.25">
      <c r="A603" s="184"/>
      <c r="B603" s="164"/>
      <c r="C603" s="164"/>
      <c r="D603" s="165"/>
      <c r="E603" s="165"/>
      <c r="F603" s="164"/>
      <c r="G603" s="164"/>
      <c r="H603" s="164"/>
      <c r="I603" s="164"/>
      <c r="J603" s="164"/>
      <c r="K603" s="164"/>
      <c r="L603" s="164"/>
      <c r="M603" s="164"/>
      <c r="N603" s="164"/>
      <c r="O603" s="165"/>
      <c r="P603" s="166"/>
      <c r="Q603" s="164"/>
      <c r="R603" s="164"/>
      <c r="S603" s="164"/>
      <c r="T603" s="164"/>
      <c r="U603" s="164"/>
      <c r="V603" s="164"/>
      <c r="W603" s="164"/>
      <c r="X603" s="164"/>
      <c r="Y603" s="164"/>
      <c r="Z603" s="164"/>
      <c r="AA603" s="164"/>
      <c r="AB603" s="164"/>
      <c r="AC603" s="164"/>
      <c r="AD603" s="164"/>
      <c r="AE603" s="167"/>
      <c r="AF603" s="168"/>
    </row>
    <row r="604" spans="1:32" ht="15" x14ac:dyDescent="0.25">
      <c r="A604" s="184"/>
      <c r="B604" s="164"/>
      <c r="C604" s="164"/>
      <c r="D604" s="165"/>
      <c r="E604" s="165"/>
      <c r="F604" s="164"/>
      <c r="G604" s="164"/>
      <c r="H604" s="164"/>
      <c r="I604" s="164"/>
      <c r="J604" s="164"/>
      <c r="K604" s="164"/>
      <c r="L604" s="164"/>
      <c r="M604" s="164"/>
      <c r="N604" s="164"/>
      <c r="O604" s="165"/>
      <c r="P604" s="166"/>
      <c r="Q604" s="164"/>
      <c r="R604" s="164"/>
      <c r="S604" s="164"/>
      <c r="T604" s="164"/>
      <c r="U604" s="164"/>
      <c r="V604" s="164"/>
      <c r="W604" s="164"/>
      <c r="X604" s="164"/>
      <c r="Y604" s="164"/>
      <c r="Z604" s="164"/>
      <c r="AA604" s="164"/>
      <c r="AB604" s="164"/>
      <c r="AC604" s="164"/>
      <c r="AD604" s="164"/>
      <c r="AE604" s="167"/>
      <c r="AF604" s="168"/>
    </row>
    <row r="605" spans="1:32" ht="15" x14ac:dyDescent="0.25">
      <c r="A605" s="184"/>
      <c r="B605" s="164"/>
      <c r="C605" s="164"/>
      <c r="D605" s="165"/>
      <c r="E605" s="165"/>
      <c r="F605" s="164"/>
      <c r="G605" s="164"/>
      <c r="H605" s="164"/>
      <c r="I605" s="164"/>
      <c r="J605" s="164"/>
      <c r="K605" s="164"/>
      <c r="L605" s="164"/>
      <c r="M605" s="164"/>
      <c r="N605" s="164"/>
      <c r="O605" s="165"/>
      <c r="P605" s="166"/>
      <c r="Q605" s="164"/>
      <c r="R605" s="164"/>
      <c r="S605" s="164"/>
      <c r="T605" s="164"/>
      <c r="U605" s="164"/>
      <c r="V605" s="164"/>
      <c r="W605" s="164"/>
      <c r="X605" s="164"/>
      <c r="Y605" s="164"/>
      <c r="Z605" s="164"/>
      <c r="AA605" s="164"/>
      <c r="AB605" s="164"/>
      <c r="AC605" s="164"/>
      <c r="AD605" s="164"/>
      <c r="AE605" s="167"/>
      <c r="AF605" s="168"/>
    </row>
    <row r="606" spans="1:32" ht="15" x14ac:dyDescent="0.25">
      <c r="A606" s="184"/>
      <c r="B606" s="164"/>
      <c r="C606" s="164"/>
      <c r="D606" s="165"/>
      <c r="E606" s="165"/>
      <c r="F606" s="164"/>
      <c r="G606" s="164"/>
      <c r="H606" s="164"/>
      <c r="I606" s="164"/>
      <c r="J606" s="164"/>
      <c r="K606" s="164"/>
      <c r="L606" s="164"/>
      <c r="M606" s="164"/>
      <c r="N606" s="164"/>
      <c r="O606" s="165"/>
      <c r="P606" s="166"/>
      <c r="Q606" s="164"/>
      <c r="R606" s="164"/>
      <c r="S606" s="164"/>
      <c r="T606" s="164"/>
      <c r="U606" s="164"/>
      <c r="V606" s="164"/>
      <c r="W606" s="164"/>
      <c r="X606" s="164"/>
      <c r="Y606" s="164"/>
      <c r="Z606" s="164"/>
      <c r="AA606" s="164"/>
      <c r="AB606" s="164"/>
      <c r="AC606" s="164"/>
      <c r="AD606" s="164"/>
      <c r="AE606" s="167"/>
      <c r="AF606" s="168"/>
    </row>
    <row r="607" spans="1:32" ht="15" x14ac:dyDescent="0.25">
      <c r="A607" s="184"/>
      <c r="B607" s="164"/>
      <c r="C607" s="164"/>
      <c r="D607" s="165"/>
      <c r="E607" s="165"/>
      <c r="F607" s="164"/>
      <c r="G607" s="164"/>
      <c r="H607" s="164"/>
      <c r="I607" s="164"/>
      <c r="J607" s="164"/>
      <c r="K607" s="164"/>
      <c r="L607" s="164"/>
      <c r="M607" s="164"/>
      <c r="N607" s="164"/>
      <c r="O607" s="165"/>
      <c r="P607" s="166"/>
      <c r="Q607" s="164"/>
      <c r="R607" s="164"/>
      <c r="S607" s="164"/>
      <c r="T607" s="164"/>
      <c r="U607" s="164"/>
      <c r="V607" s="164"/>
      <c r="W607" s="164"/>
      <c r="X607" s="164"/>
      <c r="Y607" s="164"/>
      <c r="Z607" s="164"/>
      <c r="AA607" s="164"/>
      <c r="AB607" s="164"/>
      <c r="AC607" s="164"/>
      <c r="AD607" s="164"/>
      <c r="AE607" s="167"/>
      <c r="AF607" s="168"/>
    </row>
    <row r="608" spans="1:32" ht="15" x14ac:dyDescent="0.25">
      <c r="A608" s="184"/>
      <c r="B608" s="164"/>
      <c r="C608" s="164"/>
      <c r="D608" s="165"/>
      <c r="E608" s="165"/>
      <c r="F608" s="164"/>
      <c r="G608" s="164"/>
      <c r="H608" s="164"/>
      <c r="I608" s="164"/>
      <c r="J608" s="164"/>
      <c r="K608" s="164"/>
      <c r="L608" s="164"/>
      <c r="M608" s="164"/>
      <c r="N608" s="164"/>
      <c r="O608" s="165"/>
      <c r="P608" s="166"/>
      <c r="Q608" s="164"/>
      <c r="R608" s="164"/>
      <c r="S608" s="164"/>
      <c r="T608" s="164"/>
      <c r="U608" s="164"/>
      <c r="V608" s="164"/>
      <c r="W608" s="164"/>
      <c r="X608" s="164"/>
      <c r="Y608" s="164"/>
      <c r="Z608" s="164"/>
      <c r="AA608" s="164"/>
      <c r="AB608" s="164"/>
      <c r="AC608" s="164"/>
      <c r="AD608" s="164"/>
      <c r="AE608" s="167"/>
      <c r="AF608" s="168"/>
    </row>
    <row r="609" spans="1:32" ht="15" x14ac:dyDescent="0.25">
      <c r="A609" s="184"/>
      <c r="B609" s="164"/>
      <c r="C609" s="164"/>
      <c r="D609" s="165"/>
      <c r="E609" s="165"/>
      <c r="F609" s="164"/>
      <c r="G609" s="164"/>
      <c r="H609" s="164"/>
      <c r="I609" s="164"/>
      <c r="J609" s="164"/>
      <c r="K609" s="164"/>
      <c r="L609" s="164"/>
      <c r="M609" s="164"/>
      <c r="N609" s="164"/>
      <c r="O609" s="165"/>
      <c r="P609" s="166"/>
      <c r="Q609" s="164"/>
      <c r="R609" s="164"/>
      <c r="S609" s="164"/>
      <c r="T609" s="164"/>
      <c r="U609" s="164"/>
      <c r="V609" s="164"/>
      <c r="W609" s="164"/>
      <c r="X609" s="164"/>
      <c r="Y609" s="164"/>
      <c r="Z609" s="164"/>
      <c r="AA609" s="164"/>
      <c r="AB609" s="164"/>
      <c r="AC609" s="164"/>
      <c r="AD609" s="164"/>
      <c r="AE609" s="167"/>
      <c r="AF609" s="168"/>
    </row>
    <row r="610" spans="1:32" ht="15" x14ac:dyDescent="0.25">
      <c r="A610" s="184"/>
      <c r="B610" s="164"/>
      <c r="C610" s="164"/>
      <c r="D610" s="165"/>
      <c r="E610" s="165"/>
      <c r="F610" s="164"/>
      <c r="G610" s="164"/>
      <c r="H610" s="164"/>
      <c r="I610" s="164"/>
      <c r="J610" s="164"/>
      <c r="K610" s="164"/>
      <c r="L610" s="164"/>
      <c r="M610" s="164"/>
      <c r="N610" s="164"/>
      <c r="O610" s="165"/>
      <c r="P610" s="166"/>
      <c r="Q610" s="164"/>
      <c r="R610" s="164"/>
      <c r="S610" s="164"/>
      <c r="T610" s="164"/>
      <c r="U610" s="164"/>
      <c r="V610" s="164"/>
      <c r="W610" s="164"/>
      <c r="X610" s="164"/>
      <c r="Y610" s="164"/>
      <c r="Z610" s="164"/>
      <c r="AA610" s="164"/>
      <c r="AB610" s="164"/>
      <c r="AC610" s="164"/>
      <c r="AD610" s="164"/>
      <c r="AE610" s="167"/>
      <c r="AF610" s="168"/>
    </row>
    <row r="611" spans="1:32" ht="15" x14ac:dyDescent="0.25">
      <c r="A611" s="184"/>
      <c r="B611" s="164"/>
      <c r="C611" s="164"/>
      <c r="D611" s="165"/>
      <c r="E611" s="165"/>
      <c r="F611" s="164"/>
      <c r="G611" s="164"/>
      <c r="H611" s="164"/>
      <c r="I611" s="164"/>
      <c r="J611" s="164"/>
      <c r="K611" s="164"/>
      <c r="L611" s="164"/>
      <c r="M611" s="164"/>
      <c r="N611" s="164"/>
      <c r="O611" s="165"/>
      <c r="P611" s="166"/>
      <c r="Q611" s="164"/>
      <c r="R611" s="164"/>
      <c r="S611" s="164"/>
      <c r="T611" s="164"/>
      <c r="U611" s="164"/>
      <c r="V611" s="164"/>
      <c r="W611" s="164"/>
      <c r="X611" s="164"/>
      <c r="Y611" s="164"/>
      <c r="Z611" s="164"/>
      <c r="AA611" s="164"/>
      <c r="AB611" s="164"/>
      <c r="AC611" s="164"/>
      <c r="AD611" s="164"/>
      <c r="AE611" s="167"/>
      <c r="AF611" s="168"/>
    </row>
    <row r="612" spans="1:32" ht="15" x14ac:dyDescent="0.25">
      <c r="A612" s="184"/>
      <c r="B612" s="164"/>
      <c r="C612" s="164"/>
      <c r="D612" s="165"/>
      <c r="E612" s="165"/>
      <c r="F612" s="164"/>
      <c r="G612" s="164"/>
      <c r="H612" s="164"/>
      <c r="I612" s="164"/>
      <c r="J612" s="164"/>
      <c r="K612" s="164"/>
      <c r="L612" s="164"/>
      <c r="M612" s="164"/>
      <c r="N612" s="164"/>
      <c r="O612" s="165"/>
      <c r="P612" s="166"/>
      <c r="Q612" s="164"/>
      <c r="R612" s="164"/>
      <c r="S612" s="164"/>
      <c r="T612" s="164"/>
      <c r="U612" s="164"/>
      <c r="V612" s="164"/>
      <c r="W612" s="164"/>
      <c r="X612" s="164"/>
      <c r="Y612" s="164"/>
      <c r="Z612" s="164"/>
      <c r="AA612" s="164"/>
      <c r="AB612" s="164"/>
      <c r="AC612" s="164"/>
      <c r="AD612" s="164"/>
      <c r="AE612" s="167"/>
      <c r="AF612" s="168"/>
    </row>
    <row r="613" spans="1:32" ht="15" x14ac:dyDescent="0.25">
      <c r="A613" s="184"/>
      <c r="B613" s="164"/>
      <c r="C613" s="164"/>
      <c r="D613" s="165"/>
      <c r="E613" s="165"/>
      <c r="F613" s="164"/>
      <c r="G613" s="164"/>
      <c r="H613" s="164"/>
      <c r="I613" s="164"/>
      <c r="J613" s="164"/>
      <c r="K613" s="164"/>
      <c r="L613" s="164"/>
      <c r="M613" s="164"/>
      <c r="N613" s="164"/>
      <c r="O613" s="165"/>
      <c r="P613" s="166"/>
      <c r="Q613" s="164"/>
      <c r="R613" s="164"/>
      <c r="S613" s="164"/>
      <c r="T613" s="164"/>
      <c r="U613" s="164"/>
      <c r="V613" s="164"/>
      <c r="W613" s="164"/>
      <c r="X613" s="164"/>
      <c r="Y613" s="164"/>
      <c r="Z613" s="164"/>
      <c r="AA613" s="164"/>
      <c r="AB613" s="164"/>
      <c r="AC613" s="164"/>
      <c r="AD613" s="164"/>
      <c r="AE613" s="167"/>
      <c r="AF613" s="168"/>
    </row>
    <row r="614" spans="1:32" ht="15" x14ac:dyDescent="0.25">
      <c r="A614" s="184"/>
      <c r="B614" s="164"/>
      <c r="C614" s="164"/>
      <c r="D614" s="165"/>
      <c r="E614" s="165"/>
      <c r="F614" s="164"/>
      <c r="G614" s="164"/>
      <c r="H614" s="164"/>
      <c r="I614" s="164"/>
      <c r="J614" s="164"/>
      <c r="K614" s="164"/>
      <c r="L614" s="164"/>
      <c r="M614" s="164"/>
      <c r="N614" s="164"/>
      <c r="O614" s="165"/>
      <c r="P614" s="166"/>
      <c r="Q614" s="164"/>
      <c r="R614" s="164"/>
      <c r="S614" s="164"/>
      <c r="T614" s="164"/>
      <c r="U614" s="164"/>
      <c r="V614" s="164"/>
      <c r="W614" s="164"/>
      <c r="X614" s="164"/>
      <c r="Y614" s="164"/>
      <c r="Z614" s="164"/>
      <c r="AA614" s="164"/>
      <c r="AB614" s="164"/>
      <c r="AC614" s="164"/>
      <c r="AD614" s="164"/>
      <c r="AE614" s="167"/>
      <c r="AF614" s="168"/>
    </row>
    <row r="615" spans="1:32" ht="15" x14ac:dyDescent="0.25">
      <c r="A615" s="184"/>
      <c r="B615" s="164"/>
      <c r="C615" s="164"/>
      <c r="D615" s="165"/>
      <c r="E615" s="165"/>
      <c r="F615" s="164"/>
      <c r="G615" s="164"/>
      <c r="H615" s="164"/>
      <c r="I615" s="164"/>
      <c r="J615" s="164"/>
      <c r="K615" s="164"/>
      <c r="L615" s="164"/>
      <c r="M615" s="164"/>
      <c r="N615" s="164"/>
      <c r="O615" s="165"/>
      <c r="P615" s="166"/>
      <c r="Q615" s="164"/>
      <c r="R615" s="164"/>
      <c r="S615" s="164"/>
      <c r="T615" s="164"/>
      <c r="U615" s="164"/>
      <c r="V615" s="164"/>
      <c r="W615" s="164"/>
      <c r="X615" s="164"/>
      <c r="Y615" s="164"/>
      <c r="Z615" s="164"/>
      <c r="AA615" s="164"/>
      <c r="AB615" s="164"/>
      <c r="AC615" s="164"/>
      <c r="AD615" s="164"/>
      <c r="AE615" s="167"/>
      <c r="AF615" s="168"/>
    </row>
    <row r="616" spans="1:32" ht="15" x14ac:dyDescent="0.25">
      <c r="A616" s="184"/>
      <c r="B616" s="164"/>
      <c r="C616" s="164"/>
      <c r="D616" s="165"/>
      <c r="E616" s="165"/>
      <c r="F616" s="164"/>
      <c r="G616" s="164"/>
      <c r="H616" s="164"/>
      <c r="I616" s="164"/>
      <c r="J616" s="164"/>
      <c r="K616" s="164"/>
      <c r="L616" s="164"/>
      <c r="M616" s="164"/>
      <c r="N616" s="164"/>
      <c r="O616" s="165"/>
      <c r="P616" s="166"/>
      <c r="Q616" s="164"/>
      <c r="R616" s="164"/>
      <c r="S616" s="164"/>
      <c r="T616" s="164"/>
      <c r="U616" s="164"/>
      <c r="V616" s="164"/>
      <c r="W616" s="164"/>
      <c r="X616" s="164"/>
      <c r="Y616" s="164"/>
      <c r="Z616" s="164"/>
      <c r="AA616" s="164"/>
      <c r="AB616" s="164"/>
      <c r="AC616" s="164"/>
      <c r="AD616" s="164"/>
      <c r="AE616" s="167"/>
      <c r="AF616" s="168"/>
    </row>
    <row r="617" spans="1:32" ht="15" x14ac:dyDescent="0.25">
      <c r="A617" s="184"/>
      <c r="B617" s="164"/>
      <c r="C617" s="164"/>
      <c r="D617" s="165"/>
      <c r="E617" s="165"/>
      <c r="F617" s="164"/>
      <c r="G617" s="164"/>
      <c r="H617" s="164"/>
      <c r="I617" s="164"/>
      <c r="J617" s="164"/>
      <c r="K617" s="164"/>
      <c r="L617" s="164"/>
      <c r="M617" s="164"/>
      <c r="N617" s="164"/>
      <c r="O617" s="165"/>
      <c r="P617" s="166"/>
      <c r="Q617" s="164"/>
      <c r="R617" s="164"/>
      <c r="S617" s="164"/>
      <c r="T617" s="164"/>
      <c r="U617" s="164"/>
      <c r="V617" s="164"/>
      <c r="W617" s="164"/>
      <c r="X617" s="164"/>
      <c r="Y617" s="164"/>
      <c r="Z617" s="164"/>
      <c r="AA617" s="164"/>
      <c r="AB617" s="164"/>
      <c r="AC617" s="164"/>
      <c r="AD617" s="164"/>
      <c r="AE617" s="167"/>
      <c r="AF617" s="168"/>
    </row>
    <row r="618" spans="1:32" ht="15" x14ac:dyDescent="0.25">
      <c r="A618" s="184"/>
      <c r="B618" s="164"/>
      <c r="C618" s="164"/>
      <c r="D618" s="165"/>
      <c r="E618" s="165"/>
      <c r="F618" s="164"/>
      <c r="G618" s="164"/>
      <c r="H618" s="164"/>
      <c r="I618" s="164"/>
      <c r="J618" s="164"/>
      <c r="K618" s="164"/>
      <c r="L618" s="164"/>
      <c r="M618" s="164"/>
      <c r="N618" s="164"/>
      <c r="O618" s="165"/>
      <c r="P618" s="166"/>
      <c r="Q618" s="164"/>
      <c r="R618" s="164"/>
      <c r="S618" s="164"/>
      <c r="T618" s="164"/>
      <c r="U618" s="164"/>
      <c r="V618" s="164"/>
      <c r="W618" s="164"/>
      <c r="X618" s="164"/>
      <c r="Y618" s="164"/>
      <c r="Z618" s="164"/>
      <c r="AA618" s="164"/>
      <c r="AB618" s="164"/>
      <c r="AC618" s="164"/>
      <c r="AD618" s="164"/>
      <c r="AE618" s="167"/>
      <c r="AF618" s="168"/>
    </row>
    <row r="619" spans="1:32" ht="15" x14ac:dyDescent="0.25">
      <c r="A619" s="184"/>
      <c r="B619" s="164"/>
      <c r="C619" s="164"/>
      <c r="D619" s="165"/>
      <c r="E619" s="165"/>
      <c r="F619" s="164"/>
      <c r="G619" s="164"/>
      <c r="H619" s="164"/>
      <c r="I619" s="164"/>
      <c r="J619" s="164"/>
      <c r="K619" s="164"/>
      <c r="L619" s="164"/>
      <c r="M619" s="164"/>
      <c r="N619" s="164"/>
      <c r="O619" s="165"/>
      <c r="P619" s="166"/>
      <c r="Q619" s="164"/>
      <c r="R619" s="164"/>
      <c r="S619" s="164"/>
      <c r="T619" s="164"/>
      <c r="U619" s="164"/>
      <c r="V619" s="164"/>
      <c r="W619" s="164"/>
      <c r="X619" s="164"/>
      <c r="Y619" s="164"/>
      <c r="Z619" s="164"/>
      <c r="AA619" s="164"/>
      <c r="AB619" s="164"/>
      <c r="AC619" s="164"/>
      <c r="AD619" s="164"/>
      <c r="AE619" s="167"/>
      <c r="AF619" s="168"/>
    </row>
    <row r="620" spans="1:32" ht="15" x14ac:dyDescent="0.25">
      <c r="A620" s="184"/>
      <c r="B620" s="164"/>
      <c r="C620" s="164"/>
      <c r="D620" s="165"/>
      <c r="E620" s="165"/>
      <c r="F620" s="164"/>
      <c r="G620" s="164"/>
      <c r="H620" s="164"/>
      <c r="I620" s="164"/>
      <c r="J620" s="164"/>
      <c r="K620" s="164"/>
      <c r="L620" s="164"/>
      <c r="M620" s="164"/>
      <c r="N620" s="164"/>
      <c r="O620" s="165"/>
      <c r="P620" s="166"/>
      <c r="Q620" s="164"/>
      <c r="R620" s="164"/>
      <c r="S620" s="164"/>
      <c r="T620" s="164"/>
      <c r="U620" s="164"/>
      <c r="V620" s="169"/>
      <c r="W620" s="165"/>
      <c r="X620" s="164"/>
      <c r="Y620" s="164"/>
      <c r="Z620" s="164"/>
      <c r="AA620" s="164"/>
      <c r="AB620" s="164"/>
      <c r="AC620" s="164"/>
      <c r="AD620" s="164"/>
      <c r="AE620" s="167"/>
      <c r="AF620" s="168"/>
    </row>
    <row r="621" spans="1:32" ht="15" x14ac:dyDescent="0.25">
      <c r="A621" s="184"/>
      <c r="B621" s="164"/>
      <c r="C621" s="164"/>
      <c r="D621" s="165"/>
      <c r="E621" s="165"/>
      <c r="F621" s="164"/>
      <c r="G621" s="164"/>
      <c r="H621" s="164"/>
      <c r="I621" s="164"/>
      <c r="J621" s="164"/>
      <c r="K621" s="164"/>
      <c r="L621" s="164"/>
      <c r="M621" s="164"/>
      <c r="N621" s="164"/>
      <c r="O621" s="165"/>
      <c r="P621" s="166"/>
      <c r="Q621" s="164"/>
      <c r="R621" s="164"/>
      <c r="S621" s="164"/>
      <c r="T621" s="164"/>
      <c r="U621" s="164"/>
      <c r="V621" s="164"/>
      <c r="W621" s="164"/>
      <c r="X621" s="164"/>
      <c r="Y621" s="164"/>
      <c r="Z621" s="164"/>
      <c r="AA621" s="164"/>
      <c r="AB621" s="164"/>
      <c r="AC621" s="164"/>
      <c r="AD621" s="164"/>
      <c r="AE621" s="167"/>
      <c r="AF621" s="168"/>
    </row>
    <row r="622" spans="1:32" ht="15" x14ac:dyDescent="0.25">
      <c r="A622" s="184"/>
      <c r="B622" s="164"/>
      <c r="C622" s="164"/>
      <c r="D622" s="165"/>
      <c r="E622" s="165"/>
      <c r="F622" s="164"/>
      <c r="G622" s="164"/>
      <c r="H622" s="164"/>
      <c r="I622" s="164"/>
      <c r="J622" s="164"/>
      <c r="K622" s="164"/>
      <c r="L622" s="164"/>
      <c r="M622" s="164"/>
      <c r="N622" s="164"/>
      <c r="O622" s="165"/>
      <c r="P622" s="166"/>
      <c r="Q622" s="164"/>
      <c r="R622" s="164"/>
      <c r="S622" s="164"/>
      <c r="T622" s="164"/>
      <c r="U622" s="164"/>
      <c r="V622" s="169"/>
      <c r="W622" s="165"/>
      <c r="X622" s="164"/>
      <c r="Y622" s="164"/>
      <c r="Z622" s="164"/>
      <c r="AA622" s="164"/>
      <c r="AB622" s="164"/>
      <c r="AC622" s="164"/>
      <c r="AD622" s="164"/>
      <c r="AE622" s="167"/>
      <c r="AF622" s="168"/>
    </row>
    <row r="623" spans="1:32" ht="15" x14ac:dyDescent="0.25">
      <c r="A623" s="184"/>
      <c r="B623" s="164"/>
      <c r="C623" s="164"/>
      <c r="D623" s="165"/>
      <c r="E623" s="165"/>
      <c r="F623" s="164"/>
      <c r="G623" s="164"/>
      <c r="H623" s="164"/>
      <c r="I623" s="164"/>
      <c r="J623" s="164"/>
      <c r="K623" s="164"/>
      <c r="L623" s="164"/>
      <c r="M623" s="164"/>
      <c r="N623" s="164"/>
      <c r="O623" s="165"/>
      <c r="P623" s="166"/>
      <c r="Q623" s="164"/>
      <c r="R623" s="164"/>
      <c r="S623" s="164"/>
      <c r="T623" s="164"/>
      <c r="U623" s="164"/>
      <c r="V623" s="164"/>
      <c r="W623" s="164"/>
      <c r="X623" s="164"/>
      <c r="Y623" s="164"/>
      <c r="Z623" s="164"/>
      <c r="AA623" s="164"/>
      <c r="AB623" s="164"/>
      <c r="AC623" s="164"/>
      <c r="AD623" s="164"/>
      <c r="AE623" s="167"/>
      <c r="AF623" s="168"/>
    </row>
    <row r="624" spans="1:32" ht="15" x14ac:dyDescent="0.25">
      <c r="A624" s="184"/>
      <c r="B624" s="164"/>
      <c r="C624" s="164"/>
      <c r="D624" s="165"/>
      <c r="E624" s="165"/>
      <c r="F624" s="164"/>
      <c r="G624" s="164"/>
      <c r="H624" s="164"/>
      <c r="I624" s="164"/>
      <c r="J624" s="164"/>
      <c r="K624" s="164"/>
      <c r="L624" s="164"/>
      <c r="M624" s="164"/>
      <c r="N624" s="164"/>
      <c r="O624" s="165"/>
      <c r="P624" s="166"/>
      <c r="Q624" s="164"/>
      <c r="R624" s="164"/>
      <c r="S624" s="164"/>
      <c r="T624" s="164"/>
      <c r="U624" s="164"/>
      <c r="V624" s="164"/>
      <c r="W624" s="164"/>
      <c r="X624" s="164"/>
      <c r="Y624" s="164"/>
      <c r="Z624" s="164"/>
      <c r="AA624" s="164"/>
      <c r="AB624" s="164"/>
      <c r="AC624" s="164"/>
      <c r="AD624" s="164"/>
      <c r="AE624" s="167"/>
      <c r="AF624" s="168"/>
    </row>
    <row r="625" spans="1:33" ht="15" x14ac:dyDescent="0.25">
      <c r="A625" s="184"/>
      <c r="B625" s="164"/>
      <c r="C625" s="164"/>
      <c r="D625" s="165"/>
      <c r="E625" s="165"/>
      <c r="F625" s="164"/>
      <c r="G625" s="164"/>
      <c r="H625" s="164"/>
      <c r="I625" s="164"/>
      <c r="J625" s="164"/>
      <c r="K625" s="164"/>
      <c r="L625" s="164"/>
      <c r="M625" s="164"/>
      <c r="N625" s="164"/>
      <c r="O625" s="165"/>
      <c r="P625" s="166"/>
      <c r="Q625" s="164"/>
      <c r="R625" s="164"/>
      <c r="S625" s="164"/>
      <c r="T625" s="164"/>
      <c r="U625" s="164"/>
      <c r="V625" s="164"/>
      <c r="W625" s="164"/>
      <c r="X625" s="164"/>
      <c r="Y625" s="164"/>
      <c r="Z625" s="164"/>
      <c r="AA625" s="164"/>
      <c r="AB625" s="164"/>
      <c r="AC625" s="164"/>
      <c r="AD625" s="164"/>
      <c r="AE625" s="167"/>
      <c r="AF625" s="168"/>
    </row>
    <row r="626" spans="1:33" ht="15" x14ac:dyDescent="0.25">
      <c r="A626" s="184"/>
      <c r="B626" s="164"/>
      <c r="C626" s="164"/>
      <c r="D626" s="165"/>
      <c r="E626" s="165"/>
      <c r="F626" s="164"/>
      <c r="G626" s="164"/>
      <c r="H626" s="164"/>
      <c r="I626" s="164"/>
      <c r="J626" s="164"/>
      <c r="K626" s="164"/>
      <c r="L626" s="164"/>
      <c r="M626" s="164"/>
      <c r="N626" s="164"/>
      <c r="O626" s="165"/>
      <c r="P626" s="166"/>
      <c r="Q626" s="164"/>
      <c r="R626" s="164"/>
      <c r="S626" s="164"/>
      <c r="T626" s="164"/>
      <c r="U626" s="164"/>
      <c r="V626" s="164"/>
      <c r="W626" s="164"/>
      <c r="X626" s="164"/>
      <c r="Y626" s="164"/>
      <c r="Z626" s="164"/>
      <c r="AA626" s="164"/>
      <c r="AB626" s="164"/>
      <c r="AC626" s="164"/>
      <c r="AD626" s="164"/>
      <c r="AE626" s="167"/>
      <c r="AF626" s="168"/>
    </row>
    <row r="627" spans="1:33" ht="15" x14ac:dyDescent="0.25">
      <c r="A627" s="184"/>
      <c r="B627" s="164"/>
      <c r="C627" s="164"/>
      <c r="D627" s="165"/>
      <c r="E627" s="165"/>
      <c r="F627" s="164"/>
      <c r="G627" s="164"/>
      <c r="H627" s="164"/>
      <c r="I627" s="164"/>
      <c r="J627" s="164"/>
      <c r="K627" s="164"/>
      <c r="L627" s="164"/>
      <c r="M627" s="164"/>
      <c r="N627" s="164"/>
      <c r="O627" s="165"/>
      <c r="P627" s="166"/>
      <c r="Q627" s="164"/>
      <c r="R627" s="164"/>
      <c r="S627" s="164"/>
      <c r="T627" s="164"/>
      <c r="U627" s="164"/>
      <c r="V627" s="164"/>
      <c r="W627" s="164"/>
      <c r="X627" s="164"/>
      <c r="Y627" s="164"/>
      <c r="Z627" s="164"/>
      <c r="AA627" s="164"/>
      <c r="AB627" s="164"/>
      <c r="AC627" s="164"/>
      <c r="AD627" s="164"/>
      <c r="AE627" s="167"/>
      <c r="AF627" s="168"/>
    </row>
    <row r="628" spans="1:33" ht="15" x14ac:dyDescent="0.25">
      <c r="A628" s="184"/>
      <c r="B628" s="164"/>
      <c r="C628" s="164"/>
      <c r="D628" s="165"/>
      <c r="E628" s="165"/>
      <c r="F628" s="164"/>
      <c r="G628" s="164"/>
      <c r="H628" s="164"/>
      <c r="I628" s="164"/>
      <c r="J628" s="164"/>
      <c r="K628" s="164"/>
      <c r="L628" s="164"/>
      <c r="M628" s="164"/>
      <c r="N628" s="164"/>
      <c r="O628" s="165"/>
      <c r="P628" s="166"/>
      <c r="Q628" s="164"/>
      <c r="R628" s="164"/>
      <c r="S628" s="164"/>
      <c r="T628" s="164"/>
      <c r="U628" s="164"/>
      <c r="V628" s="164"/>
      <c r="W628" s="164"/>
      <c r="X628" s="164"/>
      <c r="Y628" s="164"/>
      <c r="Z628" s="164"/>
      <c r="AA628" s="164"/>
      <c r="AB628" s="164"/>
      <c r="AC628" s="164"/>
      <c r="AD628" s="164"/>
      <c r="AE628" s="167"/>
      <c r="AF628" s="168"/>
    </row>
    <row r="629" spans="1:33" ht="15" x14ac:dyDescent="0.25">
      <c r="A629" s="184"/>
      <c r="B629" s="164"/>
      <c r="C629" s="164"/>
      <c r="D629" s="165"/>
      <c r="E629" s="165"/>
      <c r="F629" s="164"/>
      <c r="G629" s="164"/>
      <c r="H629" s="164"/>
      <c r="I629" s="164"/>
      <c r="J629" s="164"/>
      <c r="K629" s="164"/>
      <c r="L629" s="164"/>
      <c r="M629" s="164"/>
      <c r="N629" s="164"/>
      <c r="O629" s="165"/>
      <c r="P629" s="166"/>
      <c r="Q629" s="164"/>
      <c r="R629" s="164"/>
      <c r="S629" s="164"/>
      <c r="T629" s="164"/>
      <c r="U629" s="164"/>
      <c r="V629" s="164"/>
      <c r="W629" s="164"/>
      <c r="X629" s="164"/>
      <c r="Y629" s="164"/>
      <c r="Z629" s="164"/>
      <c r="AA629" s="164"/>
      <c r="AB629" s="164"/>
      <c r="AC629" s="164"/>
      <c r="AD629" s="164"/>
      <c r="AE629" s="167"/>
      <c r="AF629" s="168"/>
    </row>
    <row r="630" spans="1:33" ht="15" x14ac:dyDescent="0.25">
      <c r="A630" s="184"/>
      <c r="B630" s="164"/>
      <c r="C630" s="164"/>
      <c r="D630" s="165"/>
      <c r="E630" s="165"/>
      <c r="F630" s="164"/>
      <c r="G630" s="164"/>
      <c r="H630" s="164"/>
      <c r="I630" s="164"/>
      <c r="J630" s="164"/>
      <c r="K630" s="164"/>
      <c r="L630" s="164"/>
      <c r="M630" s="164"/>
      <c r="N630" s="164"/>
      <c r="O630" s="165"/>
      <c r="P630" s="166"/>
      <c r="Q630" s="164"/>
      <c r="R630" s="164"/>
      <c r="S630" s="164"/>
      <c r="T630" s="164"/>
      <c r="U630" s="164"/>
      <c r="V630" s="164"/>
      <c r="W630" s="164"/>
      <c r="X630" s="164"/>
      <c r="Y630" s="164"/>
      <c r="Z630" s="164"/>
      <c r="AA630" s="164"/>
      <c r="AB630" s="164"/>
      <c r="AC630" s="164"/>
      <c r="AD630" s="164"/>
      <c r="AE630" s="167"/>
      <c r="AF630" s="168"/>
    </row>
    <row r="631" spans="1:33" ht="15" x14ac:dyDescent="0.25">
      <c r="A631" s="184"/>
      <c r="B631" s="164"/>
      <c r="C631" s="164"/>
      <c r="D631" s="165"/>
      <c r="E631" s="165"/>
      <c r="F631" s="164"/>
      <c r="G631" s="164"/>
      <c r="H631" s="164"/>
      <c r="I631" s="164"/>
      <c r="J631" s="164"/>
      <c r="K631" s="164"/>
      <c r="L631" s="164"/>
      <c r="M631" s="164"/>
      <c r="N631" s="164"/>
      <c r="O631" s="165"/>
      <c r="P631" s="166"/>
      <c r="Q631" s="164"/>
      <c r="R631" s="164"/>
      <c r="S631" s="164"/>
      <c r="T631" s="164"/>
      <c r="U631" s="164"/>
      <c r="V631" s="164"/>
      <c r="W631" s="164"/>
      <c r="X631" s="164"/>
      <c r="Y631" s="164"/>
      <c r="Z631" s="164"/>
      <c r="AA631" s="164"/>
      <c r="AB631" s="164"/>
      <c r="AC631" s="164"/>
      <c r="AD631" s="164"/>
      <c r="AE631" s="167"/>
      <c r="AF631" s="168"/>
    </row>
    <row r="632" spans="1:33" ht="15" x14ac:dyDescent="0.25">
      <c r="A632" s="184"/>
      <c r="B632" s="164"/>
      <c r="C632" s="164"/>
      <c r="D632" s="165"/>
      <c r="E632" s="165"/>
      <c r="F632" s="164"/>
      <c r="G632" s="164"/>
      <c r="H632" s="164"/>
      <c r="I632" s="164"/>
      <c r="J632" s="164"/>
      <c r="K632" s="164"/>
      <c r="L632" s="164"/>
      <c r="M632" s="164"/>
      <c r="N632" s="164"/>
      <c r="O632" s="165"/>
      <c r="P632" s="166"/>
      <c r="Q632" s="164"/>
      <c r="R632" s="164"/>
      <c r="S632" s="164"/>
      <c r="T632" s="164"/>
      <c r="U632" s="164"/>
      <c r="V632" s="164"/>
      <c r="W632" s="164"/>
      <c r="X632" s="164"/>
      <c r="Y632" s="164"/>
      <c r="Z632" s="164"/>
      <c r="AA632" s="164"/>
      <c r="AB632" s="164"/>
      <c r="AC632" s="164"/>
      <c r="AD632" s="164"/>
      <c r="AE632" s="167"/>
      <c r="AF632" s="168"/>
    </row>
    <row r="633" spans="1:33" ht="15" x14ac:dyDescent="0.25">
      <c r="A633" s="184"/>
      <c r="B633" s="164"/>
      <c r="C633" s="164"/>
      <c r="D633" s="165"/>
      <c r="E633" s="165"/>
      <c r="F633" s="164"/>
      <c r="G633" s="164"/>
      <c r="H633" s="164"/>
      <c r="I633" s="164"/>
      <c r="J633" s="164"/>
      <c r="K633" s="164"/>
      <c r="L633" s="164"/>
      <c r="M633" s="164"/>
      <c r="N633" s="164"/>
      <c r="O633" s="165"/>
      <c r="P633" s="166"/>
      <c r="Q633" s="164"/>
      <c r="R633" s="164"/>
      <c r="S633" s="164"/>
      <c r="T633" s="164"/>
      <c r="U633" s="164"/>
      <c r="V633" s="164"/>
      <c r="W633" s="164"/>
      <c r="X633" s="164"/>
      <c r="Y633" s="164"/>
      <c r="Z633" s="164"/>
      <c r="AA633" s="164"/>
      <c r="AB633" s="164"/>
      <c r="AC633" s="164"/>
      <c r="AD633" s="164"/>
      <c r="AE633" s="167"/>
      <c r="AF633" s="168"/>
    </row>
    <row r="634" spans="1:33" ht="15" x14ac:dyDescent="0.25">
      <c r="A634" s="184"/>
      <c r="B634" s="164"/>
      <c r="C634" s="164"/>
      <c r="D634" s="165"/>
      <c r="E634" s="165"/>
      <c r="F634" s="164"/>
      <c r="G634" s="164"/>
      <c r="H634" s="164"/>
      <c r="I634" s="164"/>
      <c r="J634" s="164"/>
      <c r="K634" s="164"/>
      <c r="L634" s="164"/>
      <c r="M634" s="164"/>
      <c r="N634" s="164"/>
      <c r="O634" s="165"/>
      <c r="P634" s="166"/>
      <c r="Q634" s="164"/>
      <c r="R634" s="164"/>
      <c r="S634" s="164"/>
      <c r="T634" s="164"/>
      <c r="U634" s="164"/>
      <c r="V634" s="169"/>
      <c r="W634" s="165"/>
      <c r="X634" s="164"/>
      <c r="Y634" s="164"/>
      <c r="Z634" s="164"/>
      <c r="AA634" s="164"/>
      <c r="AB634" s="164"/>
      <c r="AC634" s="164"/>
      <c r="AD634" s="164"/>
      <c r="AE634" s="167"/>
      <c r="AF634" s="168"/>
      <c r="AG634" s="142"/>
    </row>
    <row r="635" spans="1:33" ht="15" x14ac:dyDescent="0.25">
      <c r="A635" s="184"/>
      <c r="B635" s="164"/>
      <c r="C635" s="164"/>
      <c r="D635" s="165"/>
      <c r="E635" s="165"/>
      <c r="F635" s="164"/>
      <c r="G635" s="164"/>
      <c r="H635" s="164"/>
      <c r="I635" s="164"/>
      <c r="J635" s="164"/>
      <c r="K635" s="164"/>
      <c r="L635" s="164"/>
      <c r="M635" s="164"/>
      <c r="N635" s="164"/>
      <c r="O635" s="165"/>
      <c r="P635" s="166"/>
      <c r="Q635" s="164"/>
      <c r="R635" s="164"/>
      <c r="S635" s="164"/>
      <c r="T635" s="164"/>
      <c r="U635" s="164"/>
      <c r="V635" s="164"/>
      <c r="W635" s="164"/>
      <c r="X635" s="164"/>
      <c r="Y635" s="164"/>
      <c r="Z635" s="164"/>
      <c r="AA635" s="164"/>
      <c r="AB635" s="164"/>
      <c r="AC635" s="164"/>
      <c r="AD635" s="164"/>
      <c r="AE635" s="167"/>
      <c r="AF635" s="168"/>
    </row>
    <row r="636" spans="1:33" ht="15" x14ac:dyDescent="0.25">
      <c r="A636" s="184"/>
      <c r="B636" s="164"/>
      <c r="C636" s="164"/>
      <c r="D636" s="165"/>
      <c r="E636" s="165"/>
      <c r="F636" s="164"/>
      <c r="G636" s="164"/>
      <c r="H636" s="164"/>
      <c r="I636" s="164"/>
      <c r="J636" s="164"/>
      <c r="K636" s="164"/>
      <c r="L636" s="164"/>
      <c r="M636" s="164"/>
      <c r="N636" s="164"/>
      <c r="O636" s="165"/>
      <c r="P636" s="166"/>
      <c r="Q636" s="164"/>
      <c r="R636" s="164"/>
      <c r="S636" s="164"/>
      <c r="T636" s="164"/>
      <c r="U636" s="164"/>
      <c r="V636" s="164"/>
      <c r="W636" s="164"/>
      <c r="X636" s="164"/>
      <c r="Y636" s="164"/>
      <c r="Z636" s="164"/>
      <c r="AA636" s="164"/>
      <c r="AB636" s="164"/>
      <c r="AC636" s="164"/>
      <c r="AD636" s="164"/>
      <c r="AE636" s="167"/>
      <c r="AF636" s="168"/>
    </row>
    <row r="637" spans="1:33" ht="15" x14ac:dyDescent="0.25">
      <c r="A637" s="184"/>
      <c r="B637" s="164"/>
      <c r="C637" s="164"/>
      <c r="D637" s="165"/>
      <c r="E637" s="165"/>
      <c r="F637" s="164"/>
      <c r="G637" s="164"/>
      <c r="H637" s="164"/>
      <c r="I637" s="164"/>
      <c r="J637" s="164"/>
      <c r="K637" s="164"/>
      <c r="L637" s="164"/>
      <c r="M637" s="164"/>
      <c r="N637" s="164"/>
      <c r="O637" s="165"/>
      <c r="P637" s="166"/>
      <c r="Q637" s="164"/>
      <c r="R637" s="164"/>
      <c r="S637" s="164"/>
      <c r="T637" s="164"/>
      <c r="U637" s="164"/>
      <c r="V637" s="164"/>
      <c r="W637" s="164"/>
      <c r="X637" s="164"/>
      <c r="Y637" s="164"/>
      <c r="Z637" s="164"/>
      <c r="AA637" s="164"/>
      <c r="AB637" s="164"/>
      <c r="AC637" s="164"/>
      <c r="AD637" s="164"/>
      <c r="AE637" s="167"/>
      <c r="AF637" s="168"/>
    </row>
    <row r="638" spans="1:33" ht="15" x14ac:dyDescent="0.25">
      <c r="A638" s="184"/>
      <c r="B638" s="164"/>
      <c r="C638" s="164"/>
      <c r="D638" s="165"/>
      <c r="E638" s="165"/>
      <c r="F638" s="164"/>
      <c r="G638" s="164"/>
      <c r="H638" s="164"/>
      <c r="I638" s="164"/>
      <c r="J638" s="164"/>
      <c r="K638" s="164"/>
      <c r="L638" s="164"/>
      <c r="M638" s="164"/>
      <c r="N638" s="164"/>
      <c r="O638" s="165"/>
      <c r="P638" s="166"/>
      <c r="Q638" s="164"/>
      <c r="R638" s="164"/>
      <c r="S638" s="164"/>
      <c r="T638" s="164"/>
      <c r="U638" s="164"/>
      <c r="V638" s="164"/>
      <c r="W638" s="164"/>
      <c r="X638" s="164"/>
      <c r="Y638" s="164"/>
      <c r="Z638" s="164"/>
      <c r="AA638" s="164"/>
      <c r="AB638" s="164"/>
      <c r="AC638" s="164"/>
      <c r="AD638" s="164"/>
      <c r="AE638" s="167"/>
      <c r="AF638" s="168"/>
    </row>
    <row r="639" spans="1:33" ht="15" x14ac:dyDescent="0.25">
      <c r="A639" s="184"/>
      <c r="B639" s="164"/>
      <c r="C639" s="164"/>
      <c r="D639" s="165"/>
      <c r="E639" s="165"/>
      <c r="F639" s="164"/>
      <c r="G639" s="164"/>
      <c r="H639" s="164"/>
      <c r="I639" s="164"/>
      <c r="J639" s="164"/>
      <c r="K639" s="164"/>
      <c r="L639" s="164"/>
      <c r="M639" s="164"/>
      <c r="N639" s="164"/>
      <c r="O639" s="165"/>
      <c r="P639" s="166"/>
      <c r="Q639" s="164"/>
      <c r="R639" s="164"/>
      <c r="S639" s="164"/>
      <c r="T639" s="164"/>
      <c r="U639" s="164"/>
      <c r="V639" s="164"/>
      <c r="W639" s="164"/>
      <c r="X639" s="164"/>
      <c r="Y639" s="164"/>
      <c r="Z639" s="164"/>
      <c r="AA639" s="164"/>
      <c r="AB639" s="164"/>
      <c r="AC639" s="164"/>
      <c r="AD639" s="164"/>
      <c r="AE639" s="167"/>
      <c r="AF639" s="168"/>
    </row>
    <row r="640" spans="1:33" ht="15" x14ac:dyDescent="0.25">
      <c r="A640" s="184"/>
      <c r="B640" s="164"/>
      <c r="C640" s="164"/>
      <c r="D640" s="165"/>
      <c r="E640" s="165"/>
      <c r="F640" s="164"/>
      <c r="G640" s="164"/>
      <c r="H640" s="164"/>
      <c r="I640" s="164"/>
      <c r="J640" s="164"/>
      <c r="K640" s="164"/>
      <c r="L640" s="164"/>
      <c r="M640" s="164"/>
      <c r="N640" s="164"/>
      <c r="O640" s="165"/>
      <c r="P640" s="166"/>
      <c r="Q640" s="164"/>
      <c r="R640" s="164"/>
      <c r="S640" s="164"/>
      <c r="T640" s="164"/>
      <c r="U640" s="164"/>
      <c r="V640" s="164"/>
      <c r="W640" s="164"/>
      <c r="X640" s="164"/>
      <c r="Y640" s="164"/>
      <c r="Z640" s="164"/>
      <c r="AA640" s="164"/>
      <c r="AB640" s="164"/>
      <c r="AC640" s="164"/>
      <c r="AD640" s="164"/>
      <c r="AE640" s="167"/>
      <c r="AF640" s="168"/>
    </row>
    <row r="641" spans="1:32" ht="15" x14ac:dyDescent="0.25">
      <c r="A641" s="184"/>
      <c r="B641" s="164"/>
      <c r="C641" s="164"/>
      <c r="D641" s="165"/>
      <c r="E641" s="165"/>
      <c r="F641" s="164"/>
      <c r="G641" s="164"/>
      <c r="H641" s="164"/>
      <c r="I641" s="164"/>
      <c r="J641" s="164"/>
      <c r="K641" s="164"/>
      <c r="L641" s="164"/>
      <c r="M641" s="164"/>
      <c r="N641" s="164"/>
      <c r="O641" s="165"/>
      <c r="P641" s="166"/>
      <c r="Q641" s="164"/>
      <c r="R641" s="164"/>
      <c r="S641" s="164"/>
      <c r="T641" s="164"/>
      <c r="U641" s="164"/>
      <c r="V641" s="164"/>
      <c r="W641" s="164"/>
      <c r="X641" s="164"/>
      <c r="Y641" s="164"/>
      <c r="Z641" s="164"/>
      <c r="AA641" s="164"/>
      <c r="AB641" s="164"/>
      <c r="AC641" s="164"/>
      <c r="AD641" s="164"/>
      <c r="AE641" s="167"/>
      <c r="AF641" s="168"/>
    </row>
    <row r="642" spans="1:32" ht="15" x14ac:dyDescent="0.25">
      <c r="A642" s="184"/>
      <c r="B642" s="164"/>
      <c r="C642" s="164"/>
      <c r="D642" s="165"/>
      <c r="E642" s="165"/>
      <c r="F642" s="164"/>
      <c r="G642" s="164"/>
      <c r="H642" s="164"/>
      <c r="I642" s="164"/>
      <c r="J642" s="164"/>
      <c r="K642" s="164"/>
      <c r="L642" s="164"/>
      <c r="M642" s="164"/>
      <c r="N642" s="164"/>
      <c r="O642" s="165"/>
      <c r="P642" s="166"/>
      <c r="Q642" s="164"/>
      <c r="R642" s="164"/>
      <c r="S642" s="164"/>
      <c r="T642" s="164"/>
      <c r="U642" s="164"/>
      <c r="V642" s="164"/>
      <c r="W642" s="164"/>
      <c r="X642" s="164"/>
      <c r="Y642" s="164"/>
      <c r="Z642" s="164"/>
      <c r="AA642" s="164"/>
      <c r="AB642" s="164"/>
      <c r="AC642" s="164"/>
      <c r="AD642" s="164"/>
      <c r="AE642" s="167"/>
      <c r="AF642" s="168"/>
    </row>
    <row r="643" spans="1:32" ht="15" x14ac:dyDescent="0.25">
      <c r="A643" s="184"/>
      <c r="B643" s="164"/>
      <c r="C643" s="164"/>
      <c r="D643" s="165"/>
      <c r="E643" s="165"/>
      <c r="F643" s="164"/>
      <c r="G643" s="164"/>
      <c r="H643" s="164"/>
      <c r="I643" s="164"/>
      <c r="J643" s="164"/>
      <c r="K643" s="164"/>
      <c r="L643" s="164"/>
      <c r="M643" s="164"/>
      <c r="N643" s="164"/>
      <c r="O643" s="165"/>
      <c r="P643" s="166"/>
      <c r="Q643" s="164"/>
      <c r="R643" s="164"/>
      <c r="S643" s="164"/>
      <c r="T643" s="164"/>
      <c r="U643" s="164"/>
      <c r="V643" s="164"/>
      <c r="W643" s="164"/>
      <c r="X643" s="164"/>
      <c r="Y643" s="164"/>
      <c r="Z643" s="164"/>
      <c r="AA643" s="164"/>
      <c r="AB643" s="164"/>
      <c r="AC643" s="164"/>
      <c r="AD643" s="164"/>
      <c r="AE643" s="167"/>
      <c r="AF643" s="168"/>
    </row>
    <row r="644" spans="1:32" ht="15" x14ac:dyDescent="0.25">
      <c r="A644" s="184"/>
      <c r="B644" s="164"/>
      <c r="C644" s="164"/>
      <c r="D644" s="165"/>
      <c r="E644" s="165"/>
      <c r="F644" s="164"/>
      <c r="G644" s="164"/>
      <c r="H644" s="164"/>
      <c r="I644" s="164"/>
      <c r="J644" s="164"/>
      <c r="K644" s="164"/>
      <c r="L644" s="164"/>
      <c r="M644" s="164"/>
      <c r="N644" s="164"/>
      <c r="O644" s="165"/>
      <c r="P644" s="166"/>
      <c r="Q644" s="164"/>
      <c r="R644" s="164"/>
      <c r="S644" s="164"/>
      <c r="T644" s="164"/>
      <c r="U644" s="164"/>
      <c r="V644" s="164"/>
      <c r="W644" s="164"/>
      <c r="X644" s="164"/>
      <c r="Y644" s="164"/>
      <c r="Z644" s="164"/>
      <c r="AA644" s="164"/>
      <c r="AB644" s="164"/>
      <c r="AC644" s="164"/>
      <c r="AD644" s="164"/>
      <c r="AE644" s="167"/>
      <c r="AF644" s="168"/>
    </row>
    <row r="645" spans="1:32" ht="15" x14ac:dyDescent="0.25">
      <c r="A645" s="184"/>
      <c r="B645" s="164"/>
      <c r="C645" s="164"/>
      <c r="D645" s="165"/>
      <c r="E645" s="165"/>
      <c r="F645" s="164"/>
      <c r="G645" s="164"/>
      <c r="H645" s="164"/>
      <c r="I645" s="164"/>
      <c r="J645" s="164"/>
      <c r="K645" s="164"/>
      <c r="L645" s="164"/>
      <c r="M645" s="164"/>
      <c r="N645" s="164"/>
      <c r="O645" s="165"/>
      <c r="P645" s="166"/>
      <c r="Q645" s="164"/>
      <c r="R645" s="164"/>
      <c r="S645" s="164"/>
      <c r="T645" s="164"/>
      <c r="U645" s="164"/>
      <c r="V645" s="164"/>
      <c r="W645" s="164"/>
      <c r="X645" s="164"/>
      <c r="Y645" s="164"/>
      <c r="Z645" s="164"/>
      <c r="AA645" s="164"/>
      <c r="AB645" s="164"/>
      <c r="AC645" s="164"/>
      <c r="AD645" s="164"/>
      <c r="AE645" s="167"/>
      <c r="AF645" s="168"/>
    </row>
    <row r="646" spans="1:32" ht="15" x14ac:dyDescent="0.25">
      <c r="A646" s="184"/>
      <c r="B646" s="164"/>
      <c r="C646" s="164"/>
      <c r="D646" s="165"/>
      <c r="E646" s="165"/>
      <c r="F646" s="164"/>
      <c r="G646" s="164"/>
      <c r="H646" s="164"/>
      <c r="I646" s="164"/>
      <c r="J646" s="164"/>
      <c r="K646" s="164"/>
      <c r="L646" s="164"/>
      <c r="M646" s="164"/>
      <c r="N646" s="164"/>
      <c r="O646" s="165"/>
      <c r="P646" s="166"/>
      <c r="Q646" s="164"/>
      <c r="R646" s="164"/>
      <c r="S646" s="164"/>
      <c r="T646" s="164"/>
      <c r="U646" s="164"/>
      <c r="V646" s="164"/>
      <c r="W646" s="164"/>
      <c r="X646" s="164"/>
      <c r="Y646" s="164"/>
      <c r="Z646" s="164"/>
      <c r="AA646" s="164"/>
      <c r="AB646" s="164"/>
      <c r="AC646" s="164"/>
      <c r="AD646" s="164"/>
      <c r="AE646" s="167"/>
      <c r="AF646" s="168"/>
    </row>
    <row r="647" spans="1:32" ht="15" x14ac:dyDescent="0.25">
      <c r="A647" s="184"/>
      <c r="B647" s="164"/>
      <c r="C647" s="164"/>
      <c r="D647" s="165"/>
      <c r="E647" s="165"/>
      <c r="F647" s="164"/>
      <c r="G647" s="164"/>
      <c r="H647" s="164"/>
      <c r="I647" s="164"/>
      <c r="J647" s="164"/>
      <c r="K647" s="164"/>
      <c r="L647" s="164"/>
      <c r="M647" s="164"/>
      <c r="N647" s="164"/>
      <c r="O647" s="165"/>
      <c r="P647" s="166"/>
      <c r="Q647" s="164"/>
      <c r="R647" s="164"/>
      <c r="S647" s="164"/>
      <c r="T647" s="164"/>
      <c r="U647" s="164"/>
      <c r="V647" s="164"/>
      <c r="W647" s="164"/>
      <c r="X647" s="164"/>
      <c r="Y647" s="164"/>
      <c r="Z647" s="164"/>
      <c r="AA647" s="164"/>
      <c r="AB647" s="164"/>
      <c r="AC647" s="164"/>
      <c r="AD647" s="164"/>
      <c r="AE647" s="167"/>
      <c r="AF647" s="168"/>
    </row>
    <row r="648" spans="1:32" ht="15" x14ac:dyDescent="0.25">
      <c r="A648" s="184"/>
      <c r="B648" s="164"/>
      <c r="C648" s="164"/>
      <c r="D648" s="165"/>
      <c r="E648" s="165"/>
      <c r="F648" s="164"/>
      <c r="G648" s="164"/>
      <c r="H648" s="164"/>
      <c r="I648" s="164"/>
      <c r="J648" s="164"/>
      <c r="K648" s="164"/>
      <c r="L648" s="164"/>
      <c r="M648" s="164"/>
      <c r="N648" s="164"/>
      <c r="O648" s="165"/>
      <c r="P648" s="166"/>
      <c r="Q648" s="164"/>
      <c r="R648" s="164"/>
      <c r="S648" s="164"/>
      <c r="T648" s="164"/>
      <c r="U648" s="164"/>
      <c r="V648" s="169"/>
      <c r="W648" s="165"/>
      <c r="X648" s="164"/>
      <c r="Y648" s="164"/>
      <c r="Z648" s="164"/>
      <c r="AA648" s="164"/>
      <c r="AB648" s="164"/>
      <c r="AC648" s="164"/>
      <c r="AD648" s="164"/>
      <c r="AE648" s="167"/>
      <c r="AF648" s="168"/>
    </row>
    <row r="649" spans="1:32" ht="15" x14ac:dyDescent="0.25">
      <c r="A649" s="184"/>
      <c r="B649" s="164"/>
      <c r="C649" s="164"/>
      <c r="D649" s="165"/>
      <c r="E649" s="165"/>
      <c r="F649" s="164"/>
      <c r="G649" s="164"/>
      <c r="H649" s="164"/>
      <c r="I649" s="164"/>
      <c r="J649" s="164"/>
      <c r="K649" s="164"/>
      <c r="L649" s="164"/>
      <c r="M649" s="164"/>
      <c r="N649" s="164"/>
      <c r="O649" s="165"/>
      <c r="P649" s="166"/>
      <c r="Q649" s="164"/>
      <c r="R649" s="164"/>
      <c r="S649" s="164"/>
      <c r="T649" s="164"/>
      <c r="U649" s="164"/>
      <c r="V649" s="169"/>
      <c r="W649" s="165"/>
      <c r="X649" s="164"/>
      <c r="Y649" s="164"/>
      <c r="Z649" s="164"/>
      <c r="AA649" s="164"/>
      <c r="AB649" s="164"/>
      <c r="AC649" s="164"/>
      <c r="AD649" s="164"/>
      <c r="AE649" s="167"/>
      <c r="AF649" s="168"/>
    </row>
    <row r="653" spans="1:32" x14ac:dyDescent="0.25">
      <c r="V653" s="145"/>
    </row>
  </sheetData>
  <autoFilter ref="A1:AG90" xr:uid="{2604C23F-3CD7-4736-9E2A-2745D8CEC65E}"/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8142-58EB-4A07-BF51-7E678FBBAFC0}">
  <dimension ref="A1:AI44"/>
  <sheetViews>
    <sheetView showGridLines="0" topLeftCell="W1" zoomScale="80" zoomScaleNormal="80" workbookViewId="0">
      <selection activeCell="AG40" sqref="AG40"/>
    </sheetView>
  </sheetViews>
  <sheetFormatPr baseColWidth="10" defaultRowHeight="15" x14ac:dyDescent="0.25"/>
  <cols>
    <col min="1" max="1" width="11.42578125" style="32"/>
    <col min="2" max="2" width="10.85546875" style="32" customWidth="1"/>
    <col min="3" max="3" width="12" style="32" customWidth="1"/>
    <col min="4" max="4" width="16.28515625" style="32" customWidth="1"/>
    <col min="5" max="5" width="11.5703125" style="32" customWidth="1"/>
    <col min="6" max="6" width="12.7109375" style="32" customWidth="1"/>
    <col min="7" max="8" width="9.140625" style="32" customWidth="1"/>
    <col min="9" max="11" width="11.42578125" style="32" customWidth="1"/>
    <col min="12" max="12" width="17.42578125" style="32" customWidth="1"/>
    <col min="13" max="13" width="4.5703125" style="32" customWidth="1"/>
    <col min="14" max="14" width="11.42578125" style="32" customWidth="1"/>
    <col min="15" max="15" width="17.5703125" style="32" customWidth="1"/>
    <col min="16" max="16" width="11.42578125" style="93"/>
    <col min="17" max="20" width="11.42578125" style="32" hidden="1" customWidth="1"/>
    <col min="21" max="21" width="13" style="94" customWidth="1"/>
    <col min="22" max="22" width="15" style="33" customWidth="1"/>
    <col min="23" max="23" width="23.140625" style="34" bestFit="1" customWidth="1"/>
    <col min="24" max="24" width="13" style="34" bestFit="1" customWidth="1"/>
    <col min="25" max="26" width="11.42578125" style="7"/>
    <col min="28" max="28" width="18.42578125" bestFit="1" customWidth="1"/>
    <col min="29" max="29" width="16.42578125" style="44" bestFit="1" customWidth="1"/>
    <col min="30" max="30" width="16.42578125" bestFit="1" customWidth="1"/>
    <col min="33" max="33" width="11.42578125" style="44"/>
  </cols>
  <sheetData>
    <row r="1" spans="1:35" s="7" customFormat="1" x14ac:dyDescent="0.25">
      <c r="A1" s="38" t="s">
        <v>30</v>
      </c>
      <c r="B1" s="39" t="s">
        <v>31</v>
      </c>
      <c r="C1" s="39" t="s">
        <v>32</v>
      </c>
      <c r="D1" s="39" t="s">
        <v>33</v>
      </c>
      <c r="E1" s="39" t="s">
        <v>34</v>
      </c>
      <c r="F1" s="39" t="s">
        <v>35</v>
      </c>
      <c r="G1" s="39" t="s">
        <v>36</v>
      </c>
      <c r="H1" s="39" t="s">
        <v>37</v>
      </c>
      <c r="I1" s="39" t="s">
        <v>38</v>
      </c>
      <c r="J1" s="39" t="s">
        <v>39</v>
      </c>
      <c r="K1" s="39" t="s">
        <v>40</v>
      </c>
      <c r="L1" s="39" t="s">
        <v>41</v>
      </c>
      <c r="M1" s="39" t="s">
        <v>42</v>
      </c>
      <c r="N1" s="39" t="s">
        <v>43</v>
      </c>
      <c r="O1" s="39" t="s">
        <v>44</v>
      </c>
      <c r="P1" s="225" t="s">
        <v>45</v>
      </c>
      <c r="Q1" s="225" t="s">
        <v>47</v>
      </c>
      <c r="R1" s="225" t="s">
        <v>179</v>
      </c>
      <c r="S1" s="225" t="s">
        <v>49</v>
      </c>
      <c r="T1" s="225" t="s">
        <v>50</v>
      </c>
      <c r="U1" s="225" t="s">
        <v>51</v>
      </c>
      <c r="V1" s="39" t="s">
        <v>52</v>
      </c>
      <c r="W1" s="39" t="s">
        <v>54</v>
      </c>
      <c r="X1" s="39" t="s">
        <v>173</v>
      </c>
      <c r="Y1" s="40" t="s">
        <v>183</v>
      </c>
      <c r="AB1" s="9" t="s">
        <v>61</v>
      </c>
      <c r="AC1" t="s">
        <v>63</v>
      </c>
      <c r="AD1"/>
      <c r="AE1"/>
      <c r="AF1" s="11"/>
      <c r="AG1" s="44"/>
      <c r="AH1" s="11"/>
      <c r="AI1" s="29"/>
    </row>
    <row r="2" spans="1:35" x14ac:dyDescent="0.25">
      <c r="A2" s="26">
        <v>1045649</v>
      </c>
      <c r="B2" s="27" t="s">
        <v>90</v>
      </c>
      <c r="C2" s="27" t="s">
        <v>56</v>
      </c>
      <c r="D2" s="28">
        <v>46087</v>
      </c>
      <c r="E2" s="28">
        <v>46087</v>
      </c>
      <c r="F2" s="27"/>
      <c r="G2" s="27">
        <v>648</v>
      </c>
      <c r="H2" s="27" t="s">
        <v>176</v>
      </c>
      <c r="I2" s="27">
        <v>697</v>
      </c>
      <c r="J2" s="27">
        <v>481496</v>
      </c>
      <c r="K2" s="27">
        <v>2</v>
      </c>
      <c r="L2" s="27" t="s">
        <v>180</v>
      </c>
      <c r="M2" s="27" t="s">
        <v>90</v>
      </c>
      <c r="N2" s="27" t="s">
        <v>64</v>
      </c>
      <c r="O2" s="28">
        <v>46087</v>
      </c>
      <c r="P2" s="183">
        <v>1049</v>
      </c>
      <c r="Q2" s="183">
        <v>41.86</v>
      </c>
      <c r="R2" s="183">
        <v>8.3699999999999992</v>
      </c>
      <c r="S2" s="183">
        <v>1.51</v>
      </c>
      <c r="T2" s="183">
        <v>1005.63</v>
      </c>
      <c r="U2" s="183">
        <v>0</v>
      </c>
      <c r="V2" s="27">
        <v>20260310</v>
      </c>
      <c r="W2" s="27" t="s">
        <v>90</v>
      </c>
      <c r="X2" s="27" t="s">
        <v>178</v>
      </c>
      <c r="Y2" s="226" t="s">
        <v>137</v>
      </c>
      <c r="Z2"/>
      <c r="AB2" s="11" t="s">
        <v>68</v>
      </c>
      <c r="AC2" s="29">
        <v>0</v>
      </c>
      <c r="AF2" s="13">
        <v>46054</v>
      </c>
      <c r="AG2" s="139"/>
      <c r="AH2" s="11"/>
      <c r="AI2" s="29"/>
    </row>
    <row r="3" spans="1:35" x14ac:dyDescent="0.25">
      <c r="A3" s="26">
        <v>1045649</v>
      </c>
      <c r="B3" s="27" t="s">
        <v>90</v>
      </c>
      <c r="C3" s="27" t="s">
        <v>65</v>
      </c>
      <c r="D3" s="28">
        <v>46087</v>
      </c>
      <c r="E3" s="28">
        <v>46087</v>
      </c>
      <c r="F3" s="27">
        <v>9996</v>
      </c>
      <c r="G3" s="27"/>
      <c r="H3" s="27" t="s">
        <v>90</v>
      </c>
      <c r="I3" s="27"/>
      <c r="J3" s="27"/>
      <c r="K3" s="27"/>
      <c r="L3" s="27" t="s">
        <v>90</v>
      </c>
      <c r="M3" s="27" t="s">
        <v>90</v>
      </c>
      <c r="N3" s="27" t="s">
        <v>66</v>
      </c>
      <c r="O3" s="28">
        <v>46087</v>
      </c>
      <c r="P3" s="183">
        <v>0</v>
      </c>
      <c r="Q3" s="183">
        <v>-5</v>
      </c>
      <c r="R3" s="183">
        <v>-5</v>
      </c>
      <c r="S3" s="183">
        <v>-0.9</v>
      </c>
      <c r="T3" s="183">
        <v>-5.9</v>
      </c>
      <c r="U3" s="183">
        <v>0</v>
      </c>
      <c r="V3" s="27">
        <v>20260310</v>
      </c>
      <c r="W3" s="27" t="s">
        <v>67</v>
      </c>
      <c r="X3" s="27" t="s">
        <v>178</v>
      </c>
      <c r="Y3" s="226" t="s">
        <v>137</v>
      </c>
      <c r="Z3"/>
      <c r="AB3" s="11" t="s">
        <v>181</v>
      </c>
      <c r="AC3" s="29">
        <v>1049</v>
      </c>
      <c r="AF3" s="13">
        <f>+AF2+1</f>
        <v>46055</v>
      </c>
      <c r="AG3" s="139"/>
    </row>
    <row r="4" spans="1:35" x14ac:dyDescent="0.25">
      <c r="A4" s="26">
        <v>1045649</v>
      </c>
      <c r="B4" s="27" t="s">
        <v>90</v>
      </c>
      <c r="C4" s="27" t="s">
        <v>56</v>
      </c>
      <c r="D4" s="28">
        <v>46087</v>
      </c>
      <c r="E4" s="28"/>
      <c r="F4" s="27"/>
      <c r="G4" s="27"/>
      <c r="H4" s="27" t="s">
        <v>90</v>
      </c>
      <c r="I4" s="27"/>
      <c r="J4" s="27"/>
      <c r="K4" s="27"/>
      <c r="L4" s="27" t="s">
        <v>90</v>
      </c>
      <c r="M4" s="27" t="s">
        <v>90</v>
      </c>
      <c r="N4" s="27" t="s">
        <v>90</v>
      </c>
      <c r="O4" s="28"/>
      <c r="P4" s="183">
        <v>0</v>
      </c>
      <c r="Q4" s="183">
        <v>0</v>
      </c>
      <c r="R4" s="183">
        <v>0</v>
      </c>
      <c r="S4" s="183">
        <v>0</v>
      </c>
      <c r="T4" s="183">
        <v>-5.9</v>
      </c>
      <c r="U4" s="227">
        <v>999.73</v>
      </c>
      <c r="V4" s="27">
        <v>20260310</v>
      </c>
      <c r="W4" s="27" t="s">
        <v>172</v>
      </c>
      <c r="X4" s="27" t="s">
        <v>178</v>
      </c>
      <c r="Y4" s="226" t="s">
        <v>137</v>
      </c>
      <c r="Z4"/>
      <c r="AB4" s="11" t="s">
        <v>185</v>
      </c>
      <c r="AC4" s="29">
        <v>1228</v>
      </c>
      <c r="AF4" s="13">
        <f t="shared" ref="AF4:AF32" si="0">+AF3+1</f>
        <v>46056</v>
      </c>
      <c r="AG4" s="139"/>
    </row>
    <row r="5" spans="1:35" x14ac:dyDescent="0.25">
      <c r="A5" s="26">
        <v>1045649</v>
      </c>
      <c r="B5" s="27" t="s">
        <v>90</v>
      </c>
      <c r="C5" s="27" t="s">
        <v>56</v>
      </c>
      <c r="D5" s="28">
        <v>46099</v>
      </c>
      <c r="E5" s="28">
        <v>46099</v>
      </c>
      <c r="F5" s="27"/>
      <c r="G5" s="27">
        <v>659</v>
      </c>
      <c r="H5" s="27" t="s">
        <v>176</v>
      </c>
      <c r="I5" s="27">
        <v>899</v>
      </c>
      <c r="J5" s="27">
        <v>966492</v>
      </c>
      <c r="K5" s="27"/>
      <c r="L5" s="27" t="s">
        <v>184</v>
      </c>
      <c r="M5" s="27" t="s">
        <v>90</v>
      </c>
      <c r="N5" s="27" t="s">
        <v>64</v>
      </c>
      <c r="O5" s="28">
        <v>46099</v>
      </c>
      <c r="P5" s="183">
        <v>1228</v>
      </c>
      <c r="Q5" s="183">
        <v>49</v>
      </c>
      <c r="R5" s="183">
        <v>9.8000000000000007</v>
      </c>
      <c r="S5" s="183">
        <v>1.76</v>
      </c>
      <c r="T5" s="183">
        <v>1177.24</v>
      </c>
      <c r="U5" s="227">
        <v>1177.24</v>
      </c>
      <c r="V5" s="27">
        <v>20260320</v>
      </c>
      <c r="W5" s="27" t="s">
        <v>90</v>
      </c>
      <c r="X5" s="27" t="s">
        <v>178</v>
      </c>
      <c r="Y5" s="226" t="s">
        <v>137</v>
      </c>
      <c r="Z5"/>
      <c r="AB5" s="11" t="s">
        <v>62</v>
      </c>
      <c r="AC5" s="29">
        <v>2277</v>
      </c>
      <c r="AF5" s="13">
        <f t="shared" si="0"/>
        <v>46057</v>
      </c>
      <c r="AG5" s="139"/>
    </row>
    <row r="6" spans="1:35" x14ac:dyDescent="0.25">
      <c r="A6" s="26"/>
      <c r="B6" s="27"/>
      <c r="C6" s="27"/>
      <c r="D6" s="28"/>
      <c r="E6" s="28"/>
      <c r="F6" s="27"/>
      <c r="G6" s="27"/>
      <c r="H6" s="27"/>
      <c r="I6" s="27"/>
      <c r="J6" s="27"/>
      <c r="K6" s="27"/>
      <c r="L6" s="27"/>
      <c r="M6" s="27"/>
      <c r="N6" s="27"/>
      <c r="O6" s="28"/>
      <c r="P6" s="183"/>
      <c r="Q6" s="183"/>
      <c r="R6" s="183"/>
      <c r="S6" s="183"/>
      <c r="T6" s="183"/>
      <c r="U6" s="216"/>
      <c r="V6" s="27"/>
      <c r="W6" s="27"/>
      <c r="X6" s="27"/>
      <c r="Y6" s="41"/>
      <c r="Z6"/>
      <c r="AC6"/>
      <c r="AF6" s="13">
        <f t="shared" si="0"/>
        <v>46058</v>
      </c>
      <c r="AG6" s="139"/>
    </row>
    <row r="7" spans="1:35" x14ac:dyDescent="0.25">
      <c r="A7" s="26"/>
      <c r="B7" s="27"/>
      <c r="C7" s="27"/>
      <c r="D7" s="28"/>
      <c r="E7" s="28"/>
      <c r="F7" s="27"/>
      <c r="G7" s="27"/>
      <c r="H7" s="27"/>
      <c r="I7" s="27"/>
      <c r="J7" s="27"/>
      <c r="K7" s="27"/>
      <c r="L7" s="27"/>
      <c r="M7" s="27"/>
      <c r="N7" s="27"/>
      <c r="O7" s="28"/>
      <c r="P7" s="27"/>
      <c r="Q7" s="27"/>
      <c r="R7" s="27"/>
      <c r="S7" s="27"/>
      <c r="T7" s="27"/>
      <c r="U7" s="27"/>
      <c r="V7" s="27"/>
      <c r="W7" s="27"/>
      <c r="X7" s="41"/>
      <c r="Y7" s="32"/>
      <c r="Z7"/>
      <c r="AC7"/>
      <c r="AF7" s="13">
        <f t="shared" si="0"/>
        <v>46059</v>
      </c>
      <c r="AG7" s="139"/>
    </row>
    <row r="8" spans="1:35" x14ac:dyDescent="0.25">
      <c r="A8" s="26"/>
      <c r="B8" s="27"/>
      <c r="C8" s="27"/>
      <c r="D8" s="28"/>
      <c r="E8" s="28"/>
      <c r="F8" s="27"/>
      <c r="G8" s="27"/>
      <c r="H8" s="27"/>
      <c r="I8" s="27"/>
      <c r="J8" s="27"/>
      <c r="K8" s="27"/>
      <c r="L8" s="27"/>
      <c r="M8" s="27"/>
      <c r="N8" s="27"/>
      <c r="O8" s="28"/>
      <c r="P8" s="27"/>
      <c r="Q8" s="27"/>
      <c r="R8" s="27"/>
      <c r="S8" s="27"/>
      <c r="T8" s="27"/>
      <c r="U8" s="27"/>
      <c r="V8" s="27"/>
      <c r="W8" s="27"/>
      <c r="X8" s="41"/>
      <c r="Y8" s="37"/>
      <c r="Z8"/>
      <c r="AC8"/>
      <c r="AF8" s="13">
        <f t="shared" si="0"/>
        <v>46060</v>
      </c>
      <c r="AG8" s="139"/>
    </row>
    <row r="9" spans="1:35" x14ac:dyDescent="0.25">
      <c r="A9" s="26"/>
      <c r="B9" s="27"/>
      <c r="C9" s="27"/>
      <c r="D9" s="28"/>
      <c r="E9" s="28"/>
      <c r="F9" s="27"/>
      <c r="G9" s="27"/>
      <c r="H9" s="27"/>
      <c r="I9" s="27"/>
      <c r="J9" s="27"/>
      <c r="K9" s="27"/>
      <c r="L9" s="27"/>
      <c r="M9" s="27"/>
      <c r="N9" s="27"/>
      <c r="O9" s="28"/>
      <c r="P9" s="27"/>
      <c r="Q9" s="27"/>
      <c r="R9" s="27"/>
      <c r="S9" s="27"/>
      <c r="T9" s="27"/>
      <c r="U9" s="27"/>
      <c r="V9" s="27"/>
      <c r="W9" s="27"/>
      <c r="X9" s="41"/>
      <c r="Y9" s="32"/>
      <c r="Z9"/>
      <c r="AC9"/>
      <c r="AF9" s="13">
        <f t="shared" si="0"/>
        <v>46061</v>
      </c>
      <c r="AG9" s="139"/>
    </row>
    <row r="10" spans="1:35" x14ac:dyDescent="0.25">
      <c r="A10" s="26"/>
      <c r="B10" s="27"/>
      <c r="C10" s="27"/>
      <c r="D10" s="28"/>
      <c r="E10" s="28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7"/>
      <c r="Q10" s="27"/>
      <c r="R10" s="27"/>
      <c r="S10" s="27"/>
      <c r="T10" s="27"/>
      <c r="U10" s="27"/>
      <c r="V10" s="27"/>
      <c r="W10" s="27"/>
      <c r="X10" s="41"/>
      <c r="Y10" s="32"/>
      <c r="Z10"/>
      <c r="AC10"/>
      <c r="AF10" s="13">
        <f t="shared" si="0"/>
        <v>46062</v>
      </c>
      <c r="AG10" s="139"/>
    </row>
    <row r="11" spans="1:35" x14ac:dyDescent="0.25">
      <c r="A11" s="26"/>
      <c r="B11" s="27"/>
      <c r="C11" s="27"/>
      <c r="D11" s="28"/>
      <c r="E11" s="28"/>
      <c r="F11" s="27"/>
      <c r="G11" s="27"/>
      <c r="H11" s="27"/>
      <c r="I11" s="27"/>
      <c r="J11" s="27"/>
      <c r="K11" s="27"/>
      <c r="L11" s="27"/>
      <c r="M11" s="27"/>
      <c r="N11" s="27"/>
      <c r="O11" s="28"/>
      <c r="P11" s="27"/>
      <c r="Q11" s="27"/>
      <c r="R11" s="27"/>
      <c r="S11" s="27"/>
      <c r="T11" s="27"/>
      <c r="U11" s="27"/>
      <c r="V11" s="27"/>
      <c r="W11" s="27"/>
      <c r="X11" s="41"/>
      <c r="Y11" s="32"/>
      <c r="Z11"/>
      <c r="AF11" s="13">
        <f t="shared" si="0"/>
        <v>46063</v>
      </c>
      <c r="AG11" s="139"/>
    </row>
    <row r="12" spans="1:35" x14ac:dyDescent="0.25">
      <c r="A12" s="87"/>
      <c r="B12" s="88"/>
      <c r="C12" s="88"/>
      <c r="D12" s="89"/>
      <c r="E12" s="89"/>
      <c r="F12" s="88"/>
      <c r="G12" s="88"/>
      <c r="H12" s="88"/>
      <c r="I12" s="88"/>
      <c r="J12" s="88"/>
      <c r="K12" s="88"/>
      <c r="L12" s="88"/>
      <c r="M12" s="88"/>
      <c r="N12" s="88"/>
      <c r="O12" s="89"/>
      <c r="P12" s="90"/>
      <c r="Q12" s="88"/>
      <c r="R12" s="88"/>
      <c r="S12" s="88"/>
      <c r="T12" s="88"/>
      <c r="U12" s="91"/>
      <c r="V12" s="88"/>
      <c r="W12" s="88"/>
      <c r="X12" s="92"/>
      <c r="Y12" s="32"/>
      <c r="Z12"/>
      <c r="AF12" s="13">
        <f t="shared" si="0"/>
        <v>46064</v>
      </c>
      <c r="AG12" s="139"/>
    </row>
    <row r="13" spans="1:35" x14ac:dyDescent="0.25">
      <c r="A13" s="87"/>
      <c r="B13" s="88"/>
      <c r="C13" s="88"/>
      <c r="D13" s="89"/>
      <c r="E13" s="89"/>
      <c r="F13" s="88"/>
      <c r="G13" s="88"/>
      <c r="H13" s="88"/>
      <c r="I13" s="88"/>
      <c r="J13" s="88"/>
      <c r="K13" s="88"/>
      <c r="L13" s="88"/>
      <c r="M13" s="88"/>
      <c r="N13" s="88"/>
      <c r="O13" s="89"/>
      <c r="P13" s="90"/>
      <c r="Q13" s="90"/>
      <c r="R13" s="90"/>
      <c r="S13" s="90"/>
      <c r="T13" s="90"/>
      <c r="U13" s="91"/>
      <c r="V13" s="88"/>
      <c r="W13" s="88"/>
      <c r="X13" s="92"/>
      <c r="Y13" s="32"/>
      <c r="Z13"/>
      <c r="AF13" s="13">
        <f t="shared" si="0"/>
        <v>46065</v>
      </c>
      <c r="AG13" s="139"/>
    </row>
    <row r="14" spans="1:35" x14ac:dyDescent="0.25">
      <c r="A14" s="87"/>
      <c r="B14" s="88"/>
      <c r="C14" s="88"/>
      <c r="D14" s="89"/>
      <c r="E14" s="89"/>
      <c r="F14" s="88"/>
      <c r="G14" s="88"/>
      <c r="H14" s="88"/>
      <c r="I14" s="88"/>
      <c r="J14" s="88"/>
      <c r="K14" s="88"/>
      <c r="L14" s="88"/>
      <c r="M14" s="88"/>
      <c r="N14" s="88"/>
      <c r="O14" s="89"/>
      <c r="P14" s="90"/>
      <c r="Q14" s="90"/>
      <c r="R14" s="90"/>
      <c r="S14" s="90"/>
      <c r="T14" s="90"/>
      <c r="U14" s="91"/>
      <c r="V14" s="88"/>
      <c r="W14" s="88"/>
      <c r="X14" s="92"/>
      <c r="Y14" s="32"/>
      <c r="Z14"/>
      <c r="AF14" s="13">
        <f t="shared" si="0"/>
        <v>46066</v>
      </c>
      <c r="AG14" s="139"/>
    </row>
    <row r="15" spans="1:35" x14ac:dyDescent="0.25">
      <c r="A15" s="87"/>
      <c r="B15" s="88"/>
      <c r="C15" s="88"/>
      <c r="D15" s="89"/>
      <c r="E15" s="89"/>
      <c r="F15" s="88"/>
      <c r="G15" s="88"/>
      <c r="H15" s="88"/>
      <c r="I15" s="88"/>
      <c r="J15" s="88"/>
      <c r="K15" s="88"/>
      <c r="L15" s="88"/>
      <c r="M15" s="88"/>
      <c r="N15" s="88"/>
      <c r="O15" s="89"/>
      <c r="P15" s="90"/>
      <c r="Q15" s="90"/>
      <c r="R15" s="90"/>
      <c r="S15" s="90"/>
      <c r="T15" s="90"/>
      <c r="U15" s="91"/>
      <c r="V15" s="88"/>
      <c r="W15" s="88"/>
      <c r="X15" s="92"/>
      <c r="Y15" s="32"/>
      <c r="Z15"/>
      <c r="AF15" s="13">
        <f t="shared" si="0"/>
        <v>46067</v>
      </c>
      <c r="AG15" s="139"/>
    </row>
    <row r="16" spans="1:35" x14ac:dyDescent="0.25">
      <c r="A16" s="87"/>
      <c r="B16" s="88"/>
      <c r="C16" s="88"/>
      <c r="D16" s="89"/>
      <c r="E16" s="89"/>
      <c r="F16" s="88"/>
      <c r="G16" s="88"/>
      <c r="H16" s="88"/>
      <c r="I16" s="88"/>
      <c r="J16" s="88"/>
      <c r="K16" s="88"/>
      <c r="L16" s="88"/>
      <c r="M16" s="88"/>
      <c r="N16" s="88"/>
      <c r="O16" s="89"/>
      <c r="P16" s="88"/>
      <c r="Q16" s="88"/>
      <c r="R16" s="88"/>
      <c r="S16" s="88"/>
      <c r="T16" s="88"/>
      <c r="U16" s="91"/>
      <c r="V16" s="88"/>
      <c r="W16" s="88"/>
      <c r="X16" s="92"/>
      <c r="Y16" s="32"/>
      <c r="Z16"/>
      <c r="AF16" s="13">
        <f t="shared" si="0"/>
        <v>46068</v>
      </c>
      <c r="AG16" s="139"/>
    </row>
    <row r="17" spans="1:33" x14ac:dyDescent="0.25">
      <c r="A17" s="87"/>
      <c r="B17" s="88"/>
      <c r="C17" s="88"/>
      <c r="D17" s="89"/>
      <c r="E17" s="89"/>
      <c r="F17" s="88"/>
      <c r="G17" s="88"/>
      <c r="H17" s="88"/>
      <c r="I17" s="88"/>
      <c r="J17" s="88"/>
      <c r="K17" s="88"/>
      <c r="L17" s="88"/>
      <c r="M17" s="88"/>
      <c r="N17" s="88"/>
      <c r="O17" s="89"/>
      <c r="P17" s="88"/>
      <c r="Q17" s="88"/>
      <c r="R17" s="88"/>
      <c r="S17" s="88"/>
      <c r="T17" s="88"/>
      <c r="U17" s="91"/>
      <c r="V17" s="88"/>
      <c r="W17" s="88"/>
      <c r="X17" s="92"/>
      <c r="Y17" s="32"/>
      <c r="Z17"/>
      <c r="AF17" s="13">
        <f t="shared" si="0"/>
        <v>46069</v>
      </c>
      <c r="AG17" s="139"/>
    </row>
    <row r="18" spans="1:33" x14ac:dyDescent="0.25">
      <c r="A18" s="87"/>
      <c r="B18" s="88"/>
      <c r="C18" s="88"/>
      <c r="D18" s="89"/>
      <c r="E18" s="89"/>
      <c r="F18" s="88"/>
      <c r="G18" s="88"/>
      <c r="H18" s="88"/>
      <c r="I18" s="88"/>
      <c r="J18" s="88"/>
      <c r="K18" s="88"/>
      <c r="L18" s="88"/>
      <c r="M18" s="88"/>
      <c r="N18" s="88"/>
      <c r="O18" s="89"/>
      <c r="P18" s="88"/>
      <c r="Q18" s="88"/>
      <c r="R18" s="88"/>
      <c r="S18" s="88"/>
      <c r="T18" s="88"/>
      <c r="U18" s="91"/>
      <c r="V18" s="88"/>
      <c r="W18" s="88"/>
      <c r="X18" s="92"/>
      <c r="Y18" s="32"/>
      <c r="Z18"/>
      <c r="AF18" s="13">
        <f t="shared" si="0"/>
        <v>46070</v>
      </c>
      <c r="AG18" s="139"/>
    </row>
    <row r="19" spans="1:33" x14ac:dyDescent="0.25">
      <c r="A19" s="186"/>
      <c r="B19" s="187"/>
      <c r="C19" s="187"/>
      <c r="D19" s="188"/>
      <c r="E19" s="188"/>
      <c r="F19" s="187"/>
      <c r="G19" s="187"/>
      <c r="H19" s="187"/>
      <c r="I19" s="187"/>
      <c r="J19" s="187"/>
      <c r="K19" s="187"/>
      <c r="L19" s="187"/>
      <c r="M19" s="187"/>
      <c r="N19" s="187"/>
      <c r="O19" s="188"/>
      <c r="P19" s="189"/>
      <c r="Q19" s="187"/>
      <c r="R19" s="187"/>
      <c r="S19" s="187"/>
      <c r="T19" s="187"/>
      <c r="U19" s="169"/>
      <c r="V19" s="187"/>
      <c r="W19" s="88"/>
      <c r="X19" s="190"/>
      <c r="Y19" s="32"/>
      <c r="Z19"/>
      <c r="AF19" s="13">
        <f t="shared" si="0"/>
        <v>46071</v>
      </c>
      <c r="AG19" s="139"/>
    </row>
    <row r="20" spans="1:33" x14ac:dyDescent="0.25">
      <c r="A20" s="87"/>
      <c r="B20" s="88"/>
      <c r="C20" s="88"/>
      <c r="D20" s="89"/>
      <c r="E20" s="89"/>
      <c r="F20" s="88"/>
      <c r="G20" s="88"/>
      <c r="H20" s="88"/>
      <c r="I20" s="88"/>
      <c r="J20" s="88"/>
      <c r="K20" s="88"/>
      <c r="L20" s="88"/>
      <c r="M20" s="88"/>
      <c r="N20" s="88"/>
      <c r="O20" s="89"/>
      <c r="P20" s="90"/>
      <c r="Q20" s="88"/>
      <c r="R20" s="88"/>
      <c r="S20" s="88"/>
      <c r="T20" s="88"/>
      <c r="U20" s="170"/>
      <c r="V20" s="88"/>
      <c r="W20" s="88"/>
      <c r="X20" s="92"/>
      <c r="Y20" s="32"/>
      <c r="Z20"/>
      <c r="AF20" s="13">
        <f t="shared" si="0"/>
        <v>46072</v>
      </c>
      <c r="AG20" s="139"/>
    </row>
    <row r="21" spans="1:33" x14ac:dyDescent="0.25">
      <c r="A21" s="87"/>
      <c r="B21" s="88"/>
      <c r="C21" s="88"/>
      <c r="D21" s="89"/>
      <c r="E21" s="89"/>
      <c r="F21" s="88"/>
      <c r="G21" s="88"/>
      <c r="H21" s="88"/>
      <c r="I21" s="88"/>
      <c r="J21" s="88"/>
      <c r="K21" s="88"/>
      <c r="L21" s="88"/>
      <c r="M21" s="88"/>
      <c r="N21" s="88"/>
      <c r="O21" s="89"/>
      <c r="P21" s="90"/>
      <c r="Q21" s="88"/>
      <c r="R21" s="88"/>
      <c r="S21" s="88"/>
      <c r="T21" s="88"/>
      <c r="U21" s="170"/>
      <c r="V21" s="88"/>
      <c r="W21" s="88"/>
      <c r="X21" s="92"/>
      <c r="Y21" s="34"/>
      <c r="AF21" s="13">
        <f t="shared" si="0"/>
        <v>46073</v>
      </c>
      <c r="AG21" s="139"/>
    </row>
    <row r="22" spans="1:33" x14ac:dyDescent="0.25">
      <c r="A22" s="87"/>
      <c r="B22" s="88"/>
      <c r="C22" s="88"/>
      <c r="D22" s="89"/>
      <c r="E22" s="89"/>
      <c r="F22" s="88"/>
      <c r="G22" s="88"/>
      <c r="H22" s="88"/>
      <c r="I22" s="88"/>
      <c r="J22" s="88"/>
      <c r="K22" s="88"/>
      <c r="L22" s="88"/>
      <c r="M22" s="88"/>
      <c r="N22" s="88"/>
      <c r="O22" s="89"/>
      <c r="P22" s="90"/>
      <c r="Q22" s="88"/>
      <c r="R22" s="88"/>
      <c r="S22" s="88"/>
      <c r="T22" s="88"/>
      <c r="U22" s="91"/>
      <c r="V22" s="88"/>
      <c r="W22" s="88"/>
      <c r="X22" s="92"/>
      <c r="Y22" s="34"/>
      <c r="AF22" s="13">
        <f t="shared" si="0"/>
        <v>46074</v>
      </c>
      <c r="AG22" s="29"/>
    </row>
    <row r="23" spans="1:33" x14ac:dyDescent="0.25">
      <c r="A23" s="87"/>
      <c r="B23" s="88"/>
      <c r="C23" s="88"/>
      <c r="D23" s="89"/>
      <c r="E23" s="89"/>
      <c r="F23" s="88"/>
      <c r="G23" s="88"/>
      <c r="H23" s="88"/>
      <c r="I23" s="88"/>
      <c r="J23" s="88"/>
      <c r="K23" s="88"/>
      <c r="L23" s="88"/>
      <c r="M23" s="88"/>
      <c r="N23" s="88"/>
      <c r="O23" s="89"/>
      <c r="P23" s="90"/>
      <c r="Q23" s="88"/>
      <c r="R23" s="88"/>
      <c r="S23" s="88"/>
      <c r="T23" s="88"/>
      <c r="U23" s="91"/>
      <c r="V23" s="88"/>
      <c r="W23" s="88"/>
      <c r="X23" s="92"/>
      <c r="Y23" s="34"/>
      <c r="AF23" s="13">
        <f t="shared" si="0"/>
        <v>46075</v>
      </c>
      <c r="AG23" s="139"/>
    </row>
    <row r="24" spans="1:33" x14ac:dyDescent="0.25">
      <c r="A24" s="87"/>
      <c r="B24" s="88"/>
      <c r="C24" s="88"/>
      <c r="D24" s="89"/>
      <c r="E24" s="89"/>
      <c r="F24" s="88"/>
      <c r="G24" s="88"/>
      <c r="H24" s="88"/>
      <c r="I24" s="88"/>
      <c r="J24" s="88"/>
      <c r="K24" s="88"/>
      <c r="L24" s="88"/>
      <c r="M24" s="88"/>
      <c r="N24" s="88"/>
      <c r="O24" s="89"/>
      <c r="P24" s="90"/>
      <c r="Q24" s="88"/>
      <c r="R24" s="88"/>
      <c r="S24" s="88"/>
      <c r="T24" s="88"/>
      <c r="U24" s="91"/>
      <c r="V24" s="88"/>
      <c r="W24" s="88"/>
      <c r="X24" s="92"/>
      <c r="Y24" s="34"/>
      <c r="AF24" s="13">
        <f t="shared" si="0"/>
        <v>46076</v>
      </c>
      <c r="AG24" s="139"/>
    </row>
    <row r="25" spans="1:33" x14ac:dyDescent="0.25">
      <c r="A25" s="87"/>
      <c r="B25" s="88"/>
      <c r="C25" s="88"/>
      <c r="D25" s="89"/>
      <c r="E25" s="89"/>
      <c r="F25" s="88"/>
      <c r="G25" s="88"/>
      <c r="H25" s="88"/>
      <c r="I25" s="88"/>
      <c r="J25" s="88"/>
      <c r="K25" s="88"/>
      <c r="L25" s="88"/>
      <c r="M25" s="88"/>
      <c r="N25" s="88"/>
      <c r="O25" s="89"/>
      <c r="P25" s="90"/>
      <c r="Q25" s="88"/>
      <c r="R25" s="88"/>
      <c r="S25" s="88"/>
      <c r="T25" s="88"/>
      <c r="U25" s="91"/>
      <c r="V25" s="88"/>
      <c r="W25" s="88"/>
      <c r="X25" s="92"/>
      <c r="Y25" s="34"/>
      <c r="AF25" s="13">
        <f t="shared" si="0"/>
        <v>46077</v>
      </c>
      <c r="AG25" s="139"/>
    </row>
    <row r="26" spans="1:33" x14ac:dyDescent="0.25">
      <c r="A26" s="87"/>
      <c r="B26" s="88"/>
      <c r="C26" s="88"/>
      <c r="D26" s="89"/>
      <c r="E26" s="89"/>
      <c r="F26" s="88"/>
      <c r="G26" s="88"/>
      <c r="H26" s="88"/>
      <c r="I26" s="88"/>
      <c r="J26" s="88"/>
      <c r="K26" s="88"/>
      <c r="L26" s="88"/>
      <c r="M26" s="88"/>
      <c r="N26" s="88"/>
      <c r="O26" s="89"/>
      <c r="P26" s="90"/>
      <c r="Q26" s="88"/>
      <c r="R26" s="88"/>
      <c r="S26" s="88"/>
      <c r="T26" s="88"/>
      <c r="U26" s="91"/>
      <c r="V26" s="88"/>
      <c r="W26" s="88"/>
      <c r="X26" s="92"/>
      <c r="Y26" s="34"/>
      <c r="AF26" s="13">
        <f t="shared" si="0"/>
        <v>46078</v>
      </c>
      <c r="AG26" s="139"/>
    </row>
    <row r="27" spans="1:33" x14ac:dyDescent="0.25">
      <c r="A27" s="87"/>
      <c r="B27" s="88"/>
      <c r="C27" s="88"/>
      <c r="D27" s="89"/>
      <c r="E27" s="89"/>
      <c r="F27" s="88"/>
      <c r="G27" s="88"/>
      <c r="H27" s="88"/>
      <c r="I27" s="88"/>
      <c r="J27" s="88"/>
      <c r="K27" s="88"/>
      <c r="L27" s="88"/>
      <c r="M27" s="88"/>
      <c r="N27" s="88"/>
      <c r="O27" s="89"/>
      <c r="P27" s="90"/>
      <c r="Q27" s="88"/>
      <c r="R27" s="88"/>
      <c r="S27" s="88"/>
      <c r="T27" s="88"/>
      <c r="U27" s="90"/>
      <c r="V27" s="88"/>
      <c r="W27" s="88"/>
      <c r="X27" s="92"/>
      <c r="Y27" s="42"/>
      <c r="AF27" s="13">
        <f t="shared" si="0"/>
        <v>46079</v>
      </c>
      <c r="AG27" s="139"/>
    </row>
    <row r="28" spans="1:33" x14ac:dyDescent="0.25">
      <c r="A28" s="87"/>
      <c r="B28" s="88"/>
      <c r="C28" s="88"/>
      <c r="D28" s="89"/>
      <c r="E28" s="89"/>
      <c r="F28" s="88"/>
      <c r="G28" s="88"/>
      <c r="H28" s="88"/>
      <c r="I28" s="88"/>
      <c r="J28" s="88"/>
      <c r="K28" s="88"/>
      <c r="L28" s="88"/>
      <c r="M28" s="88"/>
      <c r="N28" s="88"/>
      <c r="O28" s="89"/>
      <c r="P28" s="90"/>
      <c r="Q28" s="88"/>
      <c r="R28" s="88"/>
      <c r="S28" s="88"/>
      <c r="T28" s="88"/>
      <c r="U28" s="91"/>
      <c r="V28" s="88"/>
      <c r="W28" s="88"/>
      <c r="X28" s="92"/>
      <c r="Y28" s="34"/>
      <c r="AF28" s="13">
        <f t="shared" si="0"/>
        <v>46080</v>
      </c>
      <c r="AG28" s="139"/>
    </row>
    <row r="29" spans="1:33" x14ac:dyDescent="0.25">
      <c r="A29" s="87"/>
      <c r="B29" s="88"/>
      <c r="C29" s="88"/>
      <c r="D29" s="89"/>
      <c r="E29" s="89"/>
      <c r="F29" s="88"/>
      <c r="G29" s="88"/>
      <c r="H29" s="88"/>
      <c r="I29" s="88"/>
      <c r="J29" s="88"/>
      <c r="K29" s="88"/>
      <c r="L29" s="88"/>
      <c r="M29" s="88"/>
      <c r="N29" s="88"/>
      <c r="O29" s="89"/>
      <c r="P29" s="90"/>
      <c r="Q29" s="88"/>
      <c r="R29" s="88"/>
      <c r="S29" s="88"/>
      <c r="T29" s="88"/>
      <c r="U29" s="91"/>
      <c r="V29" s="88"/>
      <c r="W29" s="88"/>
      <c r="X29" s="92"/>
      <c r="Y29" s="34"/>
      <c r="AF29" s="13">
        <f t="shared" si="0"/>
        <v>46081</v>
      </c>
      <c r="AG29" s="139"/>
    </row>
    <row r="30" spans="1:33" x14ac:dyDescent="0.25">
      <c r="A30" s="87"/>
      <c r="B30" s="88"/>
      <c r="C30" s="88"/>
      <c r="D30" s="89"/>
      <c r="E30" s="89"/>
      <c r="F30" s="88"/>
      <c r="G30" s="88"/>
      <c r="H30" s="88"/>
      <c r="I30" s="88"/>
      <c r="J30" s="88"/>
      <c r="K30" s="88"/>
      <c r="L30" s="88"/>
      <c r="M30" s="88"/>
      <c r="N30" s="88"/>
      <c r="O30" s="89"/>
      <c r="P30" s="90"/>
      <c r="Q30" s="88"/>
      <c r="R30" s="88"/>
      <c r="S30" s="88"/>
      <c r="T30" s="88"/>
      <c r="U30" s="161"/>
      <c r="V30" s="88"/>
      <c r="W30" s="88"/>
      <c r="X30" s="92"/>
      <c r="Y30" s="34"/>
      <c r="AF30" s="13">
        <f t="shared" si="0"/>
        <v>46082</v>
      </c>
      <c r="AG30" s="139"/>
    </row>
    <row r="31" spans="1:33" x14ac:dyDescent="0.25">
      <c r="A31" s="87"/>
      <c r="B31" s="88"/>
      <c r="C31" s="88"/>
      <c r="D31" s="89"/>
      <c r="E31" s="89"/>
      <c r="F31" s="88"/>
      <c r="G31" s="88"/>
      <c r="H31" s="88"/>
      <c r="I31" s="88"/>
      <c r="J31" s="88"/>
      <c r="K31" s="88"/>
      <c r="L31" s="88"/>
      <c r="M31" s="88"/>
      <c r="N31" s="88"/>
      <c r="O31" s="89"/>
      <c r="P31" s="90"/>
      <c r="Q31" s="88"/>
      <c r="R31" s="88"/>
      <c r="S31" s="88"/>
      <c r="T31" s="88"/>
      <c r="U31" s="91"/>
      <c r="V31" s="88"/>
      <c r="W31" s="88"/>
      <c r="X31" s="92"/>
      <c r="Y31" s="34"/>
      <c r="AF31" s="13">
        <f t="shared" si="0"/>
        <v>46083</v>
      </c>
      <c r="AG31" s="139"/>
    </row>
    <row r="32" spans="1:33" x14ac:dyDescent="0.25">
      <c r="Y32" s="34"/>
      <c r="AF32" s="13">
        <f t="shared" si="0"/>
        <v>46084</v>
      </c>
      <c r="AG32" s="139"/>
    </row>
    <row r="33" spans="21:25" x14ac:dyDescent="0.25">
      <c r="U33" s="95"/>
      <c r="Y33" s="34"/>
    </row>
    <row r="34" spans="21:25" x14ac:dyDescent="0.25">
      <c r="U34" s="93"/>
      <c r="Y34" s="34"/>
    </row>
    <row r="35" spans="21:25" x14ac:dyDescent="0.25">
      <c r="U35" s="95"/>
      <c r="Y35" s="34"/>
    </row>
    <row r="36" spans="21:25" x14ac:dyDescent="0.25">
      <c r="U36" s="95"/>
      <c r="Y36" s="34"/>
    </row>
    <row r="37" spans="21:25" x14ac:dyDescent="0.25">
      <c r="U37" s="95"/>
      <c r="Y37" s="34"/>
    </row>
    <row r="38" spans="21:25" x14ac:dyDescent="0.25">
      <c r="U38" s="95"/>
      <c r="Y38" s="34"/>
    </row>
    <row r="39" spans="21:25" x14ac:dyDescent="0.25">
      <c r="U39" s="95"/>
      <c r="Y39" s="34"/>
    </row>
    <row r="40" spans="21:25" x14ac:dyDescent="0.25">
      <c r="U40" s="95"/>
      <c r="Y40" s="34"/>
    </row>
    <row r="41" spans="21:25" x14ac:dyDescent="0.25">
      <c r="U41" s="95"/>
      <c r="Y41" s="34"/>
    </row>
    <row r="42" spans="21:25" x14ac:dyDescent="0.25">
      <c r="U42" s="95"/>
      <c r="Y42" s="34"/>
    </row>
    <row r="43" spans="21:25" x14ac:dyDescent="0.25">
      <c r="U43" s="95"/>
    </row>
    <row r="44" spans="21:25" x14ac:dyDescent="0.25">
      <c r="U44" s="95"/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2560-7E8B-41F0-B842-F357993AE224}">
  <dimension ref="A1:AH32"/>
  <sheetViews>
    <sheetView tabSelected="1" topLeftCell="Y1" zoomScale="80" zoomScaleNormal="80" workbookViewId="0">
      <selection activeCell="AF25" sqref="AF25"/>
    </sheetView>
  </sheetViews>
  <sheetFormatPr baseColWidth="10" defaultRowHeight="15" x14ac:dyDescent="0.25"/>
  <cols>
    <col min="1" max="1" width="11.42578125" style="32"/>
    <col min="2" max="8" width="11.42578125" style="32" customWidth="1"/>
    <col min="9" max="9" width="22.140625" style="32" customWidth="1"/>
    <col min="10" max="11" width="11.42578125" style="32" customWidth="1"/>
    <col min="12" max="12" width="23.140625" style="32" customWidth="1"/>
    <col min="13" max="13" width="11.42578125" style="32" customWidth="1"/>
    <col min="14" max="14" width="11.42578125" style="73" customWidth="1"/>
    <col min="15" max="15" width="11.7109375" style="32" bestFit="1" customWidth="1"/>
    <col min="16" max="16" width="11.42578125" style="93" hidden="1" customWidth="1"/>
    <col min="17" max="18" width="11.42578125" style="32" hidden="1" customWidth="1"/>
    <col min="19" max="19" width="11.42578125" style="73" customWidth="1"/>
    <col min="20" max="20" width="11.42578125" style="32" hidden="1" customWidth="1"/>
    <col min="21" max="21" width="0" style="34" hidden="1" customWidth="1"/>
    <col min="22" max="22" width="11.42578125" style="153" customWidth="1"/>
    <col min="23" max="23" width="11.42578125" style="34" customWidth="1"/>
    <col min="24" max="24" width="12" style="34" bestFit="1" customWidth="1"/>
    <col min="25" max="25" width="20.28515625" style="34" bestFit="1" customWidth="1"/>
    <col min="26" max="26" width="23" style="34" hidden="1" customWidth="1"/>
    <col min="27" max="27" width="8.7109375" bestFit="1" customWidth="1"/>
    <col min="28" max="28" width="18.42578125" bestFit="1" customWidth="1"/>
    <col min="29" max="29" width="28.5703125" style="44" bestFit="1" customWidth="1"/>
    <col min="30" max="30" width="10.140625" customWidth="1"/>
    <col min="31" max="31" width="5" customWidth="1"/>
    <col min="33" max="33" width="11.28515625" style="44" customWidth="1"/>
  </cols>
  <sheetData>
    <row r="1" spans="1:33" s="181" customFormat="1" x14ac:dyDescent="0.25">
      <c r="A1" s="232" t="s">
        <v>139</v>
      </c>
      <c r="B1" s="233" t="s">
        <v>140</v>
      </c>
      <c r="C1" s="233" t="s">
        <v>141</v>
      </c>
      <c r="D1" s="233" t="s">
        <v>42</v>
      </c>
      <c r="E1" s="233" t="s">
        <v>142</v>
      </c>
      <c r="F1" s="233" t="s">
        <v>143</v>
      </c>
      <c r="G1" s="233" t="s">
        <v>144</v>
      </c>
      <c r="H1" s="233" t="s">
        <v>145</v>
      </c>
      <c r="I1" s="233" t="s">
        <v>146</v>
      </c>
      <c r="J1" s="233" t="s">
        <v>147</v>
      </c>
      <c r="K1" s="233" t="s">
        <v>148</v>
      </c>
      <c r="L1" s="233" t="s">
        <v>149</v>
      </c>
      <c r="M1" s="233" t="s">
        <v>150</v>
      </c>
      <c r="N1" s="233" t="s">
        <v>151</v>
      </c>
      <c r="O1" s="233" t="s">
        <v>152</v>
      </c>
      <c r="P1" s="233" t="s">
        <v>153</v>
      </c>
      <c r="Q1" s="233" t="s">
        <v>154</v>
      </c>
      <c r="R1" s="233" t="s">
        <v>155</v>
      </c>
      <c r="S1" s="233" t="s">
        <v>156</v>
      </c>
      <c r="T1" s="233" t="s">
        <v>157</v>
      </c>
      <c r="U1" s="234" t="s">
        <v>158</v>
      </c>
      <c r="V1" s="234" t="s">
        <v>170</v>
      </c>
      <c r="W1" s="234" t="s">
        <v>159</v>
      </c>
      <c r="X1" s="234" t="s">
        <v>167</v>
      </c>
      <c r="Y1" s="234" t="s">
        <v>168</v>
      </c>
      <c r="Z1" s="235" t="s">
        <v>31</v>
      </c>
      <c r="AA1" s="32"/>
      <c r="AB1" s="9" t="s">
        <v>61</v>
      </c>
      <c r="AC1" t="s">
        <v>171</v>
      </c>
      <c r="AD1"/>
      <c r="AG1" s="182"/>
    </row>
    <row r="2" spans="1:33" s="173" customFormat="1" x14ac:dyDescent="0.25">
      <c r="A2" s="236">
        <v>2000640121</v>
      </c>
      <c r="B2" s="237" t="s">
        <v>178</v>
      </c>
      <c r="C2" s="237" t="s">
        <v>160</v>
      </c>
      <c r="D2" s="237" t="s">
        <v>90</v>
      </c>
      <c r="E2" s="237" t="s">
        <v>161</v>
      </c>
      <c r="F2" s="238">
        <v>46124</v>
      </c>
      <c r="G2" s="238">
        <v>46124</v>
      </c>
      <c r="H2" s="237" t="s">
        <v>92</v>
      </c>
      <c r="I2" s="237" t="s">
        <v>279</v>
      </c>
      <c r="J2" s="237" t="s">
        <v>162</v>
      </c>
      <c r="K2" s="237">
        <v>59968</v>
      </c>
      <c r="L2" s="237">
        <v>2604140016123613</v>
      </c>
      <c r="M2" s="237" t="s">
        <v>163</v>
      </c>
      <c r="N2" s="238">
        <v>46123</v>
      </c>
      <c r="O2" s="237">
        <v>1258</v>
      </c>
      <c r="P2" s="237" t="s">
        <v>164</v>
      </c>
      <c r="Q2" s="237">
        <v>3</v>
      </c>
      <c r="R2" s="237" t="s">
        <v>165</v>
      </c>
      <c r="S2" s="238">
        <v>46126</v>
      </c>
      <c r="T2" s="237" t="s">
        <v>166</v>
      </c>
      <c r="U2" s="239">
        <v>3.95</v>
      </c>
      <c r="V2" s="239">
        <v>149</v>
      </c>
      <c r="W2" s="239">
        <v>5.89</v>
      </c>
      <c r="X2" s="239">
        <v>1.06</v>
      </c>
      <c r="Y2" s="239">
        <v>142.05000000000001</v>
      </c>
      <c r="Z2" s="171" t="s">
        <v>280</v>
      </c>
      <c r="AA2" s="197"/>
      <c r="AB2" s="10" t="s">
        <v>68</v>
      </c>
      <c r="AC2" s="29"/>
      <c r="AD2"/>
      <c r="AF2" s="174">
        <v>46054</v>
      </c>
      <c r="AG2" s="175"/>
    </row>
    <row r="3" spans="1:33" s="173" customFormat="1" x14ac:dyDescent="0.25">
      <c r="F3" s="174"/>
      <c r="G3" s="174"/>
      <c r="N3" s="174"/>
      <c r="S3" s="174"/>
      <c r="AA3" s="185"/>
      <c r="AB3" s="10">
        <v>46084</v>
      </c>
      <c r="AC3" s="29">
        <v>149</v>
      </c>
      <c r="AD3"/>
      <c r="AF3" s="174">
        <f>+AF2+1</f>
        <v>46055</v>
      </c>
      <c r="AG3" s="175"/>
    </row>
    <row r="4" spans="1:33" s="173" customFormat="1" x14ac:dyDescent="0.25">
      <c r="A4" s="197"/>
      <c r="B4" s="197"/>
      <c r="C4" s="197"/>
      <c r="D4" s="197"/>
      <c r="E4" s="197"/>
      <c r="F4" s="198"/>
      <c r="G4" s="198"/>
      <c r="H4" s="197"/>
      <c r="I4" s="197"/>
      <c r="J4" s="197"/>
      <c r="K4" s="197"/>
      <c r="L4" s="197"/>
      <c r="M4" s="197"/>
      <c r="N4" s="198"/>
      <c r="O4" s="197"/>
      <c r="P4" s="197"/>
      <c r="Q4" s="197"/>
      <c r="R4" s="197"/>
      <c r="S4" s="198"/>
      <c r="T4" s="197"/>
      <c r="U4" s="197"/>
      <c r="V4" s="199"/>
      <c r="W4" s="197"/>
      <c r="X4" s="197"/>
      <c r="Y4" s="197"/>
      <c r="AA4" s="197"/>
      <c r="AB4" s="10" t="s">
        <v>62</v>
      </c>
      <c r="AC4" s="29">
        <v>149</v>
      </c>
      <c r="AD4"/>
      <c r="AF4" s="174">
        <f t="shared" ref="AF4:AF32" si="0">+AF3+1</f>
        <v>46056</v>
      </c>
      <c r="AG4" s="175"/>
    </row>
    <row r="5" spans="1:33" s="173" customFormat="1" x14ac:dyDescent="0.25">
      <c r="A5" s="197"/>
      <c r="B5" s="197"/>
      <c r="C5" s="197"/>
      <c r="D5" s="197"/>
      <c r="E5" s="197"/>
      <c r="F5" s="198"/>
      <c r="G5" s="198"/>
      <c r="H5" s="197"/>
      <c r="I5" s="197"/>
      <c r="J5" s="197"/>
      <c r="K5" s="197"/>
      <c r="L5" s="197"/>
      <c r="M5" s="197"/>
      <c r="N5" s="198"/>
      <c r="O5" s="197"/>
      <c r="P5" s="197"/>
      <c r="Q5" s="197"/>
      <c r="R5" s="197"/>
      <c r="S5" s="198"/>
      <c r="T5" s="197"/>
      <c r="U5" s="197"/>
      <c r="V5" s="199"/>
      <c r="W5" s="197"/>
      <c r="X5" s="197"/>
      <c r="Y5" s="197"/>
      <c r="AA5" s="185"/>
      <c r="AB5"/>
      <c r="AC5"/>
      <c r="AD5"/>
      <c r="AF5" s="174">
        <f t="shared" si="0"/>
        <v>46057</v>
      </c>
      <c r="AG5" s="175"/>
    </row>
    <row r="6" spans="1:33" x14ac:dyDescent="0.25">
      <c r="A6" s="197"/>
      <c r="B6" s="197"/>
      <c r="C6" s="197"/>
      <c r="D6" s="197"/>
      <c r="E6" s="197"/>
      <c r="F6" s="198"/>
      <c r="G6" s="198"/>
      <c r="H6" s="197"/>
      <c r="I6" s="197"/>
      <c r="J6" s="197"/>
      <c r="K6" s="197"/>
      <c r="L6" s="197"/>
      <c r="M6" s="197"/>
      <c r="N6" s="198"/>
      <c r="O6" s="197"/>
      <c r="P6" s="197"/>
      <c r="Q6" s="197"/>
      <c r="R6" s="197"/>
      <c r="S6" s="198"/>
      <c r="T6" s="197"/>
      <c r="U6" s="197"/>
      <c r="V6" s="199"/>
      <c r="W6" s="197"/>
      <c r="X6" s="197"/>
      <c r="Y6" s="197"/>
      <c r="Z6" s="193"/>
      <c r="AA6" s="32"/>
      <c r="AC6"/>
      <c r="AF6" s="176">
        <f t="shared" si="0"/>
        <v>46058</v>
      </c>
      <c r="AG6" s="177"/>
    </row>
    <row r="7" spans="1:33" x14ac:dyDescent="0.25">
      <c r="A7" s="197"/>
      <c r="B7" s="197"/>
      <c r="C7" s="197"/>
      <c r="D7" s="197"/>
      <c r="E7" s="197"/>
      <c r="F7" s="198"/>
      <c r="G7" s="198"/>
      <c r="H7" s="197"/>
      <c r="I7" s="197"/>
      <c r="J7" s="197"/>
      <c r="K7" s="197"/>
      <c r="L7" s="197"/>
      <c r="M7" s="197"/>
      <c r="N7" s="198"/>
      <c r="O7" s="197"/>
      <c r="P7" s="197"/>
      <c r="Q7" s="197"/>
      <c r="R7" s="197"/>
      <c r="S7" s="198"/>
      <c r="T7" s="197"/>
      <c r="U7" s="197"/>
      <c r="V7" s="199"/>
      <c r="W7" s="197"/>
      <c r="X7" s="197"/>
      <c r="Y7" s="197"/>
      <c r="Z7" s="154"/>
      <c r="AA7" s="32"/>
      <c r="AC7"/>
      <c r="AF7" s="13">
        <f t="shared" si="0"/>
        <v>46059</v>
      </c>
      <c r="AG7" s="139"/>
    </row>
    <row r="8" spans="1:33" x14ac:dyDescent="0.25">
      <c r="A8" s="197"/>
      <c r="B8" s="197"/>
      <c r="C8" s="197"/>
      <c r="D8" s="197"/>
      <c r="E8" s="197"/>
      <c r="F8" s="198"/>
      <c r="G8" s="198"/>
      <c r="H8" s="197"/>
      <c r="I8" s="197"/>
      <c r="J8" s="197"/>
      <c r="K8" s="197"/>
      <c r="L8" s="197"/>
      <c r="M8" s="197"/>
      <c r="N8" s="198"/>
      <c r="O8" s="197"/>
      <c r="P8" s="197"/>
      <c r="Q8" s="197"/>
      <c r="R8" s="197"/>
      <c r="S8" s="198"/>
      <c r="T8" s="197"/>
      <c r="U8" s="197"/>
      <c r="V8" s="199"/>
      <c r="W8" s="197"/>
      <c r="X8" s="197"/>
      <c r="Y8" s="197"/>
      <c r="Z8" s="171"/>
      <c r="AA8" s="32"/>
      <c r="AC8"/>
      <c r="AF8" s="13">
        <f t="shared" si="0"/>
        <v>46060</v>
      </c>
      <c r="AG8" s="139"/>
    </row>
    <row r="9" spans="1:33" x14ac:dyDescent="0.25">
      <c r="A9" s="197"/>
      <c r="B9" s="197"/>
      <c r="C9" s="197"/>
      <c r="D9" s="197"/>
      <c r="E9" s="197"/>
      <c r="F9" s="198"/>
      <c r="G9" s="198"/>
      <c r="H9" s="197"/>
      <c r="I9" s="197"/>
      <c r="J9" s="197"/>
      <c r="K9" s="197"/>
      <c r="L9" s="197"/>
      <c r="M9" s="197"/>
      <c r="N9" s="198"/>
      <c r="O9" s="197"/>
      <c r="P9" s="197"/>
      <c r="Q9" s="197"/>
      <c r="R9" s="197"/>
      <c r="S9" s="198"/>
      <c r="T9" s="197"/>
      <c r="U9" s="200"/>
      <c r="V9" s="200"/>
      <c r="W9" s="200"/>
      <c r="X9" s="200"/>
      <c r="Y9" s="185"/>
      <c r="Z9" s="154"/>
      <c r="AA9" s="32"/>
      <c r="AC9"/>
      <c r="AF9" s="13">
        <f t="shared" si="0"/>
        <v>46061</v>
      </c>
      <c r="AG9" s="139"/>
    </row>
    <row r="10" spans="1:33" x14ac:dyDescent="0.25">
      <c r="A10" s="197"/>
      <c r="B10" s="197"/>
      <c r="C10" s="197"/>
      <c r="D10" s="197"/>
      <c r="E10" s="197"/>
      <c r="F10" s="198"/>
      <c r="G10" s="198"/>
      <c r="H10" s="197"/>
      <c r="I10" s="197"/>
      <c r="J10" s="197"/>
      <c r="K10" s="197"/>
      <c r="L10" s="197"/>
      <c r="M10" s="197"/>
      <c r="N10" s="198"/>
      <c r="O10" s="197"/>
      <c r="P10" s="197"/>
      <c r="Q10" s="197"/>
      <c r="R10" s="197"/>
      <c r="S10" s="198"/>
      <c r="T10" s="197"/>
      <c r="U10" s="200"/>
      <c r="V10" s="200"/>
      <c r="W10" s="200"/>
      <c r="X10" s="200"/>
      <c r="Y10" s="185"/>
      <c r="Z10" s="154"/>
      <c r="AA10" s="32"/>
      <c r="AC10"/>
      <c r="AF10" s="13">
        <f t="shared" si="0"/>
        <v>46062</v>
      </c>
      <c r="AG10" s="139"/>
    </row>
    <row r="11" spans="1:33" x14ac:dyDescent="0.25">
      <c r="A11" s="197"/>
      <c r="B11" s="197"/>
      <c r="C11" s="197"/>
      <c r="D11" s="197"/>
      <c r="E11" s="197"/>
      <c r="F11" s="198"/>
      <c r="G11" s="198"/>
      <c r="H11" s="197"/>
      <c r="I11" s="197"/>
      <c r="J11" s="197"/>
      <c r="K11" s="197"/>
      <c r="L11" s="197"/>
      <c r="M11" s="197"/>
      <c r="N11" s="198"/>
      <c r="O11" s="197"/>
      <c r="P11" s="197"/>
      <c r="Q11" s="197"/>
      <c r="R11" s="197"/>
      <c r="S11" s="198"/>
      <c r="T11" s="197"/>
      <c r="U11" s="200"/>
      <c r="V11" s="200"/>
      <c r="W11" s="200"/>
      <c r="X11" s="200"/>
      <c r="Y11" s="185"/>
      <c r="Z11" s="171"/>
      <c r="AA11" s="32"/>
      <c r="AC11"/>
      <c r="AF11" s="13">
        <f t="shared" si="0"/>
        <v>46063</v>
      </c>
      <c r="AG11" s="139"/>
    </row>
    <row r="12" spans="1:33" x14ac:dyDescent="0.25">
      <c r="A12" s="197"/>
      <c r="B12" s="197"/>
      <c r="C12" s="197"/>
      <c r="D12" s="197"/>
      <c r="E12" s="197"/>
      <c r="F12" s="198"/>
      <c r="G12" s="198"/>
      <c r="H12" s="197"/>
      <c r="I12" s="197"/>
      <c r="J12" s="197"/>
      <c r="K12" s="197"/>
      <c r="L12" s="197"/>
      <c r="M12" s="197"/>
      <c r="N12" s="198"/>
      <c r="O12" s="197"/>
      <c r="P12" s="197"/>
      <c r="Q12" s="197"/>
      <c r="R12" s="197"/>
      <c r="S12" s="198"/>
      <c r="T12" s="197"/>
      <c r="U12" s="200"/>
      <c r="V12" s="200"/>
      <c r="W12" s="200"/>
      <c r="X12" s="200"/>
      <c r="Y12" s="201"/>
      <c r="Z12" s="154"/>
      <c r="AA12" s="32"/>
      <c r="AC12"/>
      <c r="AF12" s="13">
        <f t="shared" si="0"/>
        <v>46064</v>
      </c>
      <c r="AG12" s="139">
        <v>149</v>
      </c>
    </row>
    <row r="13" spans="1:33" x14ac:dyDescent="0.25">
      <c r="A13" s="197"/>
      <c r="B13" s="197"/>
      <c r="C13" s="197"/>
      <c r="D13" s="197"/>
      <c r="E13" s="197"/>
      <c r="F13" s="198"/>
      <c r="G13" s="198"/>
      <c r="H13" s="197"/>
      <c r="I13" s="197"/>
      <c r="J13" s="197"/>
      <c r="K13" s="197"/>
      <c r="L13" s="197"/>
      <c r="M13" s="197"/>
      <c r="N13" s="198"/>
      <c r="O13" s="197"/>
      <c r="P13" s="197"/>
      <c r="Q13" s="197"/>
      <c r="R13" s="197"/>
      <c r="S13" s="198"/>
      <c r="T13" s="197"/>
      <c r="U13" s="200"/>
      <c r="V13" s="200"/>
      <c r="W13" s="200"/>
      <c r="X13" s="200"/>
      <c r="Y13" s="201"/>
      <c r="Z13" s="154"/>
      <c r="AA13" s="32"/>
      <c r="AC13"/>
      <c r="AF13" s="13">
        <f t="shared" si="0"/>
        <v>46065</v>
      </c>
      <c r="AG13" s="139"/>
    </row>
    <row r="14" spans="1:33" x14ac:dyDescent="0.25">
      <c r="A14" s="197"/>
      <c r="B14" s="197"/>
      <c r="C14" s="197"/>
      <c r="D14" s="197"/>
      <c r="E14" s="197"/>
      <c r="F14" s="198"/>
      <c r="G14" s="198"/>
      <c r="H14" s="197"/>
      <c r="I14" s="197"/>
      <c r="J14" s="197"/>
      <c r="K14" s="197"/>
      <c r="L14" s="197"/>
      <c r="M14" s="197"/>
      <c r="N14" s="198"/>
      <c r="O14" s="197"/>
      <c r="P14" s="197"/>
      <c r="Q14" s="197"/>
      <c r="R14" s="197"/>
      <c r="S14" s="198"/>
      <c r="T14" s="197"/>
      <c r="U14" s="200"/>
      <c r="V14" s="200"/>
      <c r="W14" s="200"/>
      <c r="X14" s="200"/>
      <c r="Y14" s="201"/>
      <c r="Z14" s="154"/>
      <c r="AA14" s="32"/>
      <c r="AC14"/>
      <c r="AF14" s="13">
        <f t="shared" si="0"/>
        <v>46066</v>
      </c>
      <c r="AG14" s="139"/>
    </row>
    <row r="15" spans="1:33" x14ac:dyDescent="0.25">
      <c r="A15" s="197"/>
      <c r="B15" s="197"/>
      <c r="C15" s="197"/>
      <c r="D15" s="197"/>
      <c r="E15" s="197"/>
      <c r="F15" s="198"/>
      <c r="G15" s="198"/>
      <c r="H15" s="197"/>
      <c r="I15" s="197"/>
      <c r="J15" s="197"/>
      <c r="K15" s="197"/>
      <c r="L15" s="197"/>
      <c r="M15" s="197"/>
      <c r="N15" s="198"/>
      <c r="O15" s="197"/>
      <c r="P15" s="197"/>
      <c r="Q15" s="197"/>
      <c r="R15" s="197"/>
      <c r="S15" s="198"/>
      <c r="T15" s="197"/>
      <c r="U15" s="200"/>
      <c r="V15" s="200"/>
      <c r="W15" s="200"/>
      <c r="X15" s="200"/>
      <c r="Y15" s="185"/>
      <c r="Z15" s="154"/>
      <c r="AA15" s="32"/>
      <c r="AC15"/>
      <c r="AF15" s="13">
        <f t="shared" si="0"/>
        <v>46067</v>
      </c>
      <c r="AG15" s="139"/>
    </row>
    <row r="16" spans="1:33" x14ac:dyDescent="0.25">
      <c r="A16" s="197"/>
      <c r="B16" s="197"/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8"/>
      <c r="O16" s="197"/>
      <c r="P16" s="200"/>
      <c r="Q16" s="197"/>
      <c r="R16" s="197"/>
      <c r="S16" s="198"/>
      <c r="T16" s="197"/>
      <c r="U16" s="202"/>
      <c r="V16" s="199"/>
      <c r="W16" s="202"/>
      <c r="X16" s="202"/>
      <c r="Y16" s="202"/>
      <c r="AC16"/>
      <c r="AF16" s="13">
        <f t="shared" si="0"/>
        <v>46068</v>
      </c>
      <c r="AG16" s="139"/>
    </row>
    <row r="17" spans="1:34" x14ac:dyDescent="0.25">
      <c r="A17" s="197"/>
      <c r="B17" s="197"/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8"/>
      <c r="O17" s="197"/>
      <c r="P17" s="200"/>
      <c r="Q17" s="197"/>
      <c r="R17" s="197"/>
      <c r="S17" s="198"/>
      <c r="T17" s="197"/>
      <c r="U17" s="202"/>
      <c r="V17" s="199"/>
      <c r="W17" s="202"/>
      <c r="X17" s="202"/>
      <c r="Y17" s="202"/>
      <c r="AC17"/>
      <c r="AF17" s="13">
        <f t="shared" si="0"/>
        <v>46069</v>
      </c>
      <c r="AG17" s="139"/>
    </row>
    <row r="18" spans="1:34" x14ac:dyDescent="0.25">
      <c r="A18" s="197"/>
      <c r="B18" s="197"/>
      <c r="C18" s="197"/>
      <c r="D18" s="197"/>
      <c r="E18" s="197"/>
      <c r="F18" s="197"/>
      <c r="G18" s="197"/>
      <c r="H18" s="197"/>
      <c r="I18" s="197"/>
      <c r="J18" s="197"/>
      <c r="K18" s="197"/>
      <c r="L18" s="197"/>
      <c r="M18" s="197"/>
      <c r="N18" s="198"/>
      <c r="O18" s="197"/>
      <c r="P18" s="200"/>
      <c r="Q18" s="197"/>
      <c r="R18" s="197"/>
      <c r="S18" s="198"/>
      <c r="T18" s="197"/>
      <c r="U18" s="202"/>
      <c r="V18" s="199"/>
      <c r="W18" s="202"/>
      <c r="X18" s="202"/>
      <c r="Y18" s="202"/>
      <c r="AC18"/>
      <c r="AF18" s="13">
        <f t="shared" si="0"/>
        <v>46070</v>
      </c>
      <c r="AG18" s="139"/>
    </row>
    <row r="19" spans="1:34" x14ac:dyDescent="0.25">
      <c r="A19" s="197"/>
      <c r="B19" s="197"/>
      <c r="C19" s="197"/>
      <c r="D19" s="197"/>
      <c r="E19" s="197"/>
      <c r="F19" s="198"/>
      <c r="G19" s="198"/>
      <c r="H19" s="197"/>
      <c r="I19" s="197"/>
      <c r="J19" s="197"/>
      <c r="K19" s="197"/>
      <c r="L19" s="197"/>
      <c r="M19" s="197"/>
      <c r="N19" s="198"/>
      <c r="O19" s="197"/>
      <c r="P19" s="197"/>
      <c r="Q19" s="197"/>
      <c r="R19" s="197"/>
      <c r="S19" s="198"/>
      <c r="T19" s="197"/>
      <c r="U19" s="197"/>
      <c r="V19" s="199"/>
      <c r="W19" s="197"/>
      <c r="X19" s="197"/>
      <c r="Y19" s="197"/>
      <c r="Z19" s="154"/>
      <c r="AA19" s="32"/>
      <c r="AB19" s="32"/>
      <c r="AF19" s="13">
        <f t="shared" si="0"/>
        <v>46071</v>
      </c>
      <c r="AG19" s="139"/>
    </row>
    <row r="20" spans="1:34" x14ac:dyDescent="0.25">
      <c r="A20" s="197"/>
      <c r="B20" s="197"/>
      <c r="C20" s="197"/>
      <c r="D20" s="197"/>
      <c r="E20" s="197"/>
      <c r="F20" s="198"/>
      <c r="G20" s="198"/>
      <c r="H20" s="197"/>
      <c r="I20" s="197"/>
      <c r="J20" s="197"/>
      <c r="K20" s="197"/>
      <c r="L20" s="197"/>
      <c r="M20" s="197"/>
      <c r="N20" s="198"/>
      <c r="O20" s="197"/>
      <c r="P20" s="197"/>
      <c r="Q20" s="197"/>
      <c r="R20" s="197"/>
      <c r="S20" s="198"/>
      <c r="T20" s="197"/>
      <c r="U20" s="197"/>
      <c r="V20" s="199"/>
      <c r="W20" s="197"/>
      <c r="X20" s="197"/>
      <c r="Y20" s="197"/>
      <c r="Z20" s="154"/>
      <c r="AA20" s="32"/>
      <c r="AB20" s="32"/>
      <c r="AF20" s="13">
        <f t="shared" si="0"/>
        <v>46072</v>
      </c>
      <c r="AG20" s="139"/>
    </row>
    <row r="21" spans="1:34" x14ac:dyDescent="0.25">
      <c r="A21" s="197"/>
      <c r="B21" s="197"/>
      <c r="C21" s="197"/>
      <c r="D21" s="197"/>
      <c r="E21" s="197"/>
      <c r="F21" s="198"/>
      <c r="G21" s="198"/>
      <c r="H21" s="197"/>
      <c r="I21" s="197"/>
      <c r="J21" s="197"/>
      <c r="K21" s="197"/>
      <c r="L21" s="197"/>
      <c r="M21" s="197"/>
      <c r="N21" s="198"/>
      <c r="O21" s="197"/>
      <c r="P21" s="197"/>
      <c r="Q21" s="197"/>
      <c r="R21" s="197"/>
      <c r="S21" s="198"/>
      <c r="T21" s="197"/>
      <c r="U21" s="197"/>
      <c r="V21" s="199"/>
      <c r="W21" s="197"/>
      <c r="X21" s="197"/>
      <c r="Y21" s="197"/>
      <c r="Z21" s="154"/>
      <c r="AA21" s="32"/>
      <c r="AB21" s="32"/>
      <c r="AF21" s="13">
        <f t="shared" si="0"/>
        <v>46073</v>
      </c>
      <c r="AG21" s="139"/>
    </row>
    <row r="22" spans="1:34" x14ac:dyDescent="0.25">
      <c r="A22" s="197"/>
      <c r="B22" s="197"/>
      <c r="C22" s="197"/>
      <c r="D22" s="197"/>
      <c r="E22" s="197"/>
      <c r="F22" s="198"/>
      <c r="G22" s="198"/>
      <c r="H22" s="197"/>
      <c r="I22" s="197"/>
      <c r="J22" s="197"/>
      <c r="K22" s="197"/>
      <c r="L22" s="197"/>
      <c r="M22" s="197"/>
      <c r="N22" s="198"/>
      <c r="O22" s="197"/>
      <c r="P22" s="197"/>
      <c r="Q22" s="197"/>
      <c r="R22" s="197"/>
      <c r="S22" s="198"/>
      <c r="T22" s="197"/>
      <c r="U22" s="197"/>
      <c r="V22" s="199"/>
      <c r="W22" s="197"/>
      <c r="X22" s="197"/>
      <c r="Y22" s="197"/>
      <c r="Z22" s="154"/>
      <c r="AA22" s="32"/>
      <c r="AB22" s="32"/>
      <c r="AF22" s="13">
        <f t="shared" si="0"/>
        <v>46074</v>
      </c>
      <c r="AG22" s="139"/>
    </row>
    <row r="23" spans="1:34" x14ac:dyDescent="0.25">
      <c r="A23" s="197"/>
      <c r="B23" s="197"/>
      <c r="C23" s="197"/>
      <c r="D23" s="197"/>
      <c r="E23" s="197"/>
      <c r="F23" s="198"/>
      <c r="G23" s="198"/>
      <c r="H23" s="197"/>
      <c r="I23" s="197"/>
      <c r="J23" s="197"/>
      <c r="K23" s="197"/>
      <c r="L23" s="197"/>
      <c r="M23" s="197"/>
      <c r="N23" s="198"/>
      <c r="O23" s="197"/>
      <c r="P23" s="197"/>
      <c r="Q23" s="197"/>
      <c r="R23" s="197"/>
      <c r="S23" s="198"/>
      <c r="T23" s="197"/>
      <c r="U23" s="197"/>
      <c r="V23" s="199"/>
      <c r="W23" s="197"/>
      <c r="X23" s="197"/>
      <c r="Y23" s="197"/>
      <c r="Z23" s="171"/>
      <c r="AA23" s="32"/>
      <c r="AB23" s="32"/>
      <c r="AF23" s="13">
        <f t="shared" si="0"/>
        <v>46075</v>
      </c>
      <c r="AG23" s="139"/>
    </row>
    <row r="24" spans="1:34" x14ac:dyDescent="0.25">
      <c r="A24" s="197"/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8"/>
      <c r="O24" s="197"/>
      <c r="P24" s="197"/>
      <c r="Q24" s="197"/>
      <c r="R24" s="197"/>
      <c r="S24" s="198"/>
      <c r="T24" s="197"/>
      <c r="U24" s="197"/>
      <c r="V24" s="199"/>
      <c r="W24" s="197"/>
      <c r="X24" s="197"/>
      <c r="Y24" s="197"/>
      <c r="Z24" s="32"/>
      <c r="AA24" s="32"/>
      <c r="AB24" s="32"/>
      <c r="AF24" s="13">
        <f t="shared" si="0"/>
        <v>46076</v>
      </c>
      <c r="AG24" s="139"/>
    </row>
    <row r="25" spans="1:34" x14ac:dyDescent="0.25">
      <c r="A25" s="197"/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8"/>
      <c r="O25" s="197"/>
      <c r="P25" s="197"/>
      <c r="Q25" s="197"/>
      <c r="R25" s="197"/>
      <c r="S25" s="198"/>
      <c r="T25" s="197"/>
      <c r="U25" s="197"/>
      <c r="V25" s="199"/>
      <c r="W25" s="197"/>
      <c r="X25" s="197"/>
      <c r="Y25" s="197"/>
      <c r="Z25" s="32"/>
      <c r="AA25" s="32"/>
      <c r="AB25" s="32"/>
      <c r="AF25" s="13">
        <f t="shared" si="0"/>
        <v>46077</v>
      </c>
      <c r="AG25" s="139"/>
    </row>
    <row r="26" spans="1:34" x14ac:dyDescent="0.25">
      <c r="P26" s="32"/>
      <c r="U26" s="32"/>
      <c r="W26" s="32"/>
      <c r="X26" s="32"/>
      <c r="Y26" s="32"/>
      <c r="Z26" s="32"/>
      <c r="AA26" s="32"/>
      <c r="AB26" s="32"/>
      <c r="AF26" s="13">
        <f t="shared" si="0"/>
        <v>46078</v>
      </c>
      <c r="AG26" s="139"/>
    </row>
    <row r="27" spans="1:34" x14ac:dyDescent="0.25">
      <c r="O27" s="73"/>
      <c r="AA27" s="32"/>
      <c r="AB27" s="32"/>
      <c r="AF27" s="13">
        <f t="shared" si="0"/>
        <v>46079</v>
      </c>
      <c r="AG27" s="139"/>
    </row>
    <row r="28" spans="1:34" x14ac:dyDescent="0.25">
      <c r="O28" s="73"/>
      <c r="AA28" s="32"/>
      <c r="AB28" s="32"/>
      <c r="AF28" s="13">
        <f t="shared" si="0"/>
        <v>46080</v>
      </c>
      <c r="AG28" s="139"/>
    </row>
    <row r="29" spans="1:34" x14ac:dyDescent="0.25">
      <c r="O29" s="73"/>
      <c r="P29" s="153"/>
      <c r="AA29" s="32"/>
      <c r="AB29" s="32"/>
      <c r="AF29" s="13">
        <f t="shared" si="0"/>
        <v>46081</v>
      </c>
      <c r="AG29" s="139"/>
    </row>
    <row r="30" spans="1:34" x14ac:dyDescent="0.25">
      <c r="O30" s="73"/>
      <c r="P30" s="153"/>
      <c r="AF30" s="13">
        <f t="shared" si="0"/>
        <v>46082</v>
      </c>
      <c r="AG30" s="139"/>
    </row>
    <row r="31" spans="1:34" x14ac:dyDescent="0.25">
      <c r="O31" s="73"/>
      <c r="P31" s="153"/>
      <c r="AF31" s="13">
        <f t="shared" si="0"/>
        <v>46083</v>
      </c>
      <c r="AG31" s="160"/>
      <c r="AH31" s="7"/>
    </row>
    <row r="32" spans="1:34" x14ac:dyDescent="0.25">
      <c r="AF32" s="13">
        <f t="shared" si="0"/>
        <v>46084</v>
      </c>
      <c r="AG32" s="139"/>
    </row>
  </sheetData>
  <autoFilter ref="A1:AA3" xr:uid="{169F2560-7E8B-41F0-B842-F357993AE224}"/>
  <sortState xmlns:xlrd2="http://schemas.microsoft.com/office/spreadsheetml/2017/richdata2" ref="A2:Z3">
    <sortCondition ref="N2:N3"/>
  </sortState>
  <conditionalFormatting sqref="I20:I1048576 I2:I6">
    <cfRule type="duplicateValues" dxfId="1" priority="35"/>
  </conditionalFormatting>
  <conditionalFormatting sqref="O19:O1048576 O1:O15">
    <cfRule type="duplicateValues" dxfId="0" priority="1"/>
  </conditionalFormatting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SAP</vt:lpstr>
      <vt:lpstr>REPORTE</vt:lpstr>
      <vt:lpstr>EFECTIVO</vt:lpstr>
      <vt:lpstr>MC</vt:lpstr>
      <vt:lpstr>AMEX</vt:lpstr>
      <vt:lpstr>DINNERS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</dc:creator>
  <cp:lastModifiedBy>Beatriz</cp:lastModifiedBy>
  <dcterms:created xsi:type="dcterms:W3CDTF">2024-03-05T14:34:46Z</dcterms:created>
  <dcterms:modified xsi:type="dcterms:W3CDTF">2026-05-04T16:15:32Z</dcterms:modified>
</cp:coreProperties>
</file>