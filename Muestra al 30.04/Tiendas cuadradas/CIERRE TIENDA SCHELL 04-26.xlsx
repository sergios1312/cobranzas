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ponz\Desktop\MUESTRA COBRANZA TIENDAS\04-05\Tiendas cuadradas\"/>
    </mc:Choice>
  </mc:AlternateContent>
  <xr:revisionPtr revIDLastSave="0" documentId="13_ncr:1_{724D5C83-8858-4FE8-9E6E-E5F5F9FAC467}" xr6:coauthVersionLast="47" xr6:coauthVersionMax="47" xr10:uidLastSave="{00000000-0000-0000-0000-000000000000}"/>
  <bookViews>
    <workbookView xWindow="-108" yWindow="-108" windowWidth="23256" windowHeight="13896" tabRatio="688" xr2:uid="{7AB0CC58-5B71-4D45-BD49-7E4816F806E6}"/>
  </bookViews>
  <sheets>
    <sheet name="CIERRE" sheetId="1" r:id="rId1"/>
    <sheet name="MASTERCARD" sheetId="2" r:id="rId2"/>
    <sheet name="AMEX" sheetId="3" r:id="rId3"/>
    <sheet name="Bancos" sheetId="6" r:id="rId4"/>
    <sheet name="DINERS" sheetId="4" r:id="rId5"/>
    <sheet name="Diners Pagos" sheetId="7" r:id="rId6"/>
  </sheets>
  <definedNames>
    <definedName name="_xlnm._FilterDatabase" localSheetId="2" hidden="1">AMEX!$A$1:$W$18</definedName>
    <definedName name="_xlnm._FilterDatabase" localSheetId="3" hidden="1">Bancos!$L$1:$R$76</definedName>
    <definedName name="_xlnm._FilterDatabase" localSheetId="1" hidden="1">MASTERCARD!$A$1:$AF$353</definedName>
  </definedNames>
  <calcPr calcId="191029"/>
  <pivotCaches>
    <pivotCache cacheId="20" r:id="rId7"/>
    <pivotCache cacheId="23" r:id="rId8"/>
    <pivotCache cacheId="3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10" i="1"/>
  <c r="H7" i="7"/>
  <c r="AE18" i="3"/>
  <c r="AG18" i="3" s="1"/>
  <c r="AH18" i="3" s="1"/>
  <c r="AE17" i="3"/>
  <c r="AF17" i="3" s="1"/>
  <c r="AG17" i="3" s="1"/>
  <c r="AH17" i="3" s="1"/>
  <c r="AE16" i="3"/>
  <c r="AF16" i="3" s="1"/>
  <c r="AG16" i="3" s="1"/>
  <c r="AH16" i="3" s="1"/>
  <c r="AE12" i="3"/>
  <c r="AF12" i="3" s="1"/>
  <c r="AG12" i="3" s="1"/>
  <c r="AH12" i="3" s="1"/>
  <c r="AE11" i="3"/>
  <c r="AF11" i="3" s="1"/>
  <c r="AG11" i="3" s="1"/>
  <c r="AH11" i="3" s="1"/>
  <c r="AE8" i="3"/>
  <c r="AF8" i="3" s="1"/>
  <c r="AG8" i="3" s="1"/>
  <c r="AH8" i="3" s="1"/>
  <c r="AE5" i="3"/>
  <c r="AF5" i="3" s="1"/>
  <c r="AG5" i="3" s="1"/>
  <c r="AH5" i="3" s="1"/>
  <c r="AM353" i="2"/>
  <c r="AM326" i="2"/>
  <c r="AM325" i="2"/>
  <c r="AM324" i="2"/>
  <c r="AM289" i="2"/>
  <c r="AM287" i="2"/>
  <c r="AM249" i="2"/>
  <c r="AM246" i="2"/>
  <c r="AM216" i="2"/>
  <c r="AM213" i="2"/>
  <c r="AM212" i="2"/>
  <c r="AM184" i="2"/>
  <c r="AM181" i="2"/>
  <c r="AM180" i="2"/>
  <c r="AM138" i="2"/>
  <c r="AM131" i="2"/>
  <c r="AM110" i="2"/>
  <c r="AM109" i="2"/>
  <c r="AM108" i="2"/>
  <c r="AM56" i="2"/>
  <c r="AM55" i="2"/>
  <c r="AM50" i="2"/>
  <c r="AM49" i="2"/>
  <c r="AM3" i="2"/>
  <c r="AN353" i="2"/>
  <c r="AO353" i="2" s="1"/>
  <c r="AP353" i="2" s="1"/>
  <c r="AN326" i="2"/>
  <c r="AO326" i="2" s="1"/>
  <c r="AP326" i="2" s="1"/>
  <c r="AN325" i="2"/>
  <c r="AO325" i="2" s="1"/>
  <c r="AP325" i="2" s="1"/>
  <c r="AN324" i="2"/>
  <c r="AO324" i="2" s="1"/>
  <c r="AP324" i="2" s="1"/>
  <c r="AN289" i="2"/>
  <c r="AO289" i="2" s="1"/>
  <c r="AP289" i="2" s="1"/>
  <c r="AN287" i="2"/>
  <c r="AO287" i="2" s="1"/>
  <c r="AP287" i="2" s="1"/>
  <c r="AN249" i="2"/>
  <c r="AO249" i="2" s="1"/>
  <c r="AP249" i="2" s="1"/>
  <c r="AN246" i="2"/>
  <c r="AO246" i="2" s="1"/>
  <c r="AP246" i="2" s="1"/>
  <c r="AN216" i="2"/>
  <c r="AO216" i="2" s="1"/>
  <c r="AP216" i="2" s="1"/>
  <c r="AN213" i="2"/>
  <c r="AO213" i="2" s="1"/>
  <c r="AP213" i="2" s="1"/>
  <c r="AN212" i="2"/>
  <c r="AO212" i="2" s="1"/>
  <c r="AP212" i="2" s="1"/>
  <c r="AN184" i="2"/>
  <c r="AO184" i="2" s="1"/>
  <c r="AP184" i="2" s="1"/>
  <c r="AN181" i="2"/>
  <c r="AO181" i="2" s="1"/>
  <c r="AP181" i="2" s="1"/>
  <c r="AN180" i="2"/>
  <c r="AO180" i="2" s="1"/>
  <c r="AP180" i="2" s="1"/>
  <c r="AN138" i="2"/>
  <c r="AO138" i="2" s="1"/>
  <c r="AP138" i="2" s="1"/>
  <c r="AN131" i="2"/>
  <c r="AO131" i="2" s="1"/>
  <c r="AP131" i="2" s="1"/>
  <c r="AN110" i="2"/>
  <c r="AO110" i="2" s="1"/>
  <c r="AP110" i="2" s="1"/>
  <c r="AN109" i="2"/>
  <c r="AO109" i="2" s="1"/>
  <c r="AP109" i="2" s="1"/>
  <c r="AN108" i="2"/>
  <c r="AO108" i="2" s="1"/>
  <c r="AP108" i="2" s="1"/>
  <c r="AN56" i="2"/>
  <c r="AO56" i="2" s="1"/>
  <c r="AP56" i="2" s="1"/>
  <c r="AN55" i="2"/>
  <c r="AO55" i="2" s="1"/>
  <c r="AP55" i="2" s="1"/>
  <c r="AN50" i="2"/>
  <c r="AO50" i="2" s="1"/>
  <c r="AP50" i="2" s="1"/>
  <c r="AN49" i="2"/>
  <c r="AO49" i="2" s="1"/>
  <c r="AP49" i="2" s="1"/>
  <c r="AN3" i="2"/>
  <c r="AO3" i="2" s="1"/>
  <c r="AP3" i="2" s="1"/>
  <c r="H2" i="1" l="1"/>
  <c r="L8" i="1"/>
  <c r="L7" i="1"/>
  <c r="L6" i="1"/>
  <c r="L5" i="1"/>
  <c r="L4" i="1"/>
  <c r="L3" i="1"/>
  <c r="J3" i="1"/>
  <c r="J4" i="1"/>
  <c r="J2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<sst xmlns="http://schemas.openxmlformats.org/spreadsheetml/2006/main" count="12176" uniqueCount="1545">
  <si>
    <t>FECHA</t>
  </si>
  <si>
    <t>ID TIENDA</t>
  </si>
  <si>
    <t>NOMBRE</t>
  </si>
  <si>
    <t>TOTAL VENTA</t>
  </si>
  <si>
    <t>VISA</t>
  </si>
  <si>
    <t>EFECTIVO</t>
  </si>
  <si>
    <t>MASTERCARD</t>
  </si>
  <si>
    <t>AMERICAN EXPRESS</t>
  </si>
  <si>
    <t>DINERS</t>
  </si>
  <si>
    <t>LUKITA (BBVA)</t>
  </si>
  <si>
    <t>TUNKY (INTERBANK)</t>
  </si>
  <si>
    <t>WALI (INTERBANK)</t>
  </si>
  <si>
    <t>YAPE (BCP)</t>
  </si>
  <si>
    <t>MILLAS INTERBANK</t>
  </si>
  <si>
    <t>PUNTOS VIDA (BBVA)</t>
  </si>
  <si>
    <t>TRANSFERENCIA MALVITEC</t>
  </si>
  <si>
    <t>RAPPI</t>
  </si>
  <si>
    <t>ADELANTO (PRE-VENTA)</t>
  </si>
  <si>
    <t>YAPE (BCP) - 2</t>
  </si>
  <si>
    <t>YAPE (BCP) - 3</t>
  </si>
  <si>
    <t>SANTANDER</t>
  </si>
  <si>
    <t>MIS CUOTAS</t>
  </si>
  <si>
    <t>CUOTEALO</t>
  </si>
  <si>
    <t>POWERPAY</t>
  </si>
  <si>
    <t>CÁLIDDA</t>
  </si>
  <si>
    <t>NOTA CREDITO</t>
  </si>
  <si>
    <t>TOTAL</t>
  </si>
  <si>
    <t>MIS.MI01</t>
  </si>
  <si>
    <t>MI STORE SHELL MIRAFLORES</t>
  </si>
  <si>
    <t>Codigo</t>
  </si>
  <si>
    <t>Producto</t>
  </si>
  <si>
    <t>Tipo_Mov</t>
  </si>
  <si>
    <t>Fecha_Proceso</t>
  </si>
  <si>
    <t>Fecha_Lote</t>
  </si>
  <si>
    <t>Lote_Manual</t>
  </si>
  <si>
    <t>Lote_Pos</t>
  </si>
  <si>
    <t>Terminal</t>
  </si>
  <si>
    <t>Voucher</t>
  </si>
  <si>
    <t>Autorizacion</t>
  </si>
  <si>
    <t>Cuotas</t>
  </si>
  <si>
    <t>Tarjeta</t>
  </si>
  <si>
    <t>Origen</t>
  </si>
  <si>
    <t>Transaccion</t>
  </si>
  <si>
    <t>Fecha_Consumo</t>
  </si>
  <si>
    <t>Importe</t>
  </si>
  <si>
    <t>Status</t>
  </si>
  <si>
    <t>Comision</t>
  </si>
  <si>
    <t>Comision_Afecta</t>
  </si>
  <si>
    <t>IGV</t>
  </si>
  <si>
    <t>Neto_Parcial</t>
  </si>
  <si>
    <t>Neto_Total</t>
  </si>
  <si>
    <t>Fecha_Abono</t>
  </si>
  <si>
    <t>Fecha_Abono_8Dig</t>
  </si>
  <si>
    <t>Observaciones</t>
  </si>
  <si>
    <t>Tipo_Tarjeta</t>
  </si>
  <si>
    <t>Serie_Terminal</t>
  </si>
  <si>
    <t>Banco_Emisor</t>
  </si>
  <si>
    <t>Cuota sin interes</t>
  </si>
  <si>
    <t>Entidad</t>
  </si>
  <si>
    <t>Hora TRX</t>
  </si>
  <si>
    <t>Nombre comercial</t>
  </si>
  <si>
    <t>MC</t>
  </si>
  <si>
    <t>A</t>
  </si>
  <si>
    <t>PS0005</t>
  </si>
  <si>
    <t>511842******2868</t>
  </si>
  <si>
    <t>Nac</t>
  </si>
  <si>
    <t>COM</t>
  </si>
  <si>
    <t>Abonado</t>
  </si>
  <si>
    <t>DEBITO</t>
  </si>
  <si>
    <t>SCOTIA DEBIT</t>
  </si>
  <si>
    <t>XIAOMI SCHELL</t>
  </si>
  <si>
    <t>525435******3245</t>
  </si>
  <si>
    <t>CREDITO</t>
  </si>
  <si>
    <t>BRIPLEY</t>
  </si>
  <si>
    <t>NO</t>
  </si>
  <si>
    <t>VA</t>
  </si>
  <si>
    <t>421355******0350</t>
  </si>
  <si>
    <t>IBK PRIVADA</t>
  </si>
  <si>
    <t>491257******5249</t>
  </si>
  <si>
    <t>BCP</t>
  </si>
  <si>
    <t>455788******2961</t>
  </si>
  <si>
    <t>VISA LOC</t>
  </si>
  <si>
    <t>421355******4374</t>
  </si>
  <si>
    <t>428581******6107</t>
  </si>
  <si>
    <t>SCOTIABANK</t>
  </si>
  <si>
    <t>491246******6814</t>
  </si>
  <si>
    <t>411090******4683</t>
  </si>
  <si>
    <t>455788******4621</t>
  </si>
  <si>
    <t>Yape</t>
  </si>
  <si>
    <t>440355******4209</t>
  </si>
  <si>
    <t>455788******3730</t>
  </si>
  <si>
    <t>421355******0258</t>
  </si>
  <si>
    <t>455103******5157</t>
  </si>
  <si>
    <t>BBVA</t>
  </si>
  <si>
    <t>455788******2975</t>
  </si>
  <si>
    <t>459954******5748</t>
  </si>
  <si>
    <t>Ext</t>
  </si>
  <si>
    <t>VISA INT</t>
  </si>
  <si>
    <t>421355******6107</t>
  </si>
  <si>
    <t>494386******8454</t>
  </si>
  <si>
    <t>455788******0513</t>
  </si>
  <si>
    <t>455788******6991</t>
  </si>
  <si>
    <t>491913******7170</t>
  </si>
  <si>
    <t>455788******0652</t>
  </si>
  <si>
    <t>438466******8049</t>
  </si>
  <si>
    <t>447410******6998</t>
  </si>
  <si>
    <t>BFALABELLA</t>
  </si>
  <si>
    <t>491257******1731</t>
  </si>
  <si>
    <t>454775******5532</t>
  </si>
  <si>
    <t>455788******3122</t>
  </si>
  <si>
    <t>455788******8937</t>
  </si>
  <si>
    <t>455170******4585</t>
  </si>
  <si>
    <t>445330******6783</t>
  </si>
  <si>
    <t>455170******9348</t>
  </si>
  <si>
    <t>444437******9429</t>
  </si>
  <si>
    <t>463402******1898</t>
  </si>
  <si>
    <t>455788******3149</t>
  </si>
  <si>
    <t>447409******0803</t>
  </si>
  <si>
    <t>438466******9298</t>
  </si>
  <si>
    <t>414791******1057</t>
  </si>
  <si>
    <t>SI</t>
  </si>
  <si>
    <t>421410******3724</t>
  </si>
  <si>
    <t>NACION</t>
  </si>
  <si>
    <t>414791******4417</t>
  </si>
  <si>
    <t>491909******7742</t>
  </si>
  <si>
    <t>445330******2906</t>
  </si>
  <si>
    <t>466721******4589</t>
  </si>
  <si>
    <t>421355******0716</t>
  </si>
  <si>
    <t>421918******2517</t>
  </si>
  <si>
    <t>438466******4520</t>
  </si>
  <si>
    <t>455788******7575</t>
  </si>
  <si>
    <t>421355******7937</t>
  </si>
  <si>
    <t>455696******3706</t>
  </si>
  <si>
    <t>VX</t>
  </si>
  <si>
    <t>422829******1265</t>
  </si>
  <si>
    <t>SODEXO</t>
  </si>
  <si>
    <t>525435******0274</t>
  </si>
  <si>
    <t>R03694</t>
  </si>
  <si>
    <t>518047******1522</t>
  </si>
  <si>
    <t>SBP</t>
  </si>
  <si>
    <t>R06320</t>
  </si>
  <si>
    <t>522772******0139</t>
  </si>
  <si>
    <t>553650******9692</t>
  </si>
  <si>
    <t>R09842</t>
  </si>
  <si>
    <t>529206******7509</t>
  </si>
  <si>
    <t>CJ RURAL MC</t>
  </si>
  <si>
    <t>MR</t>
  </si>
  <si>
    <t>R08887</t>
  </si>
  <si>
    <t>233063******0870</t>
  </si>
  <si>
    <t>EDENRED</t>
  </si>
  <si>
    <t>455788******0695</t>
  </si>
  <si>
    <t>491914******4963</t>
  </si>
  <si>
    <t>466721******0808</t>
  </si>
  <si>
    <t>421410******1979</t>
  </si>
  <si>
    <t>455103******5921</t>
  </si>
  <si>
    <t>BBVA Plin</t>
  </si>
  <si>
    <t>445330******1663</t>
  </si>
  <si>
    <t>455788******4017</t>
  </si>
  <si>
    <t>444355******6472</t>
  </si>
  <si>
    <t>421355******4524</t>
  </si>
  <si>
    <t>455788******8503</t>
  </si>
  <si>
    <t>455788******4205</t>
  </si>
  <si>
    <t>428076******3845</t>
  </si>
  <si>
    <t>428082******0287</t>
  </si>
  <si>
    <t>458089******0099</t>
  </si>
  <si>
    <t>444355******7277</t>
  </si>
  <si>
    <t>421355******5133</t>
  </si>
  <si>
    <t>445331******4103</t>
  </si>
  <si>
    <t>455170******3850</t>
  </si>
  <si>
    <t>491914******6425</t>
  </si>
  <si>
    <t>444437******1541</t>
  </si>
  <si>
    <t>455788******9346</t>
  </si>
  <si>
    <t>411539******8357</t>
  </si>
  <si>
    <t>421410******0165</t>
  </si>
  <si>
    <t>491246******2781</t>
  </si>
  <si>
    <t>402161******8256</t>
  </si>
  <si>
    <t>455788******5271</t>
  </si>
  <si>
    <t>414791******5091</t>
  </si>
  <si>
    <t>428082******1068</t>
  </si>
  <si>
    <t>444697******7078</t>
  </si>
  <si>
    <t>428082******2919</t>
  </si>
  <si>
    <t>428082******5325</t>
  </si>
  <si>
    <t>428076******0442</t>
  </si>
  <si>
    <t>421355******2479</t>
  </si>
  <si>
    <t>428076******7117</t>
  </si>
  <si>
    <t>444355******7960</t>
  </si>
  <si>
    <t>414075******3791</t>
  </si>
  <si>
    <t>428581******8221</t>
  </si>
  <si>
    <t>455696******4012</t>
  </si>
  <si>
    <t>491914******8156</t>
  </si>
  <si>
    <t>444355******0745</t>
  </si>
  <si>
    <t>455788******9512</t>
  </si>
  <si>
    <t>407876******3206</t>
  </si>
  <si>
    <t>438829******6221</t>
  </si>
  <si>
    <t>422224******0606</t>
  </si>
  <si>
    <t>445330******0512</t>
  </si>
  <si>
    <t>455788******9294</t>
  </si>
  <si>
    <t>428076******0925</t>
  </si>
  <si>
    <t>455788******4518</t>
  </si>
  <si>
    <t>447409******0191</t>
  </si>
  <si>
    <t>455788******7780</t>
  </si>
  <si>
    <t>VK</t>
  </si>
  <si>
    <t>404071******0277</t>
  </si>
  <si>
    <t>SIP MC</t>
  </si>
  <si>
    <t>511842******4466</t>
  </si>
  <si>
    <t>SBK Plin</t>
  </si>
  <si>
    <t>421355******4624</t>
  </si>
  <si>
    <t>463402******0758</t>
  </si>
  <si>
    <t>455788******2573</t>
  </si>
  <si>
    <t>445330******0881</t>
  </si>
  <si>
    <t>407876******5051</t>
  </si>
  <si>
    <t>455788******6122</t>
  </si>
  <si>
    <t>483203******8398</t>
  </si>
  <si>
    <t>455788******8398</t>
  </si>
  <si>
    <t>439436******0464</t>
  </si>
  <si>
    <t>455788******7697</t>
  </si>
  <si>
    <t>421355******5865</t>
  </si>
  <si>
    <t>434925******5531</t>
  </si>
  <si>
    <t>463401******6685</t>
  </si>
  <si>
    <t>455788******6286</t>
  </si>
  <si>
    <t>455788******7384</t>
  </si>
  <si>
    <t>428082******2936</t>
  </si>
  <si>
    <t>PIW6DJ</t>
  </si>
  <si>
    <t>472955******4842</t>
  </si>
  <si>
    <t>444355******0162</t>
  </si>
  <si>
    <t>414791******2061</t>
  </si>
  <si>
    <t>421355******6237</t>
  </si>
  <si>
    <t>511842******5939</t>
  </si>
  <si>
    <t>512409******4508</t>
  </si>
  <si>
    <t>512409******9448</t>
  </si>
  <si>
    <t>511842******5984</t>
  </si>
  <si>
    <t>512409******2148</t>
  </si>
  <si>
    <t>455JVF</t>
  </si>
  <si>
    <t>545387******6639</t>
  </si>
  <si>
    <t>MCI C. INTER</t>
  </si>
  <si>
    <t>455103******6649</t>
  </si>
  <si>
    <t>462982******8122</t>
  </si>
  <si>
    <t>455788******4399</t>
  </si>
  <si>
    <t>428076******2239</t>
  </si>
  <si>
    <t>477289******0811</t>
  </si>
  <si>
    <t>414791******0519</t>
  </si>
  <si>
    <t>445330******7396</t>
  </si>
  <si>
    <t>438466******9274</t>
  </si>
  <si>
    <t>438466******2778</t>
  </si>
  <si>
    <t>414791******3421</t>
  </si>
  <si>
    <t>455788******6732</t>
  </si>
  <si>
    <t>428082******9343</t>
  </si>
  <si>
    <t>463402******9238</t>
  </si>
  <si>
    <t>444437******0078</t>
  </si>
  <si>
    <t>435779******1719</t>
  </si>
  <si>
    <t>498432******2023</t>
  </si>
  <si>
    <t>444437******6833</t>
  </si>
  <si>
    <t>455788******2355</t>
  </si>
  <si>
    <t>421918******4342</t>
  </si>
  <si>
    <t>455103******5417</t>
  </si>
  <si>
    <t>414791******3986</t>
  </si>
  <si>
    <t>414791******8359</t>
  </si>
  <si>
    <t>438877******8655</t>
  </si>
  <si>
    <t>411090******7961</t>
  </si>
  <si>
    <t>455788******0544</t>
  </si>
  <si>
    <t>466248******5548</t>
  </si>
  <si>
    <t>444355******2631</t>
  </si>
  <si>
    <t>455788******3366</t>
  </si>
  <si>
    <t>444355******2742</t>
  </si>
  <si>
    <t>455788******4819</t>
  </si>
  <si>
    <t>455696******7945</t>
  </si>
  <si>
    <t>455788******3102</t>
  </si>
  <si>
    <t>491931******2940</t>
  </si>
  <si>
    <t>418794******9853</t>
  </si>
  <si>
    <t>455788******8774</t>
  </si>
  <si>
    <t>428083******5878</t>
  </si>
  <si>
    <t>491914******7501</t>
  </si>
  <si>
    <t>450081******7544</t>
  </si>
  <si>
    <t>445330******7804</t>
  </si>
  <si>
    <t>444437******2260</t>
  </si>
  <si>
    <t>444355******6502</t>
  </si>
  <si>
    <t>455175******6014</t>
  </si>
  <si>
    <t>404071******7634</t>
  </si>
  <si>
    <t>553650******9367</t>
  </si>
  <si>
    <t>511842******0257</t>
  </si>
  <si>
    <t>R07116</t>
  </si>
  <si>
    <t>512372******7732</t>
  </si>
  <si>
    <t>455788******7511</t>
  </si>
  <si>
    <t>421355******5461</t>
  </si>
  <si>
    <t>455788******0425</t>
  </si>
  <si>
    <t>428076******7264</t>
  </si>
  <si>
    <t>416538******6993</t>
  </si>
  <si>
    <t>411539******7617</t>
  </si>
  <si>
    <t>444697******6906</t>
  </si>
  <si>
    <t>455788******2828</t>
  </si>
  <si>
    <t>447410******5857</t>
  </si>
  <si>
    <t>463402******0752</t>
  </si>
  <si>
    <t>444437******4694</t>
  </si>
  <si>
    <t>455788******8681</t>
  </si>
  <si>
    <t>455788******5391</t>
  </si>
  <si>
    <t>455788******8945</t>
  </si>
  <si>
    <t>445330******4607</t>
  </si>
  <si>
    <t>421355******2847</t>
  </si>
  <si>
    <t>IBK Plin</t>
  </si>
  <si>
    <t>428076******4056</t>
  </si>
  <si>
    <t>455788******7506</t>
  </si>
  <si>
    <t>445330******5290</t>
  </si>
  <si>
    <t>428083******0336</t>
  </si>
  <si>
    <t>455788******8989</t>
  </si>
  <si>
    <t>455788******6068</t>
  </si>
  <si>
    <t>BSWCKW</t>
  </si>
  <si>
    <t>491793******7451</t>
  </si>
  <si>
    <t>421355******0749</t>
  </si>
  <si>
    <t>477045******9700</t>
  </si>
  <si>
    <t>455170******4024</t>
  </si>
  <si>
    <t>491909******5419</t>
  </si>
  <si>
    <t>444355******4942</t>
  </si>
  <si>
    <t>404071******4580</t>
  </si>
  <si>
    <t>542386******4821</t>
  </si>
  <si>
    <t>511842******3814</t>
  </si>
  <si>
    <t>544853******5991</t>
  </si>
  <si>
    <t>407067******5777</t>
  </si>
  <si>
    <t>427158******2264</t>
  </si>
  <si>
    <t>439701******1079</t>
  </si>
  <si>
    <t>455696******3252</t>
  </si>
  <si>
    <t>421355******8177</t>
  </si>
  <si>
    <t>444437******6252</t>
  </si>
  <si>
    <t>455788******6066</t>
  </si>
  <si>
    <t>491914******3247</t>
  </si>
  <si>
    <t>421355******0466</t>
  </si>
  <si>
    <t>421355******2940</t>
  </si>
  <si>
    <t>455103******5957</t>
  </si>
  <si>
    <t>491257******5915</t>
  </si>
  <si>
    <t>411090******9399</t>
  </si>
  <si>
    <t>464083******1293</t>
  </si>
  <si>
    <t>494386******2189</t>
  </si>
  <si>
    <t>444354******2642</t>
  </si>
  <si>
    <t>455788******9833</t>
  </si>
  <si>
    <t>411515******2887</t>
  </si>
  <si>
    <t>472955******2282</t>
  </si>
  <si>
    <t>455696******6019</t>
  </si>
  <si>
    <t>455696******3133</t>
  </si>
  <si>
    <t>455103******2886</t>
  </si>
  <si>
    <t>491909******8251</t>
  </si>
  <si>
    <t>421355******0810</t>
  </si>
  <si>
    <t>428581******5160</t>
  </si>
  <si>
    <t>414791******3958</t>
  </si>
  <si>
    <t>438466******1454</t>
  </si>
  <si>
    <t>454776******3727</t>
  </si>
  <si>
    <t>455788******8789</t>
  </si>
  <si>
    <t>466248******0340</t>
  </si>
  <si>
    <t>525435******5963</t>
  </si>
  <si>
    <t>553650******4526</t>
  </si>
  <si>
    <t>544853******8159</t>
  </si>
  <si>
    <t>455788******5885</t>
  </si>
  <si>
    <t>FD8B1962</t>
  </si>
  <si>
    <t>455788******8904</t>
  </si>
  <si>
    <t>455788******7178</t>
  </si>
  <si>
    <t>414791******2265</t>
  </si>
  <si>
    <t>463401******1912</t>
  </si>
  <si>
    <t>458189******1355</t>
  </si>
  <si>
    <t>428082******6856</t>
  </si>
  <si>
    <t>463344******1509</t>
  </si>
  <si>
    <t>424138******0141</t>
  </si>
  <si>
    <t>428082******0831</t>
  </si>
  <si>
    <t>455788******0197</t>
  </si>
  <si>
    <t>455788******9570</t>
  </si>
  <si>
    <t>455788******6853</t>
  </si>
  <si>
    <t>407876******8629</t>
  </si>
  <si>
    <t>445330******6857</t>
  </si>
  <si>
    <t>455788******4570</t>
  </si>
  <si>
    <t>S681VA</t>
  </si>
  <si>
    <t>454792******6603</t>
  </si>
  <si>
    <t>455788******8514</t>
  </si>
  <si>
    <t>455788******5456</t>
  </si>
  <si>
    <t>414791******3024</t>
  </si>
  <si>
    <t>455103******2525</t>
  </si>
  <si>
    <t>455788******1743</t>
  </si>
  <si>
    <t>455170******0582</t>
  </si>
  <si>
    <t>428078******4727</t>
  </si>
  <si>
    <t>466721******0138</t>
  </si>
  <si>
    <t>491909******6144</t>
  </si>
  <si>
    <t>492124******0446</t>
  </si>
  <si>
    <t>444697******6882</t>
  </si>
  <si>
    <t>414791******8089</t>
  </si>
  <si>
    <t>404293******4841</t>
  </si>
  <si>
    <t>455788******6573</t>
  </si>
  <si>
    <t>421410******3718</t>
  </si>
  <si>
    <t>491257******8593</t>
  </si>
  <si>
    <t>455170******8929</t>
  </si>
  <si>
    <t>445330******3886</t>
  </si>
  <si>
    <t>491257******6687</t>
  </si>
  <si>
    <t>428597******4149</t>
  </si>
  <si>
    <t>553650******3449</t>
  </si>
  <si>
    <t>55086Z</t>
  </si>
  <si>
    <t>559538******9703</t>
  </si>
  <si>
    <t>455788******1182</t>
  </si>
  <si>
    <t>455103******2494</t>
  </si>
  <si>
    <t>455788******8408</t>
  </si>
  <si>
    <t>455788******3854</t>
  </si>
  <si>
    <t>414075******7414</t>
  </si>
  <si>
    <t>444355******8133</t>
  </si>
  <si>
    <t>455788******8248</t>
  </si>
  <si>
    <t>455696******2075</t>
  </si>
  <si>
    <t>454775******5458</t>
  </si>
  <si>
    <t>447411******8727</t>
  </si>
  <si>
    <t>455788******1288</t>
  </si>
  <si>
    <t>445330******4624</t>
  </si>
  <si>
    <t>447410******0265</t>
  </si>
  <si>
    <t>454775******3601</t>
  </si>
  <si>
    <t>455788******0005</t>
  </si>
  <si>
    <t>491257******2295</t>
  </si>
  <si>
    <t>455788******7732</t>
  </si>
  <si>
    <t>455788******9224</t>
  </si>
  <si>
    <t>421355******5874</t>
  </si>
  <si>
    <t>421355******0681</t>
  </si>
  <si>
    <t>447411******2300</t>
  </si>
  <si>
    <t>489068******0174</t>
  </si>
  <si>
    <t>455788******2863</t>
  </si>
  <si>
    <t>445330******2629</t>
  </si>
  <si>
    <t>463402******4458</t>
  </si>
  <si>
    <t>491246******8657</t>
  </si>
  <si>
    <t>410755******3662</t>
  </si>
  <si>
    <t>455788******0364</t>
  </si>
  <si>
    <t>432802******2727</t>
  </si>
  <si>
    <t>491914******9811</t>
  </si>
  <si>
    <t>421410******3190</t>
  </si>
  <si>
    <t>491257******3318</t>
  </si>
  <si>
    <t>404071******6966</t>
  </si>
  <si>
    <t>530883******2559</t>
  </si>
  <si>
    <t>C</t>
  </si>
  <si>
    <t>455103******8825</t>
  </si>
  <si>
    <t>EXT</t>
  </si>
  <si>
    <t>Extorno</t>
  </si>
  <si>
    <t>Descuento Pendiente</t>
  </si>
  <si>
    <t>455788******6710</t>
  </si>
  <si>
    <t>491246******4873</t>
  </si>
  <si>
    <t>477289******4005</t>
  </si>
  <si>
    <t>455788******8118</t>
  </si>
  <si>
    <t>455788******5711</t>
  </si>
  <si>
    <t>455788******6001</t>
  </si>
  <si>
    <t>455788******4679</t>
  </si>
  <si>
    <t>455788******1831</t>
  </si>
  <si>
    <t>444355******4718</t>
  </si>
  <si>
    <t>447409******3906</t>
  </si>
  <si>
    <t>455696******4724</t>
  </si>
  <si>
    <t>414791******9601</t>
  </si>
  <si>
    <t>454775******6611</t>
  </si>
  <si>
    <t>477765******7741</t>
  </si>
  <si>
    <t>444697******4878</t>
  </si>
  <si>
    <t>493807******9528</t>
  </si>
  <si>
    <t>491257******9319</t>
  </si>
  <si>
    <t>455788******9321</t>
  </si>
  <si>
    <t>455788******3086</t>
  </si>
  <si>
    <t>428582******0410</t>
  </si>
  <si>
    <t>411090******6350</t>
  </si>
  <si>
    <t>494386******0659</t>
  </si>
  <si>
    <t>455788******2758</t>
  </si>
  <si>
    <t>438466******6753</t>
  </si>
  <si>
    <t>Descuentos Aplicados</t>
  </si>
  <si>
    <t>Comision_Merchant</t>
  </si>
  <si>
    <t>COMPRA</t>
  </si>
  <si>
    <t>377897*****7570</t>
  </si>
  <si>
    <t>377934*****9121</t>
  </si>
  <si>
    <t>377754*****9574</t>
  </si>
  <si>
    <t>377898*****4669</t>
  </si>
  <si>
    <t>377752*****3042</t>
  </si>
  <si>
    <t>377934*****1628</t>
  </si>
  <si>
    <t>377752*****7034</t>
  </si>
  <si>
    <t>377934*****8500</t>
  </si>
  <si>
    <t>377892*****4091</t>
  </si>
  <si>
    <t>377934*****7945</t>
  </si>
  <si>
    <t>377934*****5142</t>
  </si>
  <si>
    <t>377934*****2685</t>
  </si>
  <si>
    <t>377754*****8110</t>
  </si>
  <si>
    <t>377934*****3743</t>
  </si>
  <si>
    <t>377752*****9701</t>
  </si>
  <si>
    <t>377934*****9425</t>
  </si>
  <si>
    <t>Código de comercio</t>
  </si>
  <si>
    <t>Nombre del comercio</t>
  </si>
  <si>
    <t>Red</t>
  </si>
  <si>
    <t>Tipo de transacción</t>
  </si>
  <si>
    <t>Fecha de recepción</t>
  </si>
  <si>
    <t>Fecha de proceso</t>
  </si>
  <si>
    <t>Marca</t>
  </si>
  <si>
    <t>N° de tarjeta</t>
  </si>
  <si>
    <t>Tipo de tarjeta</t>
  </si>
  <si>
    <t>Código de autorización</t>
  </si>
  <si>
    <t>Orden de pago</t>
  </si>
  <si>
    <t>Moneda</t>
  </si>
  <si>
    <t>Fecha de ticket</t>
  </si>
  <si>
    <t>N° ticket</t>
  </si>
  <si>
    <t>Estado de ticket</t>
  </si>
  <si>
    <t>N° de cuotas</t>
  </si>
  <si>
    <t>Plazo de pago</t>
  </si>
  <si>
    <t>Fecha de pago</t>
  </si>
  <si>
    <t>Tipo de comisión</t>
  </si>
  <si>
    <t>Valor de comisión</t>
  </si>
  <si>
    <t>Importe del consumo</t>
  </si>
  <si>
    <t>Comisión del consumo</t>
  </si>
  <si>
    <t>IGV del consumo</t>
  </si>
  <si>
    <t>Importe neto de pago</t>
  </si>
  <si>
    <t>1001299773</t>
  </si>
  <si>
    <t>IZIPAY</t>
  </si>
  <si>
    <t/>
  </si>
  <si>
    <t>CONSUMO</t>
  </si>
  <si>
    <t>07-04-2026</t>
  </si>
  <si>
    <t>**** ****** 0205</t>
  </si>
  <si>
    <t>LOCAL</t>
  </si>
  <si>
    <t>088125</t>
  </si>
  <si>
    <t>2604090016067585</t>
  </si>
  <si>
    <t>SOLES</t>
  </si>
  <si>
    <t>06-04-2026</t>
  </si>
  <si>
    <t>0007069</t>
  </si>
  <si>
    <t>PROCESADO</t>
  </si>
  <si>
    <t>2 días</t>
  </si>
  <si>
    <t>09-04-2026</t>
  </si>
  <si>
    <t>PORCENTUAL</t>
  </si>
  <si>
    <t>CUOTAS SIN INTERESES</t>
  </si>
  <si>
    <t>**** ****** 1781</t>
  </si>
  <si>
    <t>037610</t>
  </si>
  <si>
    <t>2604080016055852</t>
  </si>
  <si>
    <t>0006965</t>
  </si>
  <si>
    <t>08-04-2026</t>
  </si>
  <si>
    <t>04-04-2026</t>
  </si>
  <si>
    <t>**** ****** 8450</t>
  </si>
  <si>
    <t>071528</t>
  </si>
  <si>
    <t>2604060016032224</t>
  </si>
  <si>
    <t>0006706</t>
  </si>
  <si>
    <t>**** ****** 3101</t>
  </si>
  <si>
    <t>095454</t>
  </si>
  <si>
    <t>0006722</t>
  </si>
  <si>
    <t>CONSUMOS CORRIENTES</t>
  </si>
  <si>
    <t>02-04-2026</t>
  </si>
  <si>
    <t>**** ****** 5694</t>
  </si>
  <si>
    <t>070632</t>
  </si>
  <si>
    <t>2604040015965002</t>
  </si>
  <si>
    <t>0006472</t>
  </si>
  <si>
    <t>**** ****** 1190</t>
  </si>
  <si>
    <t>011266</t>
  </si>
  <si>
    <t>0006499</t>
  </si>
  <si>
    <t>Etiquetas de fila</t>
  </si>
  <si>
    <t>(en blanco)</t>
  </si>
  <si>
    <t>Total general</t>
  </si>
  <si>
    <t>Suma de Importe</t>
  </si>
  <si>
    <t>Suma de Importe del consumo</t>
  </si>
  <si>
    <t>DIFERENCIA</t>
  </si>
  <si>
    <t>Fecha de operación</t>
  </si>
  <si>
    <t>Nro. de operación</t>
  </si>
  <si>
    <t>Movimiento</t>
  </si>
  <si>
    <t>Descripción</t>
  </si>
  <si>
    <t>Canal</t>
  </si>
  <si>
    <t>Cargo</t>
  </si>
  <si>
    <t>Abono</t>
  </si>
  <si>
    <t>08/04/2026</t>
  </si>
  <si>
    <t>8014234</t>
  </si>
  <si>
    <t>PAGO PMP</t>
  </si>
  <si>
    <t>001023366</t>
  </si>
  <si>
    <t xml:space="preserve">INTERNO
</t>
  </si>
  <si>
    <t>8014233</t>
  </si>
  <si>
    <t>07/04/2026</t>
  </si>
  <si>
    <t>8061392</t>
  </si>
  <si>
    <t>8061391</t>
  </si>
  <si>
    <t>06/04/2026</t>
  </si>
  <si>
    <t>8224821</t>
  </si>
  <si>
    <t>8224826</t>
  </si>
  <si>
    <t>8224819</t>
  </si>
  <si>
    <t>8224829</t>
  </si>
  <si>
    <t>8224824</t>
  </si>
  <si>
    <t>8224825</t>
  </si>
  <si>
    <t>8224827</t>
  </si>
  <si>
    <t>8224828</t>
  </si>
  <si>
    <t>8224820</t>
  </si>
  <si>
    <t>8224818</t>
  </si>
  <si>
    <t>8224823</t>
  </si>
  <si>
    <t>8170926</t>
  </si>
  <si>
    <t>8224830</t>
  </si>
  <si>
    <t>8224822</t>
  </si>
  <si>
    <t>8170924</t>
  </si>
  <si>
    <t>01/04/2026</t>
  </si>
  <si>
    <t>8024603</t>
  </si>
  <si>
    <t>8024602</t>
  </si>
  <si>
    <t>09/04/2026</t>
  </si>
  <si>
    <t>8005811</t>
  </si>
  <si>
    <t>8005809</t>
  </si>
  <si>
    <t>8005813</t>
  </si>
  <si>
    <t>10/04/2026</t>
  </si>
  <si>
    <t>8012515</t>
  </si>
  <si>
    <t>8012514</t>
  </si>
  <si>
    <t>VALIDACION DE DEPOSITOS</t>
  </si>
  <si>
    <t>Codigo de comercio</t>
  </si>
  <si>
    <t>Moneda de pago</t>
  </si>
  <si>
    <t>Fecha de pago programada</t>
  </si>
  <si>
    <t>Fecha de pago efectivo</t>
  </si>
  <si>
    <t>Importe total de consumos</t>
  </si>
  <si>
    <t>Comisiones cobradas</t>
  </si>
  <si>
    <t>Ajustes</t>
  </si>
  <si>
    <t>Retención</t>
  </si>
  <si>
    <t>Importe total de abono</t>
  </si>
  <si>
    <t>Estado del pago</t>
  </si>
  <si>
    <t>Pago efectivo</t>
  </si>
  <si>
    <t>Documento autorizado</t>
  </si>
  <si>
    <t>Banco</t>
  </si>
  <si>
    <t>Tipo de cuenta</t>
  </si>
  <si>
    <t>N° Cuenta bancaria</t>
  </si>
  <si>
    <t>PAGADO</t>
  </si>
  <si>
    <t xml:space="preserve">    -         </t>
  </si>
  <si>
    <t>BANCO CONTINENTAL</t>
  </si>
  <si>
    <t>CORRIENTE</t>
  </si>
  <si>
    <t>0616050100012617</t>
  </si>
  <si>
    <t>8000662</t>
  </si>
  <si>
    <t>PAGO ESTABLECIMENTOS</t>
  </si>
  <si>
    <t>AMEX</t>
  </si>
  <si>
    <t xml:space="preserve">WEB
</t>
  </si>
  <si>
    <t>8009720</t>
  </si>
  <si>
    <t>8009719</t>
  </si>
  <si>
    <t>8002921</t>
  </si>
  <si>
    <t>8002674</t>
  </si>
  <si>
    <t>8009721</t>
  </si>
  <si>
    <t>8002920</t>
  </si>
  <si>
    <t>8002676</t>
  </si>
  <si>
    <t>8002675</t>
  </si>
  <si>
    <t>8009724</t>
  </si>
  <si>
    <t>8009723</t>
  </si>
  <si>
    <t>8002919</t>
  </si>
  <si>
    <t>8009722</t>
  </si>
  <si>
    <t>8002918</t>
  </si>
  <si>
    <t>8002677</t>
  </si>
  <si>
    <t>8009718</t>
  </si>
  <si>
    <t>8118221</t>
  </si>
  <si>
    <t>8003213</t>
  </si>
  <si>
    <t>8001683</t>
  </si>
  <si>
    <t>8003212</t>
  </si>
  <si>
    <t>8001422</t>
  </si>
  <si>
    <t>8001007</t>
  </si>
  <si>
    <t>8001066</t>
  </si>
  <si>
    <t>8000955</t>
  </si>
  <si>
    <t>F. Operación</t>
  </si>
  <si>
    <t>F. Valor</t>
  </si>
  <si>
    <t>Código</t>
  </si>
  <si>
    <t>Nº. Doc.</t>
  </si>
  <si>
    <t>Concepto</t>
  </si>
  <si>
    <t>Oficina</t>
  </si>
  <si>
    <t>0000338475</t>
  </si>
  <si>
    <t>R20100118760DINERS CLUB PERU</t>
  </si>
  <si>
    <t>0814</t>
  </si>
  <si>
    <t>0000338472</t>
  </si>
  <si>
    <t>0000338487</t>
  </si>
  <si>
    <t>0000338478</t>
  </si>
  <si>
    <t>0000338485</t>
  </si>
  <si>
    <t>0000338481</t>
  </si>
  <si>
    <t>0000338479</t>
  </si>
  <si>
    <t>0000338476</t>
  </si>
  <si>
    <t>0000338473</t>
  </si>
  <si>
    <t>0000338483</t>
  </si>
  <si>
    <t>0000338488</t>
  </si>
  <si>
    <t>0000339061</t>
  </si>
  <si>
    <t>0000339056</t>
  </si>
  <si>
    <t>0000339042</t>
  </si>
  <si>
    <t>0000339025</t>
  </si>
  <si>
    <t>0000339037</t>
  </si>
  <si>
    <t>0000339059</t>
  </si>
  <si>
    <t>0000339055</t>
  </si>
  <si>
    <t>0000339058</t>
  </si>
  <si>
    <t>0000339057</t>
  </si>
  <si>
    <t>0000339016</t>
  </si>
  <si>
    <t>0000339015</t>
  </si>
  <si>
    <t>0000339045</t>
  </si>
  <si>
    <t>0000339062</t>
  </si>
  <si>
    <t>0000339060</t>
  </si>
  <si>
    <t>0000339054</t>
  </si>
  <si>
    <t>0000339032</t>
  </si>
  <si>
    <t>0000339048</t>
  </si>
  <si>
    <t>0000339051</t>
  </si>
  <si>
    <t>0000339013</t>
  </si>
  <si>
    <t>0000339038</t>
  </si>
  <si>
    <t>0000339021</t>
  </si>
  <si>
    <t>0000339023</t>
  </si>
  <si>
    <t>0000339040</t>
  </si>
  <si>
    <t>0000339019</t>
  </si>
  <si>
    <t>0000339028</t>
  </si>
  <si>
    <t>0000339043</t>
  </si>
  <si>
    <t>0000339017</t>
  </si>
  <si>
    <t>0000339033</t>
  </si>
  <si>
    <t>0000339030</t>
  </si>
  <si>
    <t>0000339026</t>
  </si>
  <si>
    <t>0000339049</t>
  </si>
  <si>
    <t>0000339052</t>
  </si>
  <si>
    <t>0000339046</t>
  </si>
  <si>
    <t>0000339035</t>
  </si>
  <si>
    <t>0000339330</t>
  </si>
  <si>
    <t>0000339322</t>
  </si>
  <si>
    <t>0000339320</t>
  </si>
  <si>
    <t>0000339324</t>
  </si>
  <si>
    <t>0000339321</t>
  </si>
  <si>
    <t>0000339333</t>
  </si>
  <si>
    <t>0000339319</t>
  </si>
  <si>
    <t>0000339326</t>
  </si>
  <si>
    <t>0000339325</t>
  </si>
  <si>
    <t>0000339323</t>
  </si>
  <si>
    <t>0000339327</t>
  </si>
  <si>
    <t>0000339328</t>
  </si>
  <si>
    <t>0000339331</t>
  </si>
  <si>
    <t>0000339538</t>
  </si>
  <si>
    <t>0000339541</t>
  </si>
  <si>
    <t>0000339531</t>
  </si>
  <si>
    <t>0000339539</t>
  </si>
  <si>
    <t>0000339534</t>
  </si>
  <si>
    <t>0000339532</t>
  </si>
  <si>
    <t>0000339536</t>
  </si>
  <si>
    <t>0000339814</t>
  </si>
  <si>
    <t>0000339819</t>
  </si>
  <si>
    <t>0000339815</t>
  </si>
  <si>
    <t>0000339818</t>
  </si>
  <si>
    <t>0000339820</t>
  </si>
  <si>
    <t>0000339807</t>
  </si>
  <si>
    <t>0000339816</t>
  </si>
  <si>
    <t>0000339810</t>
  </si>
  <si>
    <t>0000339812</t>
  </si>
  <si>
    <t>0000339808</t>
  </si>
  <si>
    <t>D</t>
  </si>
  <si>
    <t>Detalle Descuento</t>
  </si>
  <si>
    <t>525435******7371</t>
  </si>
  <si>
    <t>518053******1900</t>
  </si>
  <si>
    <t>530691******2897</t>
  </si>
  <si>
    <t>PS0003</t>
  </si>
  <si>
    <t>407876******1888</t>
  </si>
  <si>
    <t>444355******5755</t>
  </si>
  <si>
    <t>444355******9306</t>
  </si>
  <si>
    <t>455788******3877</t>
  </si>
  <si>
    <t>444437******5535</t>
  </si>
  <si>
    <t>455788******0151</t>
  </si>
  <si>
    <t>433466******1618</t>
  </si>
  <si>
    <t>MIBANCO</t>
  </si>
  <si>
    <t>455696******4941</t>
  </si>
  <si>
    <t>421355******7224</t>
  </si>
  <si>
    <t>455696******2679</t>
  </si>
  <si>
    <t>455788******2741</t>
  </si>
  <si>
    <t>414791******6099</t>
  </si>
  <si>
    <t>432802******5243</t>
  </si>
  <si>
    <t>445330******4047</t>
  </si>
  <si>
    <t>491257******1137</t>
  </si>
  <si>
    <t>428078******5180</t>
  </si>
  <si>
    <t>493098******1488</t>
  </si>
  <si>
    <t>414791******4613</t>
  </si>
  <si>
    <t>414791******1607</t>
  </si>
  <si>
    <t>455788******9466</t>
  </si>
  <si>
    <t>444355******4611</t>
  </si>
  <si>
    <t>336EL6</t>
  </si>
  <si>
    <t>404071******4809</t>
  </si>
  <si>
    <t>545931******2327</t>
  </si>
  <si>
    <t>525435******5495</t>
  </si>
  <si>
    <t>545369******8602</t>
  </si>
  <si>
    <t>R06973</t>
  </si>
  <si>
    <t>544756******6182</t>
  </si>
  <si>
    <t>553650******8907</t>
  </si>
  <si>
    <t>438466******0796</t>
  </si>
  <si>
    <t>445330******5706</t>
  </si>
  <si>
    <t>455788******5554</t>
  </si>
  <si>
    <t>428082******3019</t>
  </si>
  <si>
    <t>432699******9022</t>
  </si>
  <si>
    <t>428083******4432</t>
  </si>
  <si>
    <t>414791******8132</t>
  </si>
  <si>
    <t>455788******1618</t>
  </si>
  <si>
    <t>438466******2793</t>
  </si>
  <si>
    <t>444697******5446</t>
  </si>
  <si>
    <t>447409******1916</t>
  </si>
  <si>
    <t>X1IHEQ</t>
  </si>
  <si>
    <t>438877******1451</t>
  </si>
  <si>
    <t>454775******3163</t>
  </si>
  <si>
    <t>428076******3150</t>
  </si>
  <si>
    <t>421355******2822</t>
  </si>
  <si>
    <t>444697******3881</t>
  </si>
  <si>
    <t>414791******1532</t>
  </si>
  <si>
    <t>491914******8366</t>
  </si>
  <si>
    <t>414791******0711</t>
  </si>
  <si>
    <t>444355******5327</t>
  </si>
  <si>
    <t>491931******2848</t>
  </si>
  <si>
    <t>455170******3801</t>
  </si>
  <si>
    <t>455788******7063</t>
  </si>
  <si>
    <t>455788******9017</t>
  </si>
  <si>
    <t>463402******7458</t>
  </si>
  <si>
    <t>455788******4063</t>
  </si>
  <si>
    <t>477289******5378</t>
  </si>
  <si>
    <t>491257******1755</t>
  </si>
  <si>
    <t>455170******0802</t>
  </si>
  <si>
    <t>455788******4778</t>
  </si>
  <si>
    <t>491909******8335</t>
  </si>
  <si>
    <t>491914******3151</t>
  </si>
  <si>
    <t>492124******0096</t>
  </si>
  <si>
    <t>411539******1014</t>
  </si>
  <si>
    <t>455788******7687</t>
  </si>
  <si>
    <t>411513******0615</t>
  </si>
  <si>
    <t>491257******7054</t>
  </si>
  <si>
    <t>445330******4957</t>
  </si>
  <si>
    <t>455788******1269</t>
  </si>
  <si>
    <t>445330******6055</t>
  </si>
  <si>
    <t>455103******3916</t>
  </si>
  <si>
    <t>428076******4335</t>
  </si>
  <si>
    <t>445330******7695</t>
  </si>
  <si>
    <t>438466******3236</t>
  </si>
  <si>
    <t>455788******4388</t>
  </si>
  <si>
    <t>438466******0847</t>
  </si>
  <si>
    <t>428076******4982</t>
  </si>
  <si>
    <t>477289******4220</t>
  </si>
  <si>
    <t>511842******6025</t>
  </si>
  <si>
    <t>553650******6615</t>
  </si>
  <si>
    <t>428581******7514</t>
  </si>
  <si>
    <t>455788******7964</t>
  </si>
  <si>
    <t>455788******2332</t>
  </si>
  <si>
    <t>455788******6090</t>
  </si>
  <si>
    <t>444355******5203</t>
  </si>
  <si>
    <t>455788******1179</t>
  </si>
  <si>
    <t>455788******3836</t>
  </si>
  <si>
    <t>414075******7230</t>
  </si>
  <si>
    <t>407980******3832</t>
  </si>
  <si>
    <t>438466******4782</t>
  </si>
  <si>
    <t>444437******3946</t>
  </si>
  <si>
    <t>455788******1371</t>
  </si>
  <si>
    <t>491914******2827</t>
  </si>
  <si>
    <t>421410******7179</t>
  </si>
  <si>
    <t>451787******0022</t>
  </si>
  <si>
    <t>438168******5071</t>
  </si>
  <si>
    <t>445330******0340</t>
  </si>
  <si>
    <t>428082******7624</t>
  </si>
  <si>
    <t>444437******8470</t>
  </si>
  <si>
    <t>491909******7043</t>
  </si>
  <si>
    <t>477765******7079</t>
  </si>
  <si>
    <t>531769******2328</t>
  </si>
  <si>
    <t>455788******5953</t>
  </si>
  <si>
    <t>455788******9203</t>
  </si>
  <si>
    <t>414165******2769</t>
  </si>
  <si>
    <t>422224******7218</t>
  </si>
  <si>
    <t>414791******4932</t>
  </si>
  <si>
    <t>455788******9954</t>
  </si>
  <si>
    <t>491909******3393</t>
  </si>
  <si>
    <t>438466******1144</t>
  </si>
  <si>
    <t>455788******4379</t>
  </si>
  <si>
    <t>463402******9322</t>
  </si>
  <si>
    <t>455788******5754</t>
  </si>
  <si>
    <t>462080******0287</t>
  </si>
  <si>
    <t>438466******4229</t>
  </si>
  <si>
    <t>455170******0558</t>
  </si>
  <si>
    <t>455788******7825</t>
  </si>
  <si>
    <t>455788******4975</t>
  </si>
  <si>
    <t>447410******3225</t>
  </si>
  <si>
    <t>438466******3141</t>
  </si>
  <si>
    <t>491914******1531</t>
  </si>
  <si>
    <t>414791******4325</t>
  </si>
  <si>
    <t>438466******3198</t>
  </si>
  <si>
    <t>463403******0822</t>
  </si>
  <si>
    <t>492124******3077</t>
  </si>
  <si>
    <t>477376******8412</t>
  </si>
  <si>
    <t>421355******9012</t>
  </si>
  <si>
    <t>414075******4203</t>
  </si>
  <si>
    <t>414791******2172</t>
  </si>
  <si>
    <t>447410******2235</t>
  </si>
  <si>
    <t>445330******4837</t>
  </si>
  <si>
    <t>414791******2678</t>
  </si>
  <si>
    <t>455696******7277</t>
  </si>
  <si>
    <t>455788******8917</t>
  </si>
  <si>
    <t>XH5RTW</t>
  </si>
  <si>
    <t>559535******4669</t>
  </si>
  <si>
    <t>RF4FUA</t>
  </si>
  <si>
    <t>516794******0919</t>
  </si>
  <si>
    <t>UP</t>
  </si>
  <si>
    <t>526855******1635</t>
  </si>
  <si>
    <t>CUP INTER</t>
  </si>
  <si>
    <t>421355******7398</t>
  </si>
  <si>
    <t>414791******6962</t>
  </si>
  <si>
    <t>439436******3962</t>
  </si>
  <si>
    <t>414791******9714</t>
  </si>
  <si>
    <t>455788******2092</t>
  </si>
  <si>
    <t>407067******9822</t>
  </si>
  <si>
    <t>455696******4788</t>
  </si>
  <si>
    <t>421355******2050</t>
  </si>
  <si>
    <t>455788******0187</t>
  </si>
  <si>
    <t>455788******6185</t>
  </si>
  <si>
    <t>455788******4306</t>
  </si>
  <si>
    <t>455788******7891</t>
  </si>
  <si>
    <t>463402******8990</t>
  </si>
  <si>
    <t>455696******5983</t>
  </si>
  <si>
    <t>424138******9058</t>
  </si>
  <si>
    <t>491914******0297</t>
  </si>
  <si>
    <t>491909******8784</t>
  </si>
  <si>
    <t>438168******8262</t>
  </si>
  <si>
    <t>447410******7478</t>
  </si>
  <si>
    <t>414782******2418</t>
  </si>
  <si>
    <t>BIF</t>
  </si>
  <si>
    <t>428076******6679</t>
  </si>
  <si>
    <t>491909******8850</t>
  </si>
  <si>
    <t>404293******0415</t>
  </si>
  <si>
    <t>438466******2016</t>
  </si>
  <si>
    <t>455788******7340</t>
  </si>
  <si>
    <t>455103******8508</t>
  </si>
  <si>
    <t>421355******9692</t>
  </si>
  <si>
    <t>444697******4881</t>
  </si>
  <si>
    <t>455148******8138</t>
  </si>
  <si>
    <t>525435******2647</t>
  </si>
  <si>
    <t>R08539</t>
  </si>
  <si>
    <t>527603******0507</t>
  </si>
  <si>
    <t>R08648</t>
  </si>
  <si>
    <t>532619******2337</t>
  </si>
  <si>
    <t>438126******1997</t>
  </si>
  <si>
    <t>457331******1298</t>
  </si>
  <si>
    <t>422224******7451</t>
  </si>
  <si>
    <t>432619******2053</t>
  </si>
  <si>
    <t>438466******1250</t>
  </si>
  <si>
    <t>438466******0188</t>
  </si>
  <si>
    <t>491909******0165</t>
  </si>
  <si>
    <t>455788******2974</t>
  </si>
  <si>
    <t>455788******4735</t>
  </si>
  <si>
    <t>463403******0992</t>
  </si>
  <si>
    <t>491246******9938</t>
  </si>
  <si>
    <t>428582******2074</t>
  </si>
  <si>
    <t>448468******8699</t>
  </si>
  <si>
    <t>428076******4571</t>
  </si>
  <si>
    <t>411090******7331</t>
  </si>
  <si>
    <t>438450******2118</t>
  </si>
  <si>
    <t>491914******1015</t>
  </si>
  <si>
    <t>454775******6828</t>
  </si>
  <si>
    <t>433278******1745</t>
  </si>
  <si>
    <t>455788******0343</t>
  </si>
  <si>
    <t>455788******9292</t>
  </si>
  <si>
    <t>454776******3685</t>
  </si>
  <si>
    <t>438466******3606</t>
  </si>
  <si>
    <t>447409******3477</t>
  </si>
  <si>
    <t>525435******9339</t>
  </si>
  <si>
    <t>525435******1828</t>
  </si>
  <si>
    <t>525435******8348</t>
  </si>
  <si>
    <t>455103******1424</t>
  </si>
  <si>
    <t>404293******6667</t>
  </si>
  <si>
    <t>455788******9333</t>
  </si>
  <si>
    <t>438466******8369</t>
  </si>
  <si>
    <t>444355******6554</t>
  </si>
  <si>
    <t>422224******5080</t>
  </si>
  <si>
    <t>458102******5606</t>
  </si>
  <si>
    <t>421355******9289</t>
  </si>
  <si>
    <t>428597******5512</t>
  </si>
  <si>
    <t>455788******5531</t>
  </si>
  <si>
    <t>444355******6796</t>
  </si>
  <si>
    <t>491914******0557</t>
  </si>
  <si>
    <t>455170******3732</t>
  </si>
  <si>
    <t>483203******1005</t>
  </si>
  <si>
    <t>434925******5473</t>
  </si>
  <si>
    <t>445330******2444</t>
  </si>
  <si>
    <t>421355******8372</t>
  </si>
  <si>
    <t>455696******3664</t>
  </si>
  <si>
    <t>438877******8989</t>
  </si>
  <si>
    <t>491257******8149</t>
  </si>
  <si>
    <t>494386******6563</t>
  </si>
  <si>
    <t>455788******9074</t>
  </si>
  <si>
    <t>411539******5001</t>
  </si>
  <si>
    <t>455696******2160</t>
  </si>
  <si>
    <t>421355******0843</t>
  </si>
  <si>
    <t>421918******5146</t>
  </si>
  <si>
    <t>411074******8560</t>
  </si>
  <si>
    <t>491914******1149</t>
  </si>
  <si>
    <t>491257******0586</t>
  </si>
  <si>
    <t>491914******1879</t>
  </si>
  <si>
    <t>428597******7941</t>
  </si>
  <si>
    <t>455103******2021</t>
  </si>
  <si>
    <t>455788******9468</t>
  </si>
  <si>
    <t>428082******0111</t>
  </si>
  <si>
    <t>463403******4419</t>
  </si>
  <si>
    <t>Detalle Descuento   4075653</t>
  </si>
  <si>
    <t>PAYZEN</t>
  </si>
  <si>
    <t>414791******4901</t>
  </si>
  <si>
    <t>Detalle Descuento   4077561</t>
  </si>
  <si>
    <t>405893******1341</t>
  </si>
  <si>
    <t>405893******1333</t>
  </si>
  <si>
    <t>405893******1325</t>
  </si>
  <si>
    <t>405893******1317</t>
  </si>
  <si>
    <t>405893******1358</t>
  </si>
  <si>
    <t>525435******3685</t>
  </si>
  <si>
    <t>532994******8884</t>
  </si>
  <si>
    <t>R02223</t>
  </si>
  <si>
    <t>518047******1815</t>
  </si>
  <si>
    <t>525435******6643</t>
  </si>
  <si>
    <t>QSTKE7</t>
  </si>
  <si>
    <t>545387******4795</t>
  </si>
  <si>
    <t>531620******4424</t>
  </si>
  <si>
    <t>511842******4292</t>
  </si>
  <si>
    <t>421355******7034</t>
  </si>
  <si>
    <t>421355******6612</t>
  </si>
  <si>
    <t>455788******1736</t>
  </si>
  <si>
    <t>455788******9515</t>
  </si>
  <si>
    <t>463403******5608</t>
  </si>
  <si>
    <t>455788******8638</t>
  </si>
  <si>
    <t>428076******6890</t>
  </si>
  <si>
    <t>438466******4055</t>
  </si>
  <si>
    <t>421355******7295</t>
  </si>
  <si>
    <t>445330******3974</t>
  </si>
  <si>
    <t>463403******8191</t>
  </si>
  <si>
    <t>411515******5181</t>
  </si>
  <si>
    <t>455788******3908</t>
  </si>
  <si>
    <t>455103******3177</t>
  </si>
  <si>
    <t>455696******7917</t>
  </si>
  <si>
    <t>491257******0460</t>
  </si>
  <si>
    <t>491909******4115</t>
  </si>
  <si>
    <t>ZS9XGM</t>
  </si>
  <si>
    <t>432322******3847</t>
  </si>
  <si>
    <t>414075******5556</t>
  </si>
  <si>
    <t>421355******0711</t>
  </si>
  <si>
    <t>455170******2529</t>
  </si>
  <si>
    <t>414791******2864</t>
  </si>
  <si>
    <t>455788******4574</t>
  </si>
  <si>
    <t>414075******5436</t>
  </si>
  <si>
    <t>455103******1864</t>
  </si>
  <si>
    <t>520904******8952</t>
  </si>
  <si>
    <t>518868******7921</t>
  </si>
  <si>
    <t>64FRVX</t>
  </si>
  <si>
    <t>537261******4932</t>
  </si>
  <si>
    <t>510308******3640</t>
  </si>
  <si>
    <t>545931******0796</t>
  </si>
  <si>
    <t>623573*********7919</t>
  </si>
  <si>
    <t>434925******2628</t>
  </si>
  <si>
    <t>455696******8886</t>
  </si>
  <si>
    <t>CI7WLI</t>
  </si>
  <si>
    <t>470458******3335</t>
  </si>
  <si>
    <t>414791******3080</t>
  </si>
  <si>
    <t>491909******9936</t>
  </si>
  <si>
    <t>455788******0001</t>
  </si>
  <si>
    <t>463402******5475</t>
  </si>
  <si>
    <t>455788******0361</t>
  </si>
  <si>
    <t>477766******6607</t>
  </si>
  <si>
    <t>483203******9657</t>
  </si>
  <si>
    <t>428076******2381</t>
  </si>
  <si>
    <t>438466******7725</t>
  </si>
  <si>
    <t>421355******3121</t>
  </si>
  <si>
    <t>454448******3014</t>
  </si>
  <si>
    <t>455788******9955</t>
  </si>
  <si>
    <t>455788******7797</t>
  </si>
  <si>
    <t>428082******1223</t>
  </si>
  <si>
    <t>421355******3435</t>
  </si>
  <si>
    <t>491606******4106</t>
  </si>
  <si>
    <t>455788******2790</t>
  </si>
  <si>
    <t>414791******4090</t>
  </si>
  <si>
    <t>451787******6981</t>
  </si>
  <si>
    <t>421410******0211</t>
  </si>
  <si>
    <t>438877******6866</t>
  </si>
  <si>
    <t>455170******9482</t>
  </si>
  <si>
    <t>478494******7870</t>
  </si>
  <si>
    <t>444354******5689</t>
  </si>
  <si>
    <t>455788******9697</t>
  </si>
  <si>
    <t>421410******1294</t>
  </si>
  <si>
    <t>455696******0921</t>
  </si>
  <si>
    <t>455788******2661</t>
  </si>
  <si>
    <t>407876******1142</t>
  </si>
  <si>
    <t>428076******3627</t>
  </si>
  <si>
    <t>455103******2879</t>
  </si>
  <si>
    <t>404071******4761</t>
  </si>
  <si>
    <t>05067Q</t>
  </si>
  <si>
    <t>558962******6013</t>
  </si>
  <si>
    <t>NCAE8T</t>
  </si>
  <si>
    <t>516882******3961</t>
  </si>
  <si>
    <t>TGBVUI</t>
  </si>
  <si>
    <t>516797******5865</t>
  </si>
  <si>
    <t>511842******0083</t>
  </si>
  <si>
    <t>R02946</t>
  </si>
  <si>
    <t>554046******2161</t>
  </si>
  <si>
    <t>DL86QA</t>
  </si>
  <si>
    <t>407971******9771</t>
  </si>
  <si>
    <t>438877******0716</t>
  </si>
  <si>
    <t>455788******5992</t>
  </si>
  <si>
    <t>478424******7425</t>
  </si>
  <si>
    <t>454776******4945</t>
  </si>
  <si>
    <t>463402******2422</t>
  </si>
  <si>
    <t>435779******3282</t>
  </si>
  <si>
    <t>447409******0611</t>
  </si>
  <si>
    <t>438466******4941</t>
  </si>
  <si>
    <t>451461******3524</t>
  </si>
  <si>
    <t>477289******6222</t>
  </si>
  <si>
    <t>455788******2395</t>
  </si>
  <si>
    <t>421355******0582</t>
  </si>
  <si>
    <t>455788******4991</t>
  </si>
  <si>
    <t>421355******1036</t>
  </si>
  <si>
    <t>491257******8407</t>
  </si>
  <si>
    <t>483203******0015</t>
  </si>
  <si>
    <t>455788******3785</t>
  </si>
  <si>
    <t>445330******1868</t>
  </si>
  <si>
    <t>455788******1042</t>
  </si>
  <si>
    <t>407876******3265</t>
  </si>
  <si>
    <t>455788******2202</t>
  </si>
  <si>
    <t>444697******0101</t>
  </si>
  <si>
    <t>491257******3875</t>
  </si>
  <si>
    <t>455788******1352</t>
  </si>
  <si>
    <t>438466******1895</t>
  </si>
  <si>
    <t>455103******4559</t>
  </si>
  <si>
    <t>455170******1918</t>
  </si>
  <si>
    <t>411513******7257</t>
  </si>
  <si>
    <t>494386******1504</t>
  </si>
  <si>
    <t>491337******8229</t>
  </si>
  <si>
    <t>454775******1970</t>
  </si>
  <si>
    <t>477289******1841</t>
  </si>
  <si>
    <t>414791******7276</t>
  </si>
  <si>
    <t>477289******8575</t>
  </si>
  <si>
    <t>FSO8JT</t>
  </si>
  <si>
    <t>429445******2857</t>
  </si>
  <si>
    <t>404071******5116</t>
  </si>
  <si>
    <t>455788******0451</t>
  </si>
  <si>
    <t>421355******8349</t>
  </si>
  <si>
    <t>455788******3824</t>
  </si>
  <si>
    <t>428597******0676</t>
  </si>
  <si>
    <t>491909******1963</t>
  </si>
  <si>
    <t>421355******5719</t>
  </si>
  <si>
    <t>445330******9081</t>
  </si>
  <si>
    <t>455788******1778</t>
  </si>
  <si>
    <t>440355******9582</t>
  </si>
  <si>
    <t>438877******0192</t>
  </si>
  <si>
    <t>447410******9924</t>
  </si>
  <si>
    <t>428076******4790</t>
  </si>
  <si>
    <t>JA6TEW</t>
  </si>
  <si>
    <t>472955******9155</t>
  </si>
  <si>
    <t>491909******3502</t>
  </si>
  <si>
    <t>444355******3939</t>
  </si>
  <si>
    <t>463402******9750</t>
  </si>
  <si>
    <t>455788******0832</t>
  </si>
  <si>
    <t>483203******0895</t>
  </si>
  <si>
    <t>455788******0989</t>
  </si>
  <si>
    <t>463401******5915</t>
  </si>
  <si>
    <t>455696******9929</t>
  </si>
  <si>
    <t>445330******0419</t>
  </si>
  <si>
    <t>545931******0819</t>
  </si>
  <si>
    <t>525476******7004</t>
  </si>
  <si>
    <t>CSDEBIT</t>
  </si>
  <si>
    <t>553650******5256</t>
  </si>
  <si>
    <t>455103******7447</t>
  </si>
  <si>
    <t>463401******7225</t>
  </si>
  <si>
    <t>455103******5819</t>
  </si>
  <si>
    <t>445330******7466</t>
  </si>
  <si>
    <t>455788******9603</t>
  </si>
  <si>
    <t>491257******0970</t>
  </si>
  <si>
    <t>481582******8236</t>
  </si>
  <si>
    <t>451397******8000</t>
  </si>
  <si>
    <t>422224******0811</t>
  </si>
  <si>
    <t>455788******4943</t>
  </si>
  <si>
    <t>455788******8283</t>
  </si>
  <si>
    <t>455788******9711</t>
  </si>
  <si>
    <t>407876******0831</t>
  </si>
  <si>
    <t>444355******5537</t>
  </si>
  <si>
    <t>455788******1613</t>
  </si>
  <si>
    <t>455788******9273</t>
  </si>
  <si>
    <t>492124******9284</t>
  </si>
  <si>
    <t>445331******2392</t>
  </si>
  <si>
    <t>447410******4288</t>
  </si>
  <si>
    <t>455696******8833</t>
  </si>
  <si>
    <t>421355******7179</t>
  </si>
  <si>
    <t>445330******7998</t>
  </si>
  <si>
    <t>421355******2897</t>
  </si>
  <si>
    <t>400917******8860</t>
  </si>
  <si>
    <t>444355******7398</t>
  </si>
  <si>
    <t>444697******0086</t>
  </si>
  <si>
    <t>404071******0775</t>
  </si>
  <si>
    <t>525435******4597</t>
  </si>
  <si>
    <t>455170******2342</t>
  </si>
  <si>
    <t>455788******9459</t>
  </si>
  <si>
    <t>455788******3753</t>
  </si>
  <si>
    <t>491914******8988</t>
  </si>
  <si>
    <t>491246******5421</t>
  </si>
  <si>
    <t>455103******7445</t>
  </si>
  <si>
    <t>447410******3821</t>
  </si>
  <si>
    <t>455696******8642</t>
  </si>
  <si>
    <t>414791******9817</t>
  </si>
  <si>
    <t>477289******4034</t>
  </si>
  <si>
    <t>432802******6193</t>
  </si>
  <si>
    <t>463402******3928</t>
  </si>
  <si>
    <t>411515******9669</t>
  </si>
  <si>
    <t>455788******9517</t>
  </si>
  <si>
    <t>XILN1S</t>
  </si>
  <si>
    <t>470458******5179</t>
  </si>
  <si>
    <t>455170******8431</t>
  </si>
  <si>
    <t>455788******7033</t>
  </si>
  <si>
    <t>414791******1154</t>
  </si>
  <si>
    <t>491257******7691</t>
  </si>
  <si>
    <t>454775******5867</t>
  </si>
  <si>
    <t>455696******6327</t>
  </si>
  <si>
    <t>414791******3231</t>
  </si>
  <si>
    <t>491257******0692</t>
  </si>
  <si>
    <t>455696******6037</t>
  </si>
  <si>
    <t>444437******8376</t>
  </si>
  <si>
    <t>421355******8034</t>
  </si>
  <si>
    <t>444437******5418</t>
  </si>
  <si>
    <t>404071******9008</t>
  </si>
  <si>
    <t>404071******4474</t>
  </si>
  <si>
    <t>544853******0605</t>
  </si>
  <si>
    <t>455788******0793</t>
  </si>
  <si>
    <t>455788******8096</t>
  </si>
  <si>
    <t>455103******2678</t>
  </si>
  <si>
    <t>455788******1522</t>
  </si>
  <si>
    <t>455788******6221</t>
  </si>
  <si>
    <t>455103******6672</t>
  </si>
  <si>
    <t>455103******4941</t>
  </si>
  <si>
    <t>455788******8326</t>
  </si>
  <si>
    <t>421355******1253</t>
  </si>
  <si>
    <t>463402******4645</t>
  </si>
  <si>
    <t>445330******9670</t>
  </si>
  <si>
    <t>463512******5362</t>
  </si>
  <si>
    <t>428076******8859</t>
  </si>
  <si>
    <t>466721******2893</t>
  </si>
  <si>
    <t>400917******9020</t>
  </si>
  <si>
    <t>491914******6700</t>
  </si>
  <si>
    <t>463401******9109</t>
  </si>
  <si>
    <t>454775******6194</t>
  </si>
  <si>
    <t>463402******7483</t>
  </si>
  <si>
    <t>463402******3287</t>
  </si>
  <si>
    <t>491909******5157</t>
  </si>
  <si>
    <t>454448******1564</t>
  </si>
  <si>
    <t>438877******4409</t>
  </si>
  <si>
    <t>445330******8349</t>
  </si>
  <si>
    <t>414791******5253</t>
  </si>
  <si>
    <t>455788******2178</t>
  </si>
  <si>
    <t>455788******1869</t>
  </si>
  <si>
    <t>455103******3615</t>
  </si>
  <si>
    <t>455696******1035</t>
  </si>
  <si>
    <t>435779******0796</t>
  </si>
  <si>
    <t>444697******6367</t>
  </si>
  <si>
    <t>428078******0007</t>
  </si>
  <si>
    <t>428078******9792</t>
  </si>
  <si>
    <t>404071******6828</t>
  </si>
  <si>
    <t>553650******5844</t>
  </si>
  <si>
    <t>534989******2215</t>
  </si>
  <si>
    <t>455788******0259</t>
  </si>
  <si>
    <t>483203******8479</t>
  </si>
  <si>
    <t>407067******9065</t>
  </si>
  <si>
    <t>455788******4881</t>
  </si>
  <si>
    <t>491931******4964</t>
  </si>
  <si>
    <t>447409******0932</t>
  </si>
  <si>
    <t>400394******0430</t>
  </si>
  <si>
    <t>454776******7653</t>
  </si>
  <si>
    <t>463401******0296</t>
  </si>
  <si>
    <t>414791******7033</t>
  </si>
  <si>
    <t>477289******9974</t>
  </si>
  <si>
    <t>463403******7498</t>
  </si>
  <si>
    <t>445330******2121</t>
  </si>
  <si>
    <t>455788******5116</t>
  </si>
  <si>
    <t>444355******5048</t>
  </si>
  <si>
    <t>414791******1117</t>
  </si>
  <si>
    <t>491914******9624</t>
  </si>
  <si>
    <t>455788******5145</t>
  </si>
  <si>
    <t>454448******5997</t>
  </si>
  <si>
    <t>491257******9321</t>
  </si>
  <si>
    <t>414791******5044</t>
  </si>
  <si>
    <t>428076******9125</t>
  </si>
  <si>
    <t>455788******7118</t>
  </si>
  <si>
    <t>411539******7151</t>
  </si>
  <si>
    <t>455788******5447</t>
  </si>
  <si>
    <t>428076******5546</t>
  </si>
  <si>
    <t>455696******5584</t>
  </si>
  <si>
    <t>404071******5112</t>
  </si>
  <si>
    <t>511842******4845</t>
  </si>
  <si>
    <t>HAPKR2</t>
  </si>
  <si>
    <t>472955******9960</t>
  </si>
  <si>
    <t>491914******8718</t>
  </si>
  <si>
    <t>445331******7092</t>
  </si>
  <si>
    <t>438877******0689</t>
  </si>
  <si>
    <t>455788******2084</t>
  </si>
  <si>
    <t>455788******6482</t>
  </si>
  <si>
    <t>455103******4706</t>
  </si>
  <si>
    <t>455788******6657</t>
  </si>
  <si>
    <t>414791******7801</t>
  </si>
  <si>
    <t>414075******8201</t>
  </si>
  <si>
    <t>455103******3649</t>
  </si>
  <si>
    <t>463402******7336</t>
  </si>
  <si>
    <t>424138******1996</t>
  </si>
  <si>
    <t>411090******3798</t>
  </si>
  <si>
    <t>428076******8794</t>
  </si>
  <si>
    <t>407067******0432</t>
  </si>
  <si>
    <t>438466******7305</t>
  </si>
  <si>
    <t>455788******2867</t>
  </si>
  <si>
    <t>438466******2387</t>
  </si>
  <si>
    <t>401602******1235</t>
  </si>
  <si>
    <t>455788******3052</t>
  </si>
  <si>
    <t>455696******6830</t>
  </si>
  <si>
    <t>492124******0296</t>
  </si>
  <si>
    <t>455696******7075</t>
  </si>
  <si>
    <t>421355******2629</t>
  </si>
  <si>
    <t>438877******3989</t>
  </si>
  <si>
    <t>447409******6887</t>
  </si>
  <si>
    <t>445330******6539</t>
  </si>
  <si>
    <t>03865D</t>
  </si>
  <si>
    <t>411398******4920</t>
  </si>
  <si>
    <t>414791******8409</t>
  </si>
  <si>
    <t>455788******2165</t>
  </si>
  <si>
    <t>428076******5346</t>
  </si>
  <si>
    <t>483099******9889</t>
  </si>
  <si>
    <t>407912******2864</t>
  </si>
  <si>
    <t>CSF PRIV</t>
  </si>
  <si>
    <t>421355******6992</t>
  </si>
  <si>
    <t>454776******6711</t>
  </si>
  <si>
    <t>447409******4352</t>
  </si>
  <si>
    <t>428076******0866</t>
  </si>
  <si>
    <t>455696******4620</t>
  </si>
  <si>
    <t>414791******1574</t>
  </si>
  <si>
    <t>463402******7560</t>
  </si>
  <si>
    <t>445330******6636</t>
  </si>
  <si>
    <t>414791******4418</t>
  </si>
  <si>
    <t>1WQ9LB</t>
  </si>
  <si>
    <t>454792******1634</t>
  </si>
  <si>
    <t>421355******5026</t>
  </si>
  <si>
    <t>414791******6117</t>
  </si>
  <si>
    <t>455788******3226</t>
  </si>
  <si>
    <t>455788******7278</t>
  </si>
  <si>
    <t>428581******0267</t>
  </si>
  <si>
    <t>438466******5151</t>
  </si>
  <si>
    <t>491246******3311</t>
  </si>
  <si>
    <t>421355******1466</t>
  </si>
  <si>
    <t>491246******6237</t>
  </si>
  <si>
    <t>444355******6055</t>
  </si>
  <si>
    <t>451775******4040</t>
  </si>
  <si>
    <t>421355******8611</t>
  </si>
  <si>
    <t>407912******5340</t>
  </si>
  <si>
    <t>421355******6907</t>
  </si>
  <si>
    <t>447410******9919</t>
  </si>
  <si>
    <t>428076******7246</t>
  </si>
  <si>
    <t>407912******7033</t>
  </si>
  <si>
    <t>491257******5627</t>
  </si>
  <si>
    <t>475211******8457</t>
  </si>
  <si>
    <t>428082******7737</t>
  </si>
  <si>
    <t>455788******6786</t>
  </si>
  <si>
    <t>445330******7499</t>
  </si>
  <si>
    <t>401047******3507</t>
  </si>
  <si>
    <t>445330******0825</t>
  </si>
  <si>
    <t>404071******5647</t>
  </si>
  <si>
    <t>R62395</t>
  </si>
  <si>
    <t>230650******8308</t>
  </si>
  <si>
    <t>69841Z</t>
  </si>
  <si>
    <t>521400******3041</t>
  </si>
  <si>
    <t>455788******0899</t>
  </si>
  <si>
    <t>455103******3572</t>
  </si>
  <si>
    <t>444354******9719</t>
  </si>
  <si>
    <t>444355******3253</t>
  </si>
  <si>
    <t>414791******3310</t>
  </si>
  <si>
    <t>491337******0408</t>
  </si>
  <si>
    <t>08989D</t>
  </si>
  <si>
    <t>411398******3745</t>
  </si>
  <si>
    <t>455788******6009</t>
  </si>
  <si>
    <t>455788******7279</t>
  </si>
  <si>
    <t>3II36H</t>
  </si>
  <si>
    <t>470458******5444</t>
  </si>
  <si>
    <t>463403******4336</t>
  </si>
  <si>
    <t>VMRCUS</t>
  </si>
  <si>
    <t>472955******3376</t>
  </si>
  <si>
    <t>421355******7085</t>
  </si>
  <si>
    <t>745TV3</t>
  </si>
  <si>
    <t>417400******3440</t>
  </si>
  <si>
    <t>414791******4177</t>
  </si>
  <si>
    <t>455788******1477</t>
  </si>
  <si>
    <t>445330******5991</t>
  </si>
  <si>
    <t>455788******2865</t>
  </si>
  <si>
    <t>404071******1364</t>
  </si>
  <si>
    <t>404071******5400</t>
  </si>
  <si>
    <t>554029******4211</t>
  </si>
  <si>
    <t>511842******3168</t>
  </si>
  <si>
    <t>411513******7057</t>
  </si>
  <si>
    <t>414075******3712</t>
  </si>
  <si>
    <t>450792******5572</t>
  </si>
  <si>
    <t>438993******2690</t>
  </si>
  <si>
    <t>455696******8405</t>
  </si>
  <si>
    <t>428083******6288</t>
  </si>
  <si>
    <t>414165******6695</t>
  </si>
  <si>
    <t>491257******0083</t>
  </si>
  <si>
    <t>421355******8912</t>
  </si>
  <si>
    <t>438466******9641</t>
  </si>
  <si>
    <t>428082******6335</t>
  </si>
  <si>
    <t>447410******0753</t>
  </si>
  <si>
    <t>455788******3930</t>
  </si>
  <si>
    <t>444355******0554</t>
  </si>
  <si>
    <t>428582******1246</t>
  </si>
  <si>
    <t>428581******4766</t>
  </si>
  <si>
    <t>411090******6129</t>
  </si>
  <si>
    <t>455788******7429</t>
  </si>
  <si>
    <t>463402******6045</t>
  </si>
  <si>
    <t>438466******8780</t>
  </si>
  <si>
    <t>421355******1716</t>
  </si>
  <si>
    <t>455788******3394</t>
  </si>
  <si>
    <t>YI42AK</t>
  </si>
  <si>
    <t>472955******4179</t>
  </si>
  <si>
    <t>455788******4572</t>
  </si>
  <si>
    <t>552035******0886</t>
  </si>
  <si>
    <t>552035******7258</t>
  </si>
  <si>
    <t>531259******5679</t>
  </si>
  <si>
    <t>T4085J</t>
  </si>
  <si>
    <t>531096******9889</t>
  </si>
  <si>
    <t>534966******0812</t>
  </si>
  <si>
    <t>491246******5974</t>
  </si>
  <si>
    <t>455788******4604</t>
  </si>
  <si>
    <t>414165******4656</t>
  </si>
  <si>
    <t>491914******0769</t>
  </si>
  <si>
    <t>405951******0995</t>
  </si>
  <si>
    <t>455788******7451</t>
  </si>
  <si>
    <t>447410******4552</t>
  </si>
  <si>
    <t>421355******1576</t>
  </si>
  <si>
    <t>455788******2436</t>
  </si>
  <si>
    <t>421355******3184</t>
  </si>
  <si>
    <t>445330******4556</t>
  </si>
  <si>
    <t>411513******8330</t>
  </si>
  <si>
    <t>445330******9197</t>
  </si>
  <si>
    <t>438829******2121</t>
  </si>
  <si>
    <t>491914******6676</t>
  </si>
  <si>
    <t>455170******9298</t>
  </si>
  <si>
    <t>428597******9955</t>
  </si>
  <si>
    <t>421355******5689</t>
  </si>
  <si>
    <t>421355******6596</t>
  </si>
  <si>
    <t>455103******0362</t>
  </si>
  <si>
    <t>451787******5553</t>
  </si>
  <si>
    <t>411539******3222</t>
  </si>
  <si>
    <t>455788******9991</t>
  </si>
  <si>
    <t>455696******7651</t>
  </si>
  <si>
    <t>455788******5435</t>
  </si>
  <si>
    <t>472955******0803</t>
  </si>
  <si>
    <t>455696******5386</t>
  </si>
  <si>
    <t>421355******9329</t>
  </si>
  <si>
    <t>438877******3779</t>
  </si>
  <si>
    <t>455788******1811</t>
  </si>
  <si>
    <t>514871******0187</t>
  </si>
  <si>
    <t>223138******8245</t>
  </si>
  <si>
    <t>R03730</t>
  </si>
  <si>
    <t>551323******6945</t>
  </si>
  <si>
    <t>512409******7676</t>
  </si>
  <si>
    <t>414791******2610</t>
  </si>
  <si>
    <t>455103******5078</t>
  </si>
  <si>
    <t>455696******2205</t>
  </si>
  <si>
    <t>438466******0473</t>
  </si>
  <si>
    <t>455788******7952</t>
  </si>
  <si>
    <t>445330******5739</t>
  </si>
  <si>
    <t>454776******7944</t>
  </si>
  <si>
    <t>421355******1610</t>
  </si>
  <si>
    <t>428581******6925</t>
  </si>
  <si>
    <t>455861******1661</t>
  </si>
  <si>
    <t>421355******0645</t>
  </si>
  <si>
    <t>455788******6189</t>
  </si>
  <si>
    <t>455788******2161</t>
  </si>
  <si>
    <t>444355******9280</t>
  </si>
  <si>
    <t>414791******4589</t>
  </si>
  <si>
    <t>455788******6092</t>
  </si>
  <si>
    <t>491257******4629</t>
  </si>
  <si>
    <t>447410******7529</t>
  </si>
  <si>
    <t>455788******5446</t>
  </si>
  <si>
    <t>491909******4503</t>
  </si>
  <si>
    <t>477290******3249</t>
  </si>
  <si>
    <t>377752*****8733</t>
  </si>
  <si>
    <t>377754*****5358</t>
  </si>
  <si>
    <t>S.E.A.</t>
  </si>
  <si>
    <t>377754*****6766</t>
  </si>
  <si>
    <t>377752*****3405</t>
  </si>
  <si>
    <t>377934*****3942</t>
  </si>
  <si>
    <t>377890*****1783</t>
  </si>
  <si>
    <t>377898*****4530</t>
  </si>
  <si>
    <t>377890*****8249</t>
  </si>
  <si>
    <t>377753*****9672</t>
  </si>
  <si>
    <t>377754*****6761</t>
  </si>
  <si>
    <t>377934*****5626</t>
  </si>
  <si>
    <t>377753*****6689</t>
  </si>
  <si>
    <t>377897*****7768</t>
  </si>
  <si>
    <t>377890*****1400</t>
  </si>
  <si>
    <t>377934*****9752</t>
  </si>
  <si>
    <t>377890*****8735</t>
  </si>
  <si>
    <t>377934*****8638</t>
  </si>
  <si>
    <t>377752*****5644</t>
  </si>
  <si>
    <t>377890*****4050</t>
  </si>
  <si>
    <t>377934*****5059</t>
  </si>
  <si>
    <t>377898*****6129</t>
  </si>
  <si>
    <t>377934*****3966</t>
  </si>
  <si>
    <t>377934*****2797</t>
  </si>
  <si>
    <t>2604300016308275</t>
  </si>
  <si>
    <t>30-04-2026</t>
  </si>
  <si>
    <t>2604290016296904</t>
  </si>
  <si>
    <t>29-04-2026</t>
  </si>
  <si>
    <t>2604280016282816</t>
  </si>
  <si>
    <t>28-04-2026</t>
  </si>
  <si>
    <t>2604240016238292</t>
  </si>
  <si>
    <t>24-04-2026</t>
  </si>
  <si>
    <t>2604230016227197</t>
  </si>
  <si>
    <t>23-04-2026</t>
  </si>
  <si>
    <t>2604220016215255</t>
  </si>
  <si>
    <t>22-04-2026</t>
  </si>
  <si>
    <t>2604210016201646</t>
  </si>
  <si>
    <t>21-04-2026</t>
  </si>
  <si>
    <t>2604190016179109</t>
  </si>
  <si>
    <t>20-04-2026</t>
  </si>
  <si>
    <t>2604160016146799</t>
  </si>
  <si>
    <t>16-04-2026</t>
  </si>
  <si>
    <t>2604130016110779</t>
  </si>
  <si>
    <t>13-04-2026</t>
  </si>
  <si>
    <t>01-05-2026</t>
  </si>
  <si>
    <t>**** ****** 1866</t>
  </si>
  <si>
    <t>043082</t>
  </si>
  <si>
    <t>2605030016368559</t>
  </si>
  <si>
    <t>0009325</t>
  </si>
  <si>
    <t>PENDIENTE</t>
  </si>
  <si>
    <t>03-05-2026</t>
  </si>
  <si>
    <t>**** ****** 8785</t>
  </si>
  <si>
    <t>092942</t>
  </si>
  <si>
    <t>2605020016319026</t>
  </si>
  <si>
    <t>0009142</t>
  </si>
  <si>
    <t>3 días</t>
  </si>
  <si>
    <t>02-05-2026</t>
  </si>
  <si>
    <t>**** ****** 9792</t>
  </si>
  <si>
    <t>090611</t>
  </si>
  <si>
    <t>27-04-2026</t>
  </si>
  <si>
    <t>0009058</t>
  </si>
  <si>
    <t>**** ****** 2654</t>
  </si>
  <si>
    <t>067205</t>
  </si>
  <si>
    <t>0009101</t>
  </si>
  <si>
    <t>**** ****** 7244</t>
  </si>
  <si>
    <t>061928</t>
  </si>
  <si>
    <t>26-04-2026</t>
  </si>
  <si>
    <t>0008949</t>
  </si>
  <si>
    <t>**** ****** 1931</t>
  </si>
  <si>
    <t>092653</t>
  </si>
  <si>
    <t>0008848</t>
  </si>
  <si>
    <t>**** ****** 5951</t>
  </si>
  <si>
    <t>004055</t>
  </si>
  <si>
    <t>0008852</t>
  </si>
  <si>
    <t>**** ****** 8937</t>
  </si>
  <si>
    <t>019113</t>
  </si>
  <si>
    <t>0008860</t>
  </si>
  <si>
    <t>**** ****** 5615</t>
  </si>
  <si>
    <t>045960</t>
  </si>
  <si>
    <t>0008903</t>
  </si>
  <si>
    <t>POS CHIP</t>
  </si>
  <si>
    <t>**** ****** 4544</t>
  </si>
  <si>
    <t>013287</t>
  </si>
  <si>
    <t>0008475</t>
  </si>
  <si>
    <t>**** ****** 5384</t>
  </si>
  <si>
    <t>014888</t>
  </si>
  <si>
    <t>0008390</t>
  </si>
  <si>
    <t>**** ****** 5503</t>
  </si>
  <si>
    <t>052548</t>
  </si>
  <si>
    <t>19-04-2026</t>
  </si>
  <si>
    <t>0008274</t>
  </si>
  <si>
    <t>**** ****** 1209</t>
  </si>
  <si>
    <t>021661</t>
  </si>
  <si>
    <t>0008335</t>
  </si>
  <si>
    <t>**** ****** 1770</t>
  </si>
  <si>
    <t>072948</t>
  </si>
  <si>
    <t>0008167</t>
  </si>
  <si>
    <t>17-04-2026</t>
  </si>
  <si>
    <t>**** ****** 7203</t>
  </si>
  <si>
    <t>091025</t>
  </si>
  <si>
    <t>0007976</t>
  </si>
  <si>
    <t>14-04-2026</t>
  </si>
  <si>
    <t>**** ****** 4202</t>
  </si>
  <si>
    <t>049755</t>
  </si>
  <si>
    <t>0007719</t>
  </si>
  <si>
    <t>11-04-2026</t>
  </si>
  <si>
    <t>**** ****** 0449</t>
  </si>
  <si>
    <t>068396</t>
  </si>
  <si>
    <t>0007441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</si>
</sst>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* #,##0.00_ ;_ * \-#,##0.00_ ;_ * &quot;-&quot;??_ ;_ @_ "/>
    <numFmt numFmtId="165" formatCode="dd/mm/yyyy;@"/>
    <numFmt numFmtId="166" formatCode="[$-F800]dddd\,\ mmmm\ dd\,\ yyyy"/>
    <numFmt numFmtId="167" formatCode="&quot;S/&quot;\ #,##0.00\ ;&quot;S/&quot;\ \-#,##0.0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8"/>
      <color rgb="FFFFFFFF"/>
      <name val="SansSerif"/>
      <family val="2"/>
    </font>
    <font>
      <sz val="8"/>
      <color rgb="FF000000"/>
      <name val="SansSerif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A94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43" fontId="0" fillId="0" borderId="0" xfId="1" applyFont="1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166" fontId="0" fillId="0" borderId="0" xfId="0" applyNumberFormat="1"/>
    <xf numFmtId="166" fontId="0" fillId="0" borderId="0" xfId="0" applyNumberFormat="1" applyAlignment="1">
      <alignment horizontal="left"/>
    </xf>
    <xf numFmtId="43" fontId="2" fillId="0" borderId="0" xfId="1" applyFont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164" fontId="4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1" applyFont="1" applyFill="1" applyAlignment="1">
      <alignment horizontal="center"/>
    </xf>
    <xf numFmtId="43" fontId="0" fillId="2" borderId="0" xfId="1" applyFont="1" applyFill="1"/>
    <xf numFmtId="43" fontId="0" fillId="3" borderId="0" xfId="1" applyFont="1" applyFill="1"/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43" fontId="5" fillId="4" borderId="1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43" fontId="6" fillId="0" borderId="0" xfId="1" applyFont="1" applyAlignment="1">
      <alignment horizontal="right" vertical="center" wrapText="1"/>
    </xf>
    <xf numFmtId="167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0" fillId="3" borderId="0" xfId="0" applyFill="1"/>
    <xf numFmtId="43" fontId="0" fillId="0" borderId="0" xfId="0" applyNumberFormat="1"/>
    <xf numFmtId="43" fontId="3" fillId="0" borderId="0" xfId="0" applyNumberFormat="1" applyFont="1"/>
    <xf numFmtId="43" fontId="2" fillId="5" borderId="0" xfId="1" applyFont="1" applyFill="1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1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43" fontId="0" fillId="0" borderId="0" xfId="1" applyFont="1" applyAlignment="1"/>
    <xf numFmtId="49" fontId="0" fillId="0" borderId="0" xfId="0" applyNumberFormat="1"/>
    <xf numFmtId="0" fontId="0" fillId="3" borderId="0" xfId="0" applyFill="1" applyAlignment="1">
      <alignment horizontal="center"/>
    </xf>
    <xf numFmtId="0" fontId="0" fillId="0" borderId="0" xfId="0" applyNumberFormat="1"/>
    <xf numFmtId="0" fontId="0" fillId="0" borderId="3" xfId="0" applyNumberFormat="1" applyBorder="1"/>
    <xf numFmtId="14" fontId="0" fillId="0" borderId="3" xfId="0" applyNumberFormat="1" applyBorder="1" applyAlignment="1">
      <alignment horizontal="left"/>
    </xf>
    <xf numFmtId="0" fontId="0" fillId="6" borderId="0" xfId="0" applyFill="1"/>
    <xf numFmtId="43" fontId="0" fillId="6" borderId="0" xfId="1" applyFont="1" applyFill="1"/>
  </cellXfs>
  <cellStyles count="2">
    <cellStyle name="Millares" xfId="1" builtinId="3"/>
    <cellStyle name="Normal" xfId="0" builtinId="0"/>
  </cellStyles>
  <dxfs count="8">
    <dxf>
      <numFmt numFmtId="166" formatCode="[$-F800]dddd\,\ mmmm\ dd\,\ yyyy"/>
    </dxf>
    <dxf>
      <numFmt numFmtId="166" formatCode="[$-F800]dddd\,\ mmmm\ dd\,\ yyyy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66" formatCode="[$-F800]dddd\,\ mmmm\ dd\,\ yyyy"/>
    </dxf>
    <dxf>
      <numFmt numFmtId="166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aldine ponzoni" refreshedDate="46146.480323379626" createdVersion="8" refreshedVersion="8" minRefreshableVersion="3" recordCount="1065" xr:uid="{075A981D-3486-4F3C-883C-EB9FD23449EE}">
  <cacheSource type="worksheet">
    <worksheetSource ref="A1:AF1066" sheet="MASTERCARD"/>
  </cacheSource>
  <cacheFields count="32">
    <cacheField name="Codigo" numFmtId="0">
      <sharedItems containsSemiMixedTypes="0" containsString="0" containsNumber="1" containsInteger="1" minValue="1023366" maxValue="1023366"/>
    </cacheField>
    <cacheField name="Producto" numFmtId="0">
      <sharedItems/>
    </cacheField>
    <cacheField name="Tipo_Mov" numFmtId="0">
      <sharedItems/>
    </cacheField>
    <cacheField name="Fecha_Proceso" numFmtId="0">
      <sharedItems containsSemiMixedTypes="0" containsDate="1" containsString="0" containsMixedTypes="1" minDate="2026-04-01T00:00:00" maxDate="1900-01-05T18:51:04"/>
    </cacheField>
    <cacheField name="Fecha_Lote" numFmtId="0">
      <sharedItems containsDate="1" containsString="0" containsBlank="1" containsMixedTypes="1" minDate="2026-04-01T00:00:00" maxDate="1900-01-05T18:51:04"/>
    </cacheField>
    <cacheField name="Lote_Manual" numFmtId="0">
      <sharedItems containsNonDate="0" containsString="0" containsBlank="1"/>
    </cacheField>
    <cacheField name="Lote_Pos" numFmtId="0">
      <sharedItems containsString="0" containsBlank="1" containsNumber="1" containsInteger="1" minValue="299" maxValue="673"/>
    </cacheField>
    <cacheField name="Terminal" numFmtId="0">
      <sharedItems containsBlank="1" containsMixedTypes="1" containsNumber="1" containsInteger="1" minValue="65656565" maxValue="65656565"/>
    </cacheField>
    <cacheField name="Voucher" numFmtId="0">
      <sharedItems containsString="0" containsBlank="1" containsNumber="1" containsInteger="1" minValue="1209" maxValue="5710216"/>
    </cacheField>
    <cacheField name="Autorizacion" numFmtId="0">
      <sharedItems containsBlank="1" containsMixedTypes="1" containsNumber="1" containsInteger="1" minValue="61" maxValue="998273"/>
    </cacheField>
    <cacheField name="Cuotas" numFmtId="0">
      <sharedItems containsString="0" containsBlank="1" containsNumber="1" containsInteger="1" minValue="2" maxValue="12"/>
    </cacheField>
    <cacheField name="Tarjeta" numFmtId="0">
      <sharedItems containsBlank="1"/>
    </cacheField>
    <cacheField name="Origen" numFmtId="0">
      <sharedItems containsBlank="1"/>
    </cacheField>
    <cacheField name="Transaccion" numFmtId="0">
      <sharedItems containsBlank="1"/>
    </cacheField>
    <cacheField name="Fecha_Consumo" numFmtId="14">
      <sharedItems containsNonDate="0" containsDate="1" containsString="0" containsBlank="1" containsMixedTypes="1" minDate="2026-04-01T00:00:00" maxDate="1900-01-05T18:51:04" count="52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m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n v="46122" u="1"/>
        <n v="46123" u="1"/>
        <n v="46124" u="1"/>
        <n v="46125" u="1"/>
        <n v="46126" u="1"/>
        <n v="46127" u="1"/>
        <n v="46128" u="1"/>
        <n v="46129" u="1"/>
        <n v="46130" u="1"/>
        <n v="46131" u="1"/>
        <n v="46132" u="1"/>
        <n v="46133" u="1"/>
        <n v="46134" u="1"/>
        <n v="46135" u="1"/>
        <n v="46136" u="1"/>
        <n v="46137" u="1"/>
        <n v="46138" u="1"/>
        <n v="46139" u="1"/>
        <n v="46140" u="1"/>
        <n v="46141" u="1"/>
        <n v="46142" u="1"/>
      </sharedItems>
    </cacheField>
    <cacheField name="Importe" numFmtId="43">
      <sharedItems containsSemiMixedTypes="0" containsString="0" containsNumber="1" minValue="-649" maxValue="6695"/>
    </cacheField>
    <cacheField name="Status" numFmtId="0">
      <sharedItems containsBlank="1" count="3">
        <s v="Abonado"/>
        <s v="Extorno"/>
        <m/>
      </sharedItems>
    </cacheField>
    <cacheField name="Comision" numFmtId="0">
      <sharedItems containsSemiMixedTypes="0" containsString="0" containsNumber="1" minValue="-30.81" maxValue="623.29999999999995"/>
    </cacheField>
    <cacheField name="Comision_Afecta" numFmtId="0">
      <sharedItems containsSemiMixedTypes="0" containsString="0" containsNumber="1" minValue="-9.07" maxValue="113.26"/>
    </cacheField>
    <cacheField name="IGV" numFmtId="0">
      <sharedItems containsSemiMixedTypes="0" containsString="0" containsNumber="1" minValue="-1.63" maxValue="20.39"/>
    </cacheField>
    <cacheField name="Neto_Parcial" numFmtId="0">
      <sharedItems containsSemiMixedTypes="0" containsString="0" containsNumber="1" minValue="-769.76" maxValue="6491.99"/>
    </cacheField>
    <cacheField name="Neto_Total" numFmtId="43">
      <sharedItems containsSemiMixedTypes="0" containsString="0" containsNumber="1" minValue="0" maxValue="28523.09"/>
    </cacheField>
    <cacheField name="Fecha_Abono" numFmtId="0">
      <sharedItems containsDate="1" containsString="0" containsBlank="1" containsMixedTypes="1" minDate="2026-04-06T00:00:00" maxDate="1900-01-05T19:51:04"/>
    </cacheField>
    <cacheField name="Fecha_Abono_8Dig" numFmtId="0">
      <sharedItems containsString="0" containsBlank="1" containsNumber="1" containsInteger="1" minValue="20260406" maxValue="20260504"/>
    </cacheField>
    <cacheField name="Observaciones" numFmtId="0">
      <sharedItems containsBlank="1"/>
    </cacheField>
    <cacheField name="Tipo_Tarjeta" numFmtId="0">
      <sharedItems containsBlank="1"/>
    </cacheField>
    <cacheField name="Serie_Terminal" numFmtId="0">
      <sharedItems containsBlank="1" containsMixedTypes="1" containsNumber="1" containsInteger="1" minValue="3974527" maxValue="3974527"/>
    </cacheField>
    <cacheField name="Banco_Emisor" numFmtId="0">
      <sharedItems containsBlank="1"/>
    </cacheField>
    <cacheField name="Cuota sin interes" numFmtId="0">
      <sharedItems containsBlank="1"/>
    </cacheField>
    <cacheField name="Entidad" numFmtId="0">
      <sharedItems containsBlank="1"/>
    </cacheField>
    <cacheField name="Hora TRX" numFmtId="0">
      <sharedItems containsDate="1" containsString="0" containsBlank="1" containsMixedTypes="1" minDate="1899-12-30T10:04:33" maxDate="1900-01-04T02:57:03"/>
    </cacheField>
    <cacheField name="Nombre comerci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aldine ponzoni" refreshedDate="46146.481314351855" createdVersion="8" refreshedVersion="8" minRefreshableVersion="3" recordCount="44" xr:uid="{CB669943-0E3F-460E-9BC8-9742C3D6293F}">
  <cacheSource type="worksheet">
    <worksheetSource ref="A1:W45" sheet="AMEX"/>
  </cacheSource>
  <cacheFields count="25">
    <cacheField name="Codigo" numFmtId="0">
      <sharedItems containsSemiMixedTypes="0" containsString="0" containsNumber="1" containsInteger="1" minValue="1023366" maxValue="1023366"/>
    </cacheField>
    <cacheField name="Producto" numFmtId="0">
      <sharedItems containsNonDate="0" containsString="0" containsBlank="1"/>
    </cacheField>
    <cacheField name="Tipo_Mov" numFmtId="0">
      <sharedItems/>
    </cacheField>
    <cacheField name="Fecha_Proceso" numFmtId="14">
      <sharedItems containsSemiMixedTypes="0" containsNonDate="0" containsDate="1" containsString="0" minDate="2026-03-30T00:00:00" maxDate="2026-04-29T00:00:00"/>
    </cacheField>
    <cacheField name="Fecha_Lote" numFmtId="0">
      <sharedItems containsNonDate="0" containsDate="1" containsString="0" containsBlank="1" minDate="2026-03-30T00:00:00" maxDate="2026-04-29T00:00:00"/>
    </cacheField>
    <cacheField name="Lote_Manual" numFmtId="0">
      <sharedItems containsString="0" containsBlank="1" containsNumber="1" containsInteger="1" minValue="9996" maxValue="9996"/>
    </cacheField>
    <cacheField name="Lote_Pos" numFmtId="0">
      <sharedItems containsString="0" containsBlank="1" containsNumber="1" containsInteger="1" minValue="346" maxValue="665"/>
    </cacheField>
    <cacheField name="Terminal" numFmtId="0">
      <sharedItems containsBlank="1"/>
    </cacheField>
    <cacheField name="Voucher" numFmtId="0">
      <sharedItems containsString="0" containsBlank="1" containsNumber="1" containsInteger="1" minValue="6177" maxValue="9188"/>
    </cacheField>
    <cacheField name="Autorizacion" numFmtId="0">
      <sharedItems containsString="0" containsBlank="1" containsNumber="1" containsInteger="1" minValue="82568" maxValue="976921"/>
    </cacheField>
    <cacheField name="Cuotas" numFmtId="0">
      <sharedItems containsString="0" containsBlank="1" containsNumber="1" containsInteger="1" minValue="2" maxValue="2"/>
    </cacheField>
    <cacheField name="Tarjeta" numFmtId="0">
      <sharedItems containsBlank="1"/>
    </cacheField>
    <cacheField name="Origen" numFmtId="0">
      <sharedItems containsNonDate="0" containsString="0" containsBlank="1"/>
    </cacheField>
    <cacheField name="Transaccion" numFmtId="0">
      <sharedItems containsBlank="1"/>
    </cacheField>
    <cacheField name="Fecha_Consumo" numFmtId="0">
      <sharedItems containsNonDate="0" containsDate="1" containsString="0" containsBlank="1" minDate="2026-03-30T00:00:00" maxDate="2026-04-29T00:00:00" count="26">
        <d v="2026-03-30T00:00:00"/>
        <m/>
        <d v="2026-03-31T00:00:00"/>
        <d v="2026-04-01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2T00:00:00"/>
        <d v="2026-04-13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3T00:00:00"/>
        <d v="2026-04-24T00:00:00"/>
        <d v="2026-04-25T00:00:00"/>
        <d v="2026-04-27T00:00:00"/>
        <d v="2026-04-28T00:00:00"/>
      </sharedItems>
      <fieldGroup par="24"/>
    </cacheField>
    <cacheField name="Importe" numFmtId="0">
      <sharedItems containsSemiMixedTypes="0" containsString="0" containsNumber="1" minValue="0" maxValue="1978"/>
    </cacheField>
    <cacheField name="Comision" numFmtId="0">
      <sharedItems containsSemiMixedTypes="0" containsString="0" containsNumber="1" minValue="-5" maxValue="78.92"/>
    </cacheField>
    <cacheField name="Comision_Merchant" numFmtId="0">
      <sharedItems containsSemiMixedTypes="0" containsString="0" containsNumber="1" minValue="-5" maxValue="15.78"/>
    </cacheField>
    <cacheField name="IGV" numFmtId="0">
      <sharedItems containsSemiMixedTypes="0" containsString="0" containsNumber="1" minValue="-0.9" maxValue="2.84"/>
    </cacheField>
    <cacheField name="Neto_Parcial" numFmtId="0">
      <sharedItems containsSemiMixedTypes="0" containsString="0" containsNumber="1" minValue="-5.9" maxValue="1896.24"/>
    </cacheField>
    <cacheField name="Neto_Total" numFmtId="0">
      <sharedItems containsSemiMixedTypes="0" containsString="0" containsNumber="1" minValue="0" maxValue="2848.19"/>
    </cacheField>
    <cacheField name="Fecha_Abono" numFmtId="0">
      <sharedItems containsSemiMixedTypes="0" containsString="0" containsNumber="1" containsInteger="1" minValue="20260401" maxValue="20260430"/>
    </cacheField>
    <cacheField name="Observaciones" numFmtId="0">
      <sharedItems containsBlank="1"/>
    </cacheField>
    <cacheField name="Días (Fecha_Consumo)" numFmtId="0" databaseField="0">
      <fieldGroup base="14">
        <rangePr groupBy="days" startDate="2026-03-30T00:00:00" endDate="2026-04-29T00:00:00"/>
        <groupItems count="368">
          <s v="&lt;30/03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9/04/2026"/>
        </groupItems>
      </fieldGroup>
    </cacheField>
    <cacheField name="Meses (Fecha_Consumo)" numFmtId="0" databaseField="0">
      <fieldGroup base="14">
        <rangePr groupBy="months" startDate="2026-03-30T00:00:00" endDate="2026-04-29T00:00:00"/>
        <groupItems count="14">
          <s v="&lt;30/03/2026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9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aldine ponzoni" refreshedDate="46146.48468159722" createdVersion="8" refreshedVersion="8" minRefreshableVersion="3" recordCount="23" xr:uid="{28677072-7401-4310-A5D2-3C409D8DABA3}">
  <cacheSource type="worksheet">
    <worksheetSource ref="A1:Z24" sheet="DINERS"/>
  </cacheSource>
  <cacheFields count="26">
    <cacheField name="Código de comercio" numFmtId="0">
      <sharedItems/>
    </cacheField>
    <cacheField name="Nombre del comercio" numFmtId="0">
      <sharedItems/>
    </cacheField>
    <cacheField name="Red" numFmtId="0">
      <sharedItems/>
    </cacheField>
    <cacheField name="Origen" numFmtId="0">
      <sharedItems/>
    </cacheField>
    <cacheField name="Tipo de transacción" numFmtId="0">
      <sharedItems/>
    </cacheField>
    <cacheField name="Fecha de recepción" numFmtId="0">
      <sharedItems/>
    </cacheField>
    <cacheField name="Fecha de proceso" numFmtId="0">
      <sharedItems/>
    </cacheField>
    <cacheField name="Marca" numFmtId="0">
      <sharedItems/>
    </cacheField>
    <cacheField name="N° de tarjeta" numFmtId="0">
      <sharedItems/>
    </cacheField>
    <cacheField name="Tipo de tarjeta" numFmtId="0">
      <sharedItems/>
    </cacheField>
    <cacheField name="Código de autorización" numFmtId="0">
      <sharedItems/>
    </cacheField>
    <cacheField name="Orden de pago" numFmtId="0">
      <sharedItems/>
    </cacheField>
    <cacheField name="Moneda" numFmtId="0">
      <sharedItems/>
    </cacheField>
    <cacheField name="Fecha de ticket" numFmtId="14">
      <sharedItems containsNonDate="0" containsDate="1" containsMixedTypes="1" minDate="2026-04-01T00:00:00" maxDate="2026-05-01T00:00:00" count="32">
        <d v="2026-04-30T00:00:00"/>
        <d v="2026-04-28T00:00:00"/>
        <d v="2026-04-27T00:00:00"/>
        <d v="2026-04-26T00:00:00"/>
        <d v="2026-04-25T00:00:00"/>
        <d v="2026-04-21T00:00:00"/>
        <d v="2026-04-20T00:00:00"/>
        <d v="2026-04-19T00:00:00"/>
        <d v="2026-04-18T00:00:00"/>
        <d v="2026-04-16T00:00:00"/>
        <d v="2026-04-13T00:00:00"/>
        <d v="2026-04-10T00:00:00"/>
        <d v="2026-04-06T00:00:00"/>
        <d v="2026-04-05T00:00:00"/>
        <d v="2026-04-03T00:00:00"/>
        <d v="2026-04-01T00:00:00"/>
        <s v="30-04-2026" u="1"/>
        <s v="28-04-2026" u="1"/>
        <s v="27-04-2026" u="1"/>
        <s v="26-04-2026" u="1"/>
        <s v="25-04-2026" u="1"/>
        <s v="21-04-2026" u="1"/>
        <s v="20-04-2026" u="1"/>
        <s v="19-04-2026" u="1"/>
        <s v="18-04-2026" u="1"/>
        <s v="16-04-2026" u="1"/>
        <s v="13-04-2026" u="1"/>
        <s v="10-04-2026" u="1"/>
        <s v="06-04-2026" u="1"/>
        <s v="05-04-2026" u="1"/>
        <s v="03-04-2026" u="1"/>
        <s v="01-04-2026" u="1"/>
      </sharedItems>
    </cacheField>
    <cacheField name="N° ticket" numFmtId="0">
      <sharedItems/>
    </cacheField>
    <cacheField name="Estado de ticket" numFmtId="0">
      <sharedItems/>
    </cacheField>
    <cacheField name="N° de cuotas" numFmtId="0">
      <sharedItems containsSemiMixedTypes="0" containsString="0" containsNumber="1" containsInteger="1" minValue="0" maxValue="3"/>
    </cacheField>
    <cacheField name="Plazo de pago" numFmtId="0">
      <sharedItems/>
    </cacheField>
    <cacheField name="Fecha de pago" numFmtId="0">
      <sharedItems/>
    </cacheField>
    <cacheField name="Tipo de comisión" numFmtId="0">
      <sharedItems/>
    </cacheField>
    <cacheField name="Valor de comisión" numFmtId="0">
      <sharedItems containsSemiMixedTypes="0" containsString="0" containsNumber="1" minValue="2.2000000000000002" maxValue="3.95"/>
    </cacheField>
    <cacheField name="Importe del consumo" numFmtId="0">
      <sharedItems containsSemiMixedTypes="0" containsString="0" containsNumber="1" minValue="35" maxValue="1799"/>
    </cacheField>
    <cacheField name="Comisión del consumo" numFmtId="0">
      <sharedItems containsSemiMixedTypes="0" containsString="0" containsNumber="1" minValue="0.77" maxValue="71.06"/>
    </cacheField>
    <cacheField name="IGV del consumo" numFmtId="0">
      <sharedItems containsSemiMixedTypes="0" containsString="0" containsNumber="1" minValue="0.14000000000000001" maxValue="12.79"/>
    </cacheField>
    <cacheField name="Importe neto de pago" numFmtId="0">
      <sharedItems containsSemiMixedTypes="0" containsString="0" containsNumber="1" minValue="34.090000000000003" maxValue="1715.15"/>
    </cacheField>
    <cacheField name="Produc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5">
  <r>
    <n v="1023366"/>
    <s v="MC"/>
    <s v="A"/>
    <d v="2026-04-01T00:00:00"/>
    <d v="2026-04-01T00:00:00"/>
    <m/>
    <n v="348"/>
    <s v="PS0005"/>
    <n v="6444"/>
    <n v="76379"/>
    <m/>
    <s v="511842******2868"/>
    <s v="Nac"/>
    <s v="COM"/>
    <x v="0"/>
    <n v="150"/>
    <x v="0"/>
    <n v="4.34"/>
    <n v="1.71"/>
    <n v="0.31"/>
    <n v="145.35"/>
    <n v="0"/>
    <m/>
    <n v="20260406"/>
    <m/>
    <s v="DEBITO"/>
    <n v="3974527"/>
    <s v="SCOTIA DEBIT"/>
    <m/>
    <m/>
    <d v="1899-12-30T14:57:58"/>
    <s v="XIAOMI SCHELL"/>
  </r>
  <r>
    <n v="1023366"/>
    <s v="MC"/>
    <s v="A"/>
    <d v="2026-04-01T00:00:00"/>
    <d v="2026-04-01T00:00:00"/>
    <m/>
    <n v="348"/>
    <s v="PS0005"/>
    <n v="6474"/>
    <n v="438970"/>
    <n v="2"/>
    <s v="525435******3245"/>
    <s v="Nac"/>
    <s v="COM"/>
    <x v="0"/>
    <n v="179"/>
    <x v="0"/>
    <n v="5.17"/>
    <n v="1.41"/>
    <n v="0.25"/>
    <n v="173.58"/>
    <n v="318.93"/>
    <d v="2026-04-06T00:00:00"/>
    <n v="20260406"/>
    <m/>
    <s v="CREDITO"/>
    <n v="3974527"/>
    <s v="BRIPLEY"/>
    <s v="NO"/>
    <m/>
    <d v="1899-12-30T17:36:53"/>
    <s v="XIAOMI SCHELL"/>
  </r>
  <r>
    <n v="1023366"/>
    <s v="VA"/>
    <s v="A"/>
    <d v="2026-04-01T00:00:00"/>
    <d v="2026-04-01T00:00:00"/>
    <m/>
    <n v="348"/>
    <s v="PS0005"/>
    <n v="6393"/>
    <n v="758103"/>
    <m/>
    <s v="421355******0350"/>
    <s v="Nac"/>
    <s v="COM"/>
    <x v="0"/>
    <n v="2199"/>
    <x v="0"/>
    <n v="63.55"/>
    <n v="28.37"/>
    <n v="5.1100000000000003"/>
    <n v="2130.34"/>
    <n v="0"/>
    <m/>
    <n v="20260406"/>
    <m/>
    <s v="DEBITO"/>
    <n v="3974527"/>
    <s v="IBK PRIVADA"/>
    <m/>
    <m/>
    <d v="1899-12-30T11:46:35"/>
    <s v="XIAOMI SCHELL"/>
  </r>
  <r>
    <n v="1023366"/>
    <s v="VA"/>
    <s v="A"/>
    <d v="2026-04-01T00:00:00"/>
    <d v="2026-04-01T00:00:00"/>
    <m/>
    <n v="348"/>
    <s v="PS0005"/>
    <n v="6395"/>
    <n v="89014"/>
    <m/>
    <s v="491257******5249"/>
    <s v="Nac"/>
    <s v="COM"/>
    <x v="0"/>
    <n v="149"/>
    <x v="0"/>
    <n v="4.3099999999999996"/>
    <n v="1.93"/>
    <n v="0.35"/>
    <n v="144.34"/>
    <n v="0"/>
    <m/>
    <n v="20260406"/>
    <m/>
    <s v="DEBITO"/>
    <n v="3974527"/>
    <s v="BCP"/>
    <m/>
    <m/>
    <d v="1899-12-30T11:50:19"/>
    <s v="XIAOMI SCHELL"/>
  </r>
  <r>
    <n v="1023366"/>
    <s v="VA"/>
    <s v="A"/>
    <d v="2026-04-01T00:00:00"/>
    <d v="2026-04-01T00:00:00"/>
    <m/>
    <n v="348"/>
    <s v="PS0005"/>
    <n v="6397"/>
    <n v="175017"/>
    <m/>
    <s v="455788******2961"/>
    <s v="Nac"/>
    <s v="COM"/>
    <x v="0"/>
    <n v="29.9"/>
    <x v="0"/>
    <n v="0.86"/>
    <n v="0.38"/>
    <n v="7.0000000000000007E-2"/>
    <n v="28.97"/>
    <n v="0"/>
    <m/>
    <n v="20260406"/>
    <m/>
    <s v="DEBITO"/>
    <n v="3974527"/>
    <s v="VISA LOC"/>
    <m/>
    <m/>
    <d v="1899-12-30T11:56:00"/>
    <s v="XIAOMI SCHELL"/>
  </r>
  <r>
    <n v="1023366"/>
    <s v="VA"/>
    <s v="A"/>
    <d v="2026-04-01T00:00:00"/>
    <d v="2026-04-01T00:00:00"/>
    <m/>
    <n v="348"/>
    <s v="PS0005"/>
    <n v="6399"/>
    <n v="81178"/>
    <m/>
    <s v="421355******4374"/>
    <s v="Nac"/>
    <s v="COM"/>
    <x v="0"/>
    <n v="124"/>
    <x v="0"/>
    <n v="3.58"/>
    <n v="1.6"/>
    <n v="0.28999999999999998"/>
    <n v="120.13"/>
    <n v="0"/>
    <m/>
    <n v="20260406"/>
    <m/>
    <s v="DEBITO"/>
    <n v="3974527"/>
    <s v="IBK PRIVADA"/>
    <m/>
    <m/>
    <d v="1899-12-30T12:09:35"/>
    <s v="XIAOMI SCHELL"/>
  </r>
  <r>
    <n v="1023366"/>
    <s v="VA"/>
    <s v="A"/>
    <d v="2026-04-01T00:00:00"/>
    <d v="2026-04-01T00:00:00"/>
    <m/>
    <n v="348"/>
    <s v="PS0005"/>
    <n v="6401"/>
    <n v="46291"/>
    <m/>
    <s v="428581******6107"/>
    <s v="Nac"/>
    <s v="COM"/>
    <x v="0"/>
    <n v="129"/>
    <x v="0"/>
    <n v="3.73"/>
    <n v="1.67"/>
    <n v="0.3"/>
    <n v="124.97"/>
    <n v="0"/>
    <m/>
    <n v="20260406"/>
    <m/>
    <s v="DEBITO"/>
    <n v="3974527"/>
    <s v="SCOTIABANK"/>
    <m/>
    <m/>
    <d v="1899-12-30T12:14:11"/>
    <s v="XIAOMI SCHELL"/>
  </r>
  <r>
    <n v="1023366"/>
    <s v="VA"/>
    <s v="A"/>
    <d v="2026-04-01T00:00:00"/>
    <d v="2026-04-01T00:00:00"/>
    <m/>
    <n v="348"/>
    <s v="PS0005"/>
    <n v="6403"/>
    <n v="720339"/>
    <m/>
    <s v="491246******6814"/>
    <s v="Nac"/>
    <s v="COM"/>
    <x v="0"/>
    <n v="1014"/>
    <x v="0"/>
    <n v="29.3"/>
    <n v="8.01"/>
    <n v="1.44"/>
    <n v="983.26"/>
    <n v="0"/>
    <m/>
    <n v="20260406"/>
    <m/>
    <s v="DEBITO"/>
    <n v="3974527"/>
    <s v="BCP"/>
    <m/>
    <m/>
    <d v="1899-12-30T12:16:36"/>
    <s v="XIAOMI SCHELL"/>
  </r>
  <r>
    <n v="1023366"/>
    <s v="VA"/>
    <s v="A"/>
    <d v="2026-04-01T00:00:00"/>
    <d v="2026-04-01T00:00:00"/>
    <m/>
    <n v="348"/>
    <s v="PS0005"/>
    <n v="6407"/>
    <n v="425557"/>
    <m/>
    <s v="411090******4683"/>
    <s v="Nac"/>
    <s v="COM"/>
    <x v="0"/>
    <n v="159"/>
    <x v="0"/>
    <n v="4.5999999999999996"/>
    <n v="0.94"/>
    <n v="0.17"/>
    <n v="154.22999999999999"/>
    <n v="0"/>
    <m/>
    <n v="20260406"/>
    <m/>
    <s v="CREDITO"/>
    <n v="3974527"/>
    <s v="IBK PRIVADA"/>
    <m/>
    <m/>
    <d v="1899-12-30T12:42:47"/>
    <s v="XIAOMI SCHELL"/>
  </r>
  <r>
    <n v="1023366"/>
    <s v="VA"/>
    <s v="A"/>
    <d v="2026-04-01T00:00:00"/>
    <d v="2026-04-01T00:00:00"/>
    <m/>
    <n v="348"/>
    <n v="65656565"/>
    <n v="6411"/>
    <n v="217463"/>
    <m/>
    <s v="455788******4621"/>
    <s v="Nac"/>
    <s v="COM"/>
    <x v="0"/>
    <n v="349"/>
    <x v="0"/>
    <n v="10.08"/>
    <n v="4.5"/>
    <n v="0.81"/>
    <n v="338.11"/>
    <n v="0"/>
    <m/>
    <n v="20260406"/>
    <m/>
    <s v="DEBITO"/>
    <n v="3974527"/>
    <s v="BCP"/>
    <m/>
    <s v="Yape"/>
    <d v="1899-12-30T13:02:14"/>
    <s v="XIAOMI SCHELL"/>
  </r>
  <r>
    <n v="1023366"/>
    <s v="VA"/>
    <s v="A"/>
    <d v="2026-04-01T00:00:00"/>
    <d v="2026-04-01T00:00:00"/>
    <m/>
    <n v="348"/>
    <s v="PS0005"/>
    <n v="6415"/>
    <n v="416838"/>
    <m/>
    <s v="440355******4209"/>
    <s v="Nac"/>
    <s v="COM"/>
    <x v="0"/>
    <n v="49"/>
    <x v="0"/>
    <n v="1.42"/>
    <n v="0.64"/>
    <n v="0.12"/>
    <n v="47.46"/>
    <n v="0"/>
    <m/>
    <n v="20260406"/>
    <m/>
    <s v="DEBITO"/>
    <n v="3974527"/>
    <s v="VISA LOC"/>
    <m/>
    <m/>
    <d v="1899-12-30T13:22:18"/>
    <s v="XIAOMI SCHELL"/>
  </r>
  <r>
    <n v="1023366"/>
    <s v="VA"/>
    <s v="A"/>
    <d v="2026-04-01T00:00:00"/>
    <d v="2026-04-01T00:00:00"/>
    <m/>
    <n v="348"/>
    <s v="PS0005"/>
    <n v="6417"/>
    <n v="390468"/>
    <m/>
    <s v="455788******3730"/>
    <s v="Nac"/>
    <s v="COM"/>
    <x v="0"/>
    <n v="69"/>
    <x v="0"/>
    <n v="1.99"/>
    <n v="0.89"/>
    <n v="0.16"/>
    <n v="66.849999999999994"/>
    <n v="0"/>
    <m/>
    <n v="20260406"/>
    <m/>
    <s v="DEBITO"/>
    <n v="3974527"/>
    <s v="BCP"/>
    <m/>
    <m/>
    <d v="1899-12-30T13:52:35"/>
    <s v="XIAOMI SCHELL"/>
  </r>
  <r>
    <n v="1023366"/>
    <s v="VA"/>
    <s v="A"/>
    <d v="2026-04-01T00:00:00"/>
    <d v="2026-04-01T00:00:00"/>
    <m/>
    <n v="348"/>
    <s v="PS0005"/>
    <n v="6419"/>
    <n v="893790"/>
    <m/>
    <s v="421355******0258"/>
    <s v="Nac"/>
    <s v="COM"/>
    <x v="0"/>
    <n v="149"/>
    <x v="0"/>
    <n v="4.3099999999999996"/>
    <n v="1.93"/>
    <n v="0.35"/>
    <n v="144.34"/>
    <n v="0"/>
    <m/>
    <n v="20260406"/>
    <m/>
    <s v="DEBITO"/>
    <n v="3974527"/>
    <s v="IBK PRIVADA"/>
    <m/>
    <m/>
    <d v="1899-12-30T14:00:55"/>
    <s v="XIAOMI SCHELL"/>
  </r>
  <r>
    <n v="1023366"/>
    <s v="VA"/>
    <s v="A"/>
    <d v="2026-04-01T00:00:00"/>
    <d v="2026-04-01T00:00:00"/>
    <m/>
    <n v="348"/>
    <s v="PS0005"/>
    <n v="6421"/>
    <n v="295223"/>
    <m/>
    <s v="455103******5157"/>
    <s v="Nac"/>
    <s v="COM"/>
    <x v="0"/>
    <n v="105.8"/>
    <x v="0"/>
    <n v="3.06"/>
    <n v="1.37"/>
    <n v="0.25"/>
    <n v="102.49"/>
    <n v="0"/>
    <m/>
    <n v="20260406"/>
    <m/>
    <s v="DEBITO"/>
    <n v="3974527"/>
    <s v="BBVA"/>
    <m/>
    <m/>
    <d v="1899-12-30T14:04:36"/>
    <s v="XIAOMI SCHELL"/>
  </r>
  <r>
    <n v="1023366"/>
    <s v="VA"/>
    <s v="A"/>
    <d v="2026-04-01T00:00:00"/>
    <d v="2026-04-01T00:00:00"/>
    <m/>
    <n v="348"/>
    <s v="PS0005"/>
    <n v="6423"/>
    <n v="510308"/>
    <m/>
    <s v="455788******2975"/>
    <s v="Nac"/>
    <s v="COM"/>
    <x v="0"/>
    <n v="809"/>
    <x v="0"/>
    <n v="23.38"/>
    <n v="10.44"/>
    <n v="1.88"/>
    <n v="783.74"/>
    <n v="0"/>
    <m/>
    <n v="20260406"/>
    <m/>
    <s v="DEBITO"/>
    <n v="3974527"/>
    <s v="BCP"/>
    <m/>
    <m/>
    <d v="1899-12-30T14:11:58"/>
    <s v="XIAOMI SCHELL"/>
  </r>
  <r>
    <n v="1023366"/>
    <s v="VA"/>
    <s v="A"/>
    <d v="2026-04-01T00:00:00"/>
    <d v="2026-04-01T00:00:00"/>
    <m/>
    <n v="348"/>
    <s v="PS0005"/>
    <n v="6426"/>
    <n v="41659"/>
    <m/>
    <s v="459954******5748"/>
    <s v="Ext"/>
    <s v="COM"/>
    <x v="0"/>
    <n v="1499"/>
    <x v="0"/>
    <n v="58.46"/>
    <n v="41.98"/>
    <n v="7.56"/>
    <n v="1432.98"/>
    <n v="0"/>
    <m/>
    <n v="20260406"/>
    <m/>
    <s v="DEBITO"/>
    <n v="3974527"/>
    <s v="VISA INT"/>
    <m/>
    <m/>
    <d v="1899-12-30T14:14:18"/>
    <s v="XIAOMI SCHELL"/>
  </r>
  <r>
    <n v="1023366"/>
    <s v="VA"/>
    <s v="A"/>
    <d v="2026-04-01T00:00:00"/>
    <d v="2026-04-01T00:00:00"/>
    <m/>
    <n v="348"/>
    <s v="PS0005"/>
    <n v="6429"/>
    <n v="972013"/>
    <m/>
    <s v="421355******6107"/>
    <s v="Nac"/>
    <s v="COM"/>
    <x v="0"/>
    <n v="65"/>
    <x v="0"/>
    <n v="1.88"/>
    <n v="0.84"/>
    <n v="0.15"/>
    <n v="62.97"/>
    <n v="0"/>
    <m/>
    <n v="20260406"/>
    <m/>
    <s v="DEBITO"/>
    <n v="3974527"/>
    <s v="IBK PRIVADA"/>
    <m/>
    <m/>
    <d v="1899-12-30T14:31:26"/>
    <s v="XIAOMI SCHELL"/>
  </r>
  <r>
    <n v="1023366"/>
    <s v="VA"/>
    <s v="A"/>
    <d v="2026-04-01T00:00:00"/>
    <d v="2026-04-01T00:00:00"/>
    <m/>
    <n v="348"/>
    <s v="PS0005"/>
    <n v="6431"/>
    <n v="22857"/>
    <n v="12"/>
    <s v="494386******8454"/>
    <s v="Nac"/>
    <s v="COM"/>
    <x v="0"/>
    <n v="2048"/>
    <x v="0"/>
    <n v="59.19"/>
    <n v="16.18"/>
    <n v="2.91"/>
    <n v="1985.9"/>
    <n v="0"/>
    <m/>
    <n v="20260406"/>
    <m/>
    <s v="CREDITO"/>
    <n v="3974527"/>
    <s v="SCOTIABANK"/>
    <s v="NO"/>
    <m/>
    <d v="1899-12-30T14:37:13"/>
    <s v="XIAOMI SCHELL"/>
  </r>
  <r>
    <n v="1023366"/>
    <s v="VA"/>
    <s v="A"/>
    <d v="2026-04-01T00:00:00"/>
    <d v="2026-04-01T00:00:00"/>
    <m/>
    <n v="348"/>
    <n v="65656565"/>
    <n v="6434"/>
    <n v="409056"/>
    <m/>
    <s v="455788******0513"/>
    <s v="Nac"/>
    <s v="COM"/>
    <x v="0"/>
    <n v="90.8"/>
    <x v="0"/>
    <n v="2.62"/>
    <n v="1.17"/>
    <n v="0.21"/>
    <n v="87.97"/>
    <n v="0"/>
    <m/>
    <n v="20260406"/>
    <m/>
    <s v="DEBITO"/>
    <n v="3974527"/>
    <s v="BCP"/>
    <m/>
    <s v="Yape"/>
    <d v="1899-12-30T14:45:25"/>
    <s v="XIAOMI SCHELL"/>
  </r>
  <r>
    <n v="1023366"/>
    <s v="VA"/>
    <s v="A"/>
    <d v="2026-04-01T00:00:00"/>
    <d v="2026-04-01T00:00:00"/>
    <m/>
    <n v="348"/>
    <s v="PS0005"/>
    <n v="6437"/>
    <n v="3188"/>
    <m/>
    <s v="455788******6991"/>
    <s v="Nac"/>
    <s v="COM"/>
    <x v="0"/>
    <n v="105"/>
    <x v="0"/>
    <n v="3.03"/>
    <n v="1.35"/>
    <n v="0.24"/>
    <n v="101.73"/>
    <n v="0"/>
    <m/>
    <n v="20260406"/>
    <m/>
    <s v="DEBITO"/>
    <n v="3974527"/>
    <s v="BCP"/>
    <m/>
    <m/>
    <d v="1899-12-30T14:47:07"/>
    <s v="XIAOMI SCHELL"/>
  </r>
  <r>
    <n v="1023366"/>
    <s v="VA"/>
    <s v="A"/>
    <d v="2026-04-01T00:00:00"/>
    <d v="2026-04-01T00:00:00"/>
    <m/>
    <n v="348"/>
    <s v="PS0005"/>
    <n v="6439"/>
    <n v="480827"/>
    <m/>
    <s v="491913******7170"/>
    <s v="Nac"/>
    <s v="COM"/>
    <x v="0"/>
    <n v="139"/>
    <x v="0"/>
    <n v="4.0199999999999996"/>
    <n v="0.82"/>
    <n v="0.15"/>
    <n v="134.83000000000001"/>
    <n v="0"/>
    <m/>
    <n v="20260406"/>
    <m/>
    <s v="CREDITO"/>
    <n v="3974527"/>
    <s v="BBVA"/>
    <m/>
    <m/>
    <d v="1899-12-30T14:52:42"/>
    <s v="XIAOMI SCHELL"/>
  </r>
  <r>
    <n v="1023366"/>
    <s v="VA"/>
    <s v="A"/>
    <d v="2026-04-01T00:00:00"/>
    <d v="2026-04-01T00:00:00"/>
    <m/>
    <n v="348"/>
    <n v="65656565"/>
    <n v="6441"/>
    <n v="587402"/>
    <m/>
    <s v="455788******0652"/>
    <s v="Nac"/>
    <s v="COM"/>
    <x v="0"/>
    <n v="349"/>
    <x v="0"/>
    <n v="10.08"/>
    <n v="4.5"/>
    <n v="0.81"/>
    <n v="338.11"/>
    <n v="0"/>
    <m/>
    <n v="20260406"/>
    <m/>
    <s v="DEBITO"/>
    <n v="3974527"/>
    <s v="BCP"/>
    <m/>
    <s v="Yape"/>
    <d v="1899-12-30T14:56:05"/>
    <s v="XIAOMI SCHELL"/>
  </r>
  <r>
    <n v="1023366"/>
    <s v="VA"/>
    <s v="A"/>
    <d v="2026-04-01T00:00:00"/>
    <d v="2026-04-01T00:00:00"/>
    <m/>
    <n v="348"/>
    <s v="PS0005"/>
    <n v="6449"/>
    <n v="630558"/>
    <m/>
    <s v="438466******8049"/>
    <s v="Nac"/>
    <s v="COM"/>
    <x v="0"/>
    <n v="298"/>
    <x v="0"/>
    <n v="8.61"/>
    <n v="3.84"/>
    <n v="0.69"/>
    <n v="288.7"/>
    <n v="0"/>
    <m/>
    <n v="20260406"/>
    <m/>
    <s v="DEBITO"/>
    <n v="3974527"/>
    <s v="VISA LOC"/>
    <m/>
    <m/>
    <d v="1899-12-30T15:35:14"/>
    <s v="XIAOMI SCHELL"/>
  </r>
  <r>
    <n v="1023366"/>
    <s v="VA"/>
    <s v="A"/>
    <d v="2026-04-01T00:00:00"/>
    <d v="2026-04-01T00:00:00"/>
    <m/>
    <n v="348"/>
    <s v="PS0005"/>
    <n v="6451"/>
    <n v="682413"/>
    <m/>
    <s v="447410******6998"/>
    <s v="Nac"/>
    <s v="COM"/>
    <x v="0"/>
    <n v="89.9"/>
    <x v="0"/>
    <n v="2.6"/>
    <n v="0.53"/>
    <n v="0.1"/>
    <n v="87.2"/>
    <n v="0"/>
    <m/>
    <n v="20260406"/>
    <m/>
    <s v="CREDITO"/>
    <n v="3974527"/>
    <s v="BFALABELLA"/>
    <m/>
    <m/>
    <d v="1899-12-30T15:38:28"/>
    <s v="XIAOMI SCHELL"/>
  </r>
  <r>
    <n v="1023366"/>
    <s v="VA"/>
    <s v="A"/>
    <d v="2026-04-01T00:00:00"/>
    <d v="2026-04-01T00:00:00"/>
    <m/>
    <n v="348"/>
    <s v="PS0005"/>
    <n v="6453"/>
    <n v="683893"/>
    <m/>
    <s v="491257******1731"/>
    <s v="Nac"/>
    <s v="COM"/>
    <x v="0"/>
    <n v="2499"/>
    <x v="0"/>
    <n v="72.22"/>
    <n v="32.24"/>
    <n v="5.8"/>
    <n v="2420.98"/>
    <n v="0"/>
    <m/>
    <n v="20260406"/>
    <m/>
    <s v="DEBITO"/>
    <n v="3974527"/>
    <s v="BCP"/>
    <m/>
    <m/>
    <d v="1899-12-30T15:52:35"/>
    <s v="XIAOMI SCHELL"/>
  </r>
  <r>
    <n v="1023366"/>
    <s v="VA"/>
    <s v="A"/>
    <d v="2026-04-01T00:00:00"/>
    <d v="2026-04-01T00:00:00"/>
    <m/>
    <n v="348"/>
    <s v="PS0005"/>
    <n v="6455"/>
    <n v="544866"/>
    <n v="2"/>
    <s v="454775******5532"/>
    <s v="Nac"/>
    <s v="COM"/>
    <x v="0"/>
    <n v="189"/>
    <x v="0"/>
    <n v="5.46"/>
    <n v="1.49"/>
    <n v="0.27"/>
    <n v="183.27"/>
    <n v="0"/>
    <m/>
    <n v="20260406"/>
    <m/>
    <s v="CREDITO"/>
    <n v="3974527"/>
    <s v="IBK PRIVADA"/>
    <s v="NO"/>
    <m/>
    <d v="1899-12-30T15:54:39"/>
    <s v="XIAOMI SCHELL"/>
  </r>
  <r>
    <n v="1023366"/>
    <s v="VA"/>
    <s v="A"/>
    <d v="2026-04-01T00:00:00"/>
    <d v="2026-04-01T00:00:00"/>
    <m/>
    <n v="348"/>
    <s v="PS0005"/>
    <n v="6459"/>
    <n v="754387"/>
    <m/>
    <s v="455788******3122"/>
    <s v="Nac"/>
    <s v="COM"/>
    <x v="0"/>
    <n v="149"/>
    <x v="0"/>
    <n v="4.3099999999999996"/>
    <n v="1.93"/>
    <n v="0.35"/>
    <n v="144.34"/>
    <n v="0"/>
    <m/>
    <n v="20260406"/>
    <m/>
    <s v="DEBITO"/>
    <n v="3974527"/>
    <s v="VISA LOC"/>
    <m/>
    <m/>
    <d v="1899-12-30T16:33:14"/>
    <s v="XIAOMI SCHELL"/>
  </r>
  <r>
    <n v="1023366"/>
    <s v="VA"/>
    <s v="A"/>
    <d v="2026-04-01T00:00:00"/>
    <d v="2026-04-01T00:00:00"/>
    <m/>
    <n v="348"/>
    <s v="PS0005"/>
    <n v="6461"/>
    <n v="600890"/>
    <m/>
    <s v="455788******8937"/>
    <s v="Nac"/>
    <s v="COM"/>
    <x v="0"/>
    <n v="2923.52"/>
    <x v="0"/>
    <n v="84.49"/>
    <n v="37.71"/>
    <n v="6.79"/>
    <n v="2832.24"/>
    <n v="0"/>
    <m/>
    <n v="20260406"/>
    <m/>
    <s v="DEBITO"/>
    <n v="3974527"/>
    <s v="BCP"/>
    <m/>
    <m/>
    <d v="1899-12-30T16:37:11"/>
    <s v="XIAOMI SCHELL"/>
  </r>
  <r>
    <n v="1023366"/>
    <s v="VA"/>
    <s v="A"/>
    <d v="2026-04-01T00:00:00"/>
    <d v="2026-04-01T00:00:00"/>
    <m/>
    <n v="348"/>
    <s v="PS0005"/>
    <n v="6464"/>
    <n v="864187"/>
    <m/>
    <s v="455170******4585"/>
    <s v="Nac"/>
    <s v="COM"/>
    <x v="0"/>
    <n v="55"/>
    <x v="0"/>
    <n v="1.59"/>
    <n v="0.71"/>
    <n v="0.13"/>
    <n v="53.28"/>
    <n v="0"/>
    <m/>
    <n v="20260406"/>
    <m/>
    <s v="DEBITO"/>
    <n v="3974527"/>
    <s v="BBVA"/>
    <m/>
    <m/>
    <d v="1899-12-30T16:40:14"/>
    <s v="XIAOMI SCHELL"/>
  </r>
  <r>
    <n v="1023366"/>
    <s v="VA"/>
    <s v="A"/>
    <d v="2026-04-01T00:00:00"/>
    <d v="2026-04-01T00:00:00"/>
    <m/>
    <n v="348"/>
    <s v="PS0005"/>
    <n v="6466"/>
    <n v="4638"/>
    <m/>
    <s v="445330******6783"/>
    <s v="Nac"/>
    <s v="COM"/>
    <x v="0"/>
    <n v="79"/>
    <x v="0"/>
    <n v="2.2799999999999998"/>
    <n v="0.3"/>
    <n v="0.05"/>
    <n v="76.67"/>
    <n v="0"/>
    <m/>
    <n v="20260406"/>
    <m/>
    <s v="CREDITO"/>
    <n v="3974527"/>
    <s v="BCP"/>
    <m/>
    <m/>
    <d v="1899-12-30T17:01:18"/>
    <s v="XIAOMI SCHELL"/>
  </r>
  <r>
    <n v="1023366"/>
    <s v="VA"/>
    <s v="A"/>
    <d v="2026-04-01T00:00:00"/>
    <d v="2026-04-01T00:00:00"/>
    <m/>
    <n v="348"/>
    <s v="PS0005"/>
    <n v="6468"/>
    <n v="990586"/>
    <m/>
    <s v="455170******9348"/>
    <s v="Nac"/>
    <s v="COM"/>
    <x v="0"/>
    <n v="65"/>
    <x v="0"/>
    <n v="1.88"/>
    <n v="0.84"/>
    <n v="0.15"/>
    <n v="62.97"/>
    <n v="0"/>
    <m/>
    <n v="20260406"/>
    <m/>
    <s v="DEBITO"/>
    <n v="3974527"/>
    <s v="BBVA"/>
    <m/>
    <m/>
    <d v="1899-12-30T17:13:02"/>
    <s v="XIAOMI SCHELL"/>
  </r>
  <r>
    <n v="1023366"/>
    <s v="VA"/>
    <s v="A"/>
    <d v="2026-04-01T00:00:00"/>
    <d v="2026-04-01T00:00:00"/>
    <m/>
    <n v="348"/>
    <s v="PS0005"/>
    <n v="6470"/>
    <n v="738"/>
    <m/>
    <s v="444437******9429"/>
    <s v="Nac"/>
    <s v="COM"/>
    <x v="0"/>
    <n v="159"/>
    <x v="0"/>
    <n v="4.5999999999999996"/>
    <n v="0.62"/>
    <n v="0.11"/>
    <n v="154.29"/>
    <n v="0"/>
    <m/>
    <n v="20260406"/>
    <m/>
    <s v="CREDITO"/>
    <n v="3974527"/>
    <s v="BCP"/>
    <m/>
    <m/>
    <d v="1899-12-30T17:25:19"/>
    <s v="XIAOMI SCHELL"/>
  </r>
  <r>
    <n v="1023366"/>
    <s v="VA"/>
    <s v="A"/>
    <d v="2026-04-01T00:00:00"/>
    <d v="2026-04-01T00:00:00"/>
    <m/>
    <n v="348"/>
    <s v="PS0005"/>
    <n v="6476"/>
    <n v="8597"/>
    <m/>
    <s v="463402******1898"/>
    <s v="Nac"/>
    <s v="COM"/>
    <x v="0"/>
    <n v="49"/>
    <x v="0"/>
    <n v="1.42"/>
    <n v="0.39"/>
    <n v="7.0000000000000007E-2"/>
    <n v="47.51"/>
    <n v="0"/>
    <m/>
    <n v="20260406"/>
    <m/>
    <s v="CREDITO"/>
    <n v="3974527"/>
    <s v="BCP"/>
    <m/>
    <m/>
    <d v="1899-12-30T18:33:33"/>
    <s v="XIAOMI SCHELL"/>
  </r>
  <r>
    <n v="1023366"/>
    <s v="VA"/>
    <s v="A"/>
    <d v="2026-04-01T00:00:00"/>
    <d v="2026-04-01T00:00:00"/>
    <m/>
    <n v="348"/>
    <s v="PS0005"/>
    <n v="6478"/>
    <n v="855916"/>
    <m/>
    <s v="455788******3149"/>
    <s v="Nac"/>
    <s v="COM"/>
    <x v="0"/>
    <n v="279"/>
    <x v="0"/>
    <n v="8.06"/>
    <n v="3.6"/>
    <n v="0.65"/>
    <n v="270.29000000000002"/>
    <n v="0"/>
    <m/>
    <n v="20260406"/>
    <m/>
    <s v="DEBITO"/>
    <n v="3974527"/>
    <s v="BCP"/>
    <m/>
    <m/>
    <d v="1899-12-30T18:48:04"/>
    <s v="XIAOMI SCHELL"/>
  </r>
  <r>
    <n v="1023366"/>
    <s v="VA"/>
    <s v="A"/>
    <d v="2026-04-01T00:00:00"/>
    <d v="2026-04-01T00:00:00"/>
    <m/>
    <n v="348"/>
    <s v="PS0005"/>
    <n v="6480"/>
    <n v="743963"/>
    <m/>
    <s v="447409******0803"/>
    <s v="Nac"/>
    <s v="COM"/>
    <x v="0"/>
    <n v="269"/>
    <x v="0"/>
    <n v="7.77"/>
    <n v="2.12"/>
    <n v="0.38"/>
    <n v="260.85000000000002"/>
    <n v="0"/>
    <m/>
    <n v="20260406"/>
    <m/>
    <s v="CREDITO"/>
    <n v="3974527"/>
    <s v="BFALABELLA"/>
    <m/>
    <m/>
    <d v="1899-12-30T18:49:09"/>
    <s v="XIAOMI SCHELL"/>
  </r>
  <r>
    <n v="1023366"/>
    <s v="VA"/>
    <s v="A"/>
    <d v="2026-04-01T00:00:00"/>
    <d v="2026-04-01T00:00:00"/>
    <m/>
    <n v="348"/>
    <s v="PS0005"/>
    <n v="6483"/>
    <n v="437521"/>
    <m/>
    <s v="438466******9298"/>
    <s v="Nac"/>
    <s v="COM"/>
    <x v="0"/>
    <n v="55"/>
    <x v="0"/>
    <n v="1.59"/>
    <n v="0.43"/>
    <n v="0.08"/>
    <n v="53.33"/>
    <n v="0"/>
    <m/>
    <n v="20260406"/>
    <m/>
    <s v="CREDITO"/>
    <n v="3974527"/>
    <s v="VISA LOC"/>
    <m/>
    <m/>
    <d v="1899-12-30T18:55:20"/>
    <s v="XIAOMI SCHELL"/>
  </r>
  <r>
    <n v="1023366"/>
    <s v="VA"/>
    <s v="A"/>
    <d v="2026-04-01T00:00:00"/>
    <d v="2026-04-01T00:00:00"/>
    <m/>
    <n v="348"/>
    <s v="PS0005"/>
    <n v="6485"/>
    <n v="467118"/>
    <n v="3"/>
    <s v="414791******1057"/>
    <s v="Nac"/>
    <s v="COM"/>
    <x v="0"/>
    <n v="279"/>
    <x v="0"/>
    <n v="12.94"/>
    <n v="1.64"/>
    <n v="0.3"/>
    <n v="265.76"/>
    <n v="0"/>
    <m/>
    <n v="20260406"/>
    <m/>
    <s v="CREDITO"/>
    <n v="3974527"/>
    <s v="BBVA"/>
    <s v="SI"/>
    <m/>
    <d v="1899-12-30T19:01:52"/>
    <s v="XIAOMI SCHELL"/>
  </r>
  <r>
    <n v="1023366"/>
    <s v="VA"/>
    <s v="A"/>
    <d v="2026-04-01T00:00:00"/>
    <d v="2026-04-01T00:00:00"/>
    <m/>
    <n v="348"/>
    <s v="PS0005"/>
    <n v="6487"/>
    <n v="107132"/>
    <m/>
    <s v="421410******3724"/>
    <s v="Nac"/>
    <s v="COM"/>
    <x v="0"/>
    <n v="349"/>
    <x v="0"/>
    <n v="10.09"/>
    <n v="4.51"/>
    <n v="0.81"/>
    <n v="338.1"/>
    <n v="0"/>
    <m/>
    <n v="20260406"/>
    <m/>
    <s v="DEBITO"/>
    <n v="3974527"/>
    <s v="NACION"/>
    <m/>
    <m/>
    <d v="1899-12-30T19:05:17"/>
    <s v="XIAOMI SCHELL"/>
  </r>
  <r>
    <n v="1023366"/>
    <s v="VA"/>
    <s v="A"/>
    <d v="2026-04-01T00:00:00"/>
    <d v="2026-04-01T00:00:00"/>
    <m/>
    <n v="348"/>
    <s v="PS0005"/>
    <n v="6489"/>
    <n v="529428"/>
    <n v="3"/>
    <s v="414791******4417"/>
    <s v="Nac"/>
    <s v="COM"/>
    <x v="0"/>
    <n v="49"/>
    <x v="0"/>
    <n v="2.2799999999999998"/>
    <n v="0.28999999999999998"/>
    <n v="0.05"/>
    <n v="46.67"/>
    <n v="0"/>
    <m/>
    <n v="20260406"/>
    <m/>
    <s v="CREDITO"/>
    <n v="3974527"/>
    <s v="BBVA"/>
    <s v="SI"/>
    <m/>
    <d v="1899-12-30T19:15:23"/>
    <s v="XIAOMI SCHELL"/>
  </r>
  <r>
    <n v="1023366"/>
    <s v="VA"/>
    <s v="A"/>
    <d v="2026-04-01T00:00:00"/>
    <d v="2026-04-01T00:00:00"/>
    <m/>
    <n v="348"/>
    <s v="PS0005"/>
    <n v="6491"/>
    <n v="576766"/>
    <n v="2"/>
    <s v="491909******7742"/>
    <s v="Nac"/>
    <s v="COM"/>
    <x v="0"/>
    <n v="269"/>
    <x v="0"/>
    <n v="12.48"/>
    <n v="2.12"/>
    <n v="0.38"/>
    <n v="256.14"/>
    <n v="0"/>
    <m/>
    <n v="20260406"/>
    <m/>
    <s v="CREDITO"/>
    <n v="3974527"/>
    <s v="BBVA"/>
    <s v="SI"/>
    <m/>
    <d v="1899-12-30T19:25:31"/>
    <s v="XIAOMI SCHELL"/>
  </r>
  <r>
    <n v="1023366"/>
    <s v="VA"/>
    <s v="A"/>
    <d v="2026-04-01T00:00:00"/>
    <d v="2026-04-01T00:00:00"/>
    <m/>
    <n v="348"/>
    <s v="PS0005"/>
    <n v="6493"/>
    <n v="9604"/>
    <m/>
    <s v="445330******2906"/>
    <s v="Nac"/>
    <s v="COM"/>
    <x v="0"/>
    <n v="89.9"/>
    <x v="0"/>
    <n v="2.6"/>
    <n v="0.35"/>
    <n v="0.06"/>
    <n v="87.24"/>
    <n v="0"/>
    <m/>
    <n v="20260406"/>
    <m/>
    <s v="CREDITO"/>
    <n v="3974527"/>
    <s v="BCP"/>
    <m/>
    <m/>
    <d v="1899-12-30T19:44:04"/>
    <s v="XIAOMI SCHELL"/>
  </r>
  <r>
    <n v="1023366"/>
    <s v="VA"/>
    <s v="A"/>
    <d v="2026-04-01T00:00:00"/>
    <d v="2026-04-01T00:00:00"/>
    <m/>
    <n v="348"/>
    <s v="PS0005"/>
    <n v="6495"/>
    <n v="10445"/>
    <n v="2"/>
    <s v="466721******4589"/>
    <s v="Nac"/>
    <s v="COM"/>
    <x v="0"/>
    <n v="269"/>
    <x v="0"/>
    <n v="7.77"/>
    <n v="2.12"/>
    <n v="0.38"/>
    <n v="260.85000000000002"/>
    <n v="0"/>
    <m/>
    <n v="20260406"/>
    <m/>
    <s v="CREDITO"/>
    <n v="3974527"/>
    <s v="SCOTIABANK"/>
    <s v="NO"/>
    <m/>
    <d v="1899-12-30T19:58:45"/>
    <s v="XIAOMI SCHELL"/>
  </r>
  <r>
    <n v="1023366"/>
    <s v="VA"/>
    <s v="A"/>
    <d v="2026-04-01T00:00:00"/>
    <d v="2026-04-01T00:00:00"/>
    <m/>
    <n v="348"/>
    <s v="PS0005"/>
    <n v="6501"/>
    <n v="123937"/>
    <m/>
    <s v="421355******0716"/>
    <s v="Nac"/>
    <s v="COM"/>
    <x v="0"/>
    <n v="1899"/>
    <x v="0"/>
    <n v="54.88"/>
    <n v="24.5"/>
    <n v="4.41"/>
    <n v="1839.71"/>
    <n v="0"/>
    <m/>
    <n v="20260406"/>
    <m/>
    <s v="DEBITO"/>
    <n v="3974527"/>
    <s v="IBK PRIVADA"/>
    <m/>
    <m/>
    <d v="1899-12-30T20:04:33"/>
    <s v="XIAOMI SCHELL"/>
  </r>
  <r>
    <n v="1023366"/>
    <s v="VA"/>
    <s v="A"/>
    <d v="2026-04-01T00:00:00"/>
    <d v="2026-04-01T00:00:00"/>
    <m/>
    <n v="348"/>
    <s v="PS0005"/>
    <n v="6503"/>
    <n v="12262"/>
    <m/>
    <s v="421918******2517"/>
    <s v="Nac"/>
    <s v="COM"/>
    <x v="0"/>
    <n v="268.89999999999998"/>
    <x v="0"/>
    <n v="7.77"/>
    <n v="1.05"/>
    <n v="0.19"/>
    <n v="260.94"/>
    <n v="0"/>
    <m/>
    <n v="20260406"/>
    <m/>
    <s v="CREDITO"/>
    <n v="3974527"/>
    <s v="SCOTIABANK"/>
    <m/>
    <m/>
    <d v="1899-12-30T20:05:25"/>
    <s v="XIAOMI SCHELL"/>
  </r>
  <r>
    <n v="1023366"/>
    <s v="VA"/>
    <s v="A"/>
    <d v="2026-04-01T00:00:00"/>
    <d v="2026-04-01T00:00:00"/>
    <m/>
    <n v="348"/>
    <s v="PS0005"/>
    <n v="6506"/>
    <n v="768317"/>
    <m/>
    <s v="438466******4520"/>
    <s v="Nac"/>
    <s v="COM"/>
    <x v="0"/>
    <n v="79"/>
    <x v="0"/>
    <n v="2.2799999999999998"/>
    <n v="0.3"/>
    <n v="0.05"/>
    <n v="76.67"/>
    <n v="0"/>
    <m/>
    <n v="20260406"/>
    <m/>
    <s v="CREDITO"/>
    <n v="3974527"/>
    <s v="VISA LOC"/>
    <m/>
    <m/>
    <d v="1899-12-30T20:07:34"/>
    <s v="XIAOMI SCHELL"/>
  </r>
  <r>
    <n v="1023366"/>
    <s v="VA"/>
    <s v="A"/>
    <d v="2026-04-01T00:00:00"/>
    <d v="2026-04-01T00:00:00"/>
    <m/>
    <n v="348"/>
    <n v="65656565"/>
    <n v="6508"/>
    <n v="121758"/>
    <m/>
    <s v="455788******7575"/>
    <s v="Nac"/>
    <s v="COM"/>
    <x v="0"/>
    <n v="193"/>
    <x v="0"/>
    <n v="5.57"/>
    <n v="2.48"/>
    <n v="0.45"/>
    <n v="186.98"/>
    <n v="0"/>
    <m/>
    <n v="20260406"/>
    <m/>
    <s v="DEBITO"/>
    <n v="3974527"/>
    <s v="BCP"/>
    <m/>
    <s v="Yape"/>
    <d v="1899-12-30T20:15:36"/>
    <s v="XIAOMI SCHELL"/>
  </r>
  <r>
    <n v="1023366"/>
    <s v="VA"/>
    <s v="A"/>
    <d v="2026-04-01T00:00:00"/>
    <d v="2026-04-01T00:00:00"/>
    <m/>
    <n v="348"/>
    <s v="PS0005"/>
    <n v="6511"/>
    <n v="14504"/>
    <m/>
    <s v="421355******7937"/>
    <s v="Nac"/>
    <s v="COM"/>
    <x v="0"/>
    <n v="119.7"/>
    <x v="0"/>
    <n v="3.46"/>
    <n v="1.54"/>
    <n v="0.28000000000000003"/>
    <n v="115.96"/>
    <n v="0"/>
    <m/>
    <n v="20260406"/>
    <m/>
    <s v="DEBITO"/>
    <n v="3974527"/>
    <s v="IBK PRIVADA"/>
    <m/>
    <m/>
    <d v="1899-12-30T20:21:06"/>
    <s v="XIAOMI SCHELL"/>
  </r>
  <r>
    <n v="1023366"/>
    <s v="VA"/>
    <s v="A"/>
    <d v="2026-04-01T00:00:00"/>
    <d v="2026-04-01T00:00:00"/>
    <m/>
    <n v="348"/>
    <s v="PS0005"/>
    <n v="6513"/>
    <n v="440858"/>
    <m/>
    <s v="455696******3706"/>
    <s v="Nac"/>
    <s v="COM"/>
    <x v="0"/>
    <n v="79"/>
    <x v="0"/>
    <n v="2.2799999999999998"/>
    <n v="0.46"/>
    <n v="0.08"/>
    <n v="76.64"/>
    <n v="20061.3"/>
    <d v="2026-04-06T00:00:00"/>
    <n v="20260406"/>
    <m/>
    <s v="CREDITO"/>
    <n v="3974527"/>
    <s v="IBK PRIVADA"/>
    <m/>
    <m/>
    <d v="1899-12-30T20:44:00"/>
    <s v="XIAOMI SCHELL"/>
  </r>
  <r>
    <n v="1023366"/>
    <s v="VX"/>
    <s v="A"/>
    <d v="2026-04-01T00:00:00"/>
    <d v="2026-04-01T00:00:00"/>
    <m/>
    <n v="348"/>
    <s v="PS0005"/>
    <n v="6446"/>
    <n v="48843"/>
    <m/>
    <s v="422829******1265"/>
    <s v="Nac"/>
    <s v="COM"/>
    <x v="0"/>
    <n v="49"/>
    <x v="0"/>
    <n v="1.42"/>
    <n v="1.42"/>
    <n v="0.26"/>
    <n v="47.32"/>
    <n v="47.32"/>
    <d v="2026-04-06T00:00:00"/>
    <n v="20260406"/>
    <m/>
    <s v="DEBITO"/>
    <n v="3974527"/>
    <s v="SODEXO"/>
    <m/>
    <m/>
    <d v="1899-12-30T15:31:16"/>
    <s v="XIAOMI SCHELL"/>
  </r>
  <r>
    <n v="1023366"/>
    <s v="MC"/>
    <s v="A"/>
    <d v="2026-04-02T00:00:00"/>
    <d v="2026-04-02T00:00:00"/>
    <m/>
    <n v="349"/>
    <s v="PS0005"/>
    <n v="6560"/>
    <n v="100970"/>
    <m/>
    <s v="525435******0274"/>
    <s v="Nac"/>
    <s v="COM"/>
    <x v="1"/>
    <n v="179.8"/>
    <x v="0"/>
    <n v="5.2"/>
    <n v="1.42"/>
    <n v="0.26"/>
    <n v="174.34"/>
    <n v="0"/>
    <m/>
    <n v="20260406"/>
    <m/>
    <s v="CREDITO"/>
    <n v="3974527"/>
    <s v="BRIPLEY"/>
    <m/>
    <m/>
    <d v="1899-12-30T14:19:20"/>
    <s v="XIAOMI SCHELL"/>
  </r>
  <r>
    <n v="1023366"/>
    <s v="MC"/>
    <s v="A"/>
    <d v="2026-04-02T00:00:00"/>
    <d v="2026-04-02T00:00:00"/>
    <m/>
    <n v="349"/>
    <s v="PS0005"/>
    <n v="6588"/>
    <s v="R03694"/>
    <m/>
    <s v="518047******1522"/>
    <s v="Nac"/>
    <s v="COM"/>
    <x v="1"/>
    <n v="179"/>
    <x v="0"/>
    <n v="5.17"/>
    <n v="0.61"/>
    <n v="0.11"/>
    <n v="173.72"/>
    <n v="0"/>
    <m/>
    <n v="20260406"/>
    <m/>
    <s v="CREDITO"/>
    <n v="3974527"/>
    <s v="SBP"/>
    <m/>
    <m/>
    <d v="1899-12-30T16:14:56"/>
    <s v="XIAOMI SCHELL"/>
  </r>
  <r>
    <n v="1023366"/>
    <s v="MC"/>
    <s v="A"/>
    <d v="2026-04-02T00:00:00"/>
    <d v="2026-04-02T00:00:00"/>
    <m/>
    <n v="349"/>
    <s v="PS0005"/>
    <n v="6592"/>
    <s v="R06320"/>
    <m/>
    <s v="522772******0139"/>
    <s v="Nac"/>
    <s v="COM"/>
    <x v="1"/>
    <n v="169"/>
    <x v="0"/>
    <n v="4.88"/>
    <n v="1.25"/>
    <n v="0.23"/>
    <n v="163.89"/>
    <n v="0"/>
    <m/>
    <n v="20260406"/>
    <m/>
    <s v="CREDITO"/>
    <n v="3974527"/>
    <s v="NACION"/>
    <m/>
    <m/>
    <d v="1899-12-30T16:24:13"/>
    <s v="XIAOMI SCHELL"/>
  </r>
  <r>
    <n v="1023366"/>
    <s v="MC"/>
    <s v="A"/>
    <d v="2026-04-02T00:00:00"/>
    <d v="2026-04-02T00:00:00"/>
    <m/>
    <n v="349"/>
    <s v="PS0005"/>
    <n v="6611"/>
    <n v="713939"/>
    <m/>
    <s v="553650******9692"/>
    <s v="Nac"/>
    <s v="COM"/>
    <x v="1"/>
    <n v="129"/>
    <x v="0"/>
    <n v="3.73"/>
    <n v="0.44"/>
    <n v="0.08"/>
    <n v="125.19"/>
    <n v="0"/>
    <m/>
    <n v="20260406"/>
    <m/>
    <s v="CREDITO"/>
    <n v="3974527"/>
    <s v="BBVA"/>
    <m/>
    <m/>
    <d v="1899-12-30T17:32:45"/>
    <s v="XIAOMI SCHELL"/>
  </r>
  <r>
    <n v="1023366"/>
    <s v="MC"/>
    <s v="A"/>
    <d v="2026-04-02T00:00:00"/>
    <d v="2026-04-02T00:00:00"/>
    <m/>
    <n v="349"/>
    <s v="PS0005"/>
    <n v="6657"/>
    <s v="R09842"/>
    <m/>
    <s v="529206******7509"/>
    <s v="Nac"/>
    <s v="COM"/>
    <x v="1"/>
    <n v="89.9"/>
    <x v="0"/>
    <n v="2.6"/>
    <n v="0.71"/>
    <n v="0.13"/>
    <n v="87.17"/>
    <n v="724.31"/>
    <d v="2026-04-06T00:00:00"/>
    <n v="20260406"/>
    <m/>
    <s v="CREDITO"/>
    <n v="3974527"/>
    <s v="CJ RURAL MC"/>
    <m/>
    <m/>
    <d v="1899-12-30T20:11:26"/>
    <s v="XIAOMI SCHELL"/>
  </r>
  <r>
    <n v="1023366"/>
    <s v="MR"/>
    <s v="A"/>
    <d v="2026-04-02T00:00:00"/>
    <d v="2026-04-02T00:00:00"/>
    <m/>
    <n v="349"/>
    <s v="PS0005"/>
    <n v="6585"/>
    <s v="R08887"/>
    <m/>
    <s v="233063******0870"/>
    <s v="Nac"/>
    <s v="COM"/>
    <x v="1"/>
    <n v="149"/>
    <x v="0"/>
    <n v="4.3099999999999996"/>
    <n v="4.3099999999999996"/>
    <n v="0.78"/>
    <n v="143.91"/>
    <n v="143.91"/>
    <d v="2026-04-06T00:00:00"/>
    <n v="20260406"/>
    <m/>
    <s v="CREDITO"/>
    <n v="3974527"/>
    <s v="EDENRED"/>
    <m/>
    <m/>
    <d v="1899-12-30T15:42:57"/>
    <s v="XIAOMI SCHELL"/>
  </r>
  <r>
    <n v="1023366"/>
    <s v="VA"/>
    <s v="A"/>
    <d v="2026-04-02T00:00:00"/>
    <d v="2026-04-02T00:00:00"/>
    <m/>
    <n v="349"/>
    <s v="PS0005"/>
    <n v="6529"/>
    <n v="543465"/>
    <m/>
    <s v="455788******0695"/>
    <s v="Nac"/>
    <s v="COM"/>
    <x v="1"/>
    <n v="69"/>
    <x v="0"/>
    <n v="1.99"/>
    <n v="0.89"/>
    <n v="0.16"/>
    <n v="66.849999999999994"/>
    <n v="0"/>
    <m/>
    <n v="20260406"/>
    <m/>
    <s v="DEBITO"/>
    <n v="3974527"/>
    <s v="BCP"/>
    <m/>
    <m/>
    <d v="1899-12-30T10:08:05"/>
    <s v="XIAOMI SCHELL"/>
  </r>
  <r>
    <n v="1023366"/>
    <s v="VA"/>
    <s v="A"/>
    <d v="2026-04-02T00:00:00"/>
    <d v="2026-04-02T00:00:00"/>
    <m/>
    <n v="349"/>
    <s v="PS0005"/>
    <n v="6531"/>
    <n v="207331"/>
    <n v="3"/>
    <s v="491914******4963"/>
    <s v="Nac"/>
    <s v="COM"/>
    <x v="1"/>
    <n v="968"/>
    <x v="0"/>
    <n v="44.92"/>
    <n v="5.72"/>
    <n v="1.03"/>
    <n v="922.05"/>
    <n v="0"/>
    <m/>
    <n v="20260406"/>
    <m/>
    <s v="CREDITO"/>
    <n v="3974527"/>
    <s v="BBVA"/>
    <s v="SI"/>
    <m/>
    <d v="1899-12-30T10:26:47"/>
    <s v="XIAOMI SCHELL"/>
  </r>
  <r>
    <n v="1023366"/>
    <s v="VA"/>
    <s v="A"/>
    <d v="2026-04-02T00:00:00"/>
    <d v="2026-04-02T00:00:00"/>
    <m/>
    <n v="349"/>
    <s v="PS0005"/>
    <n v="6533"/>
    <n v="64601"/>
    <m/>
    <s v="466721******0808"/>
    <s v="Nac"/>
    <s v="COM"/>
    <x v="1"/>
    <n v="139"/>
    <x v="0"/>
    <n v="4.0199999999999996"/>
    <n v="1.1000000000000001"/>
    <n v="0.2"/>
    <n v="134.78"/>
    <n v="0"/>
    <m/>
    <n v="20260406"/>
    <m/>
    <s v="CREDITO"/>
    <n v="3974527"/>
    <s v="SCOTIABANK"/>
    <m/>
    <m/>
    <d v="1899-12-30T11:54:48"/>
    <s v="XIAOMI SCHELL"/>
  </r>
  <r>
    <n v="1023366"/>
    <s v="VA"/>
    <s v="A"/>
    <d v="2026-04-02T00:00:00"/>
    <d v="2026-04-02T00:00:00"/>
    <m/>
    <n v="349"/>
    <s v="PS0005"/>
    <n v="6535"/>
    <n v="39056"/>
    <m/>
    <s v="421410******1979"/>
    <s v="Nac"/>
    <s v="COM"/>
    <x v="1"/>
    <n v="39.9"/>
    <x v="0"/>
    <n v="1.1499999999999999"/>
    <n v="0.51"/>
    <n v="0.09"/>
    <n v="38.659999999999997"/>
    <n v="0"/>
    <m/>
    <n v="20260406"/>
    <m/>
    <s v="DEBITO"/>
    <n v="3974527"/>
    <s v="NACION"/>
    <m/>
    <m/>
    <d v="1899-12-30T11:59:26"/>
    <s v="XIAOMI SCHELL"/>
  </r>
  <r>
    <n v="1023366"/>
    <s v="VA"/>
    <s v="A"/>
    <d v="2026-04-02T00:00:00"/>
    <d v="2026-04-02T00:00:00"/>
    <m/>
    <n v="349"/>
    <n v="65656565"/>
    <n v="6539"/>
    <n v="572802"/>
    <m/>
    <s v="455103******5921"/>
    <s v="Nac"/>
    <s v="COM"/>
    <x v="1"/>
    <n v="49"/>
    <x v="0"/>
    <n v="1.41"/>
    <n v="0.63"/>
    <n v="0.11"/>
    <n v="47.48"/>
    <n v="0"/>
    <m/>
    <n v="20260406"/>
    <m/>
    <s v="DEBITO"/>
    <n v="3974527"/>
    <s v="BBVA"/>
    <m/>
    <s v="BBVA Plin"/>
    <d v="1899-12-30T12:04:10"/>
    <s v="XIAOMI SCHELL"/>
  </r>
  <r>
    <n v="1023366"/>
    <s v="VA"/>
    <s v="A"/>
    <d v="2026-04-02T00:00:00"/>
    <d v="2026-04-02T00:00:00"/>
    <m/>
    <n v="349"/>
    <s v="PS0005"/>
    <n v="6542"/>
    <n v="4133"/>
    <m/>
    <s v="445330******1663"/>
    <s v="Nac"/>
    <s v="COM"/>
    <x v="1"/>
    <n v="124"/>
    <x v="0"/>
    <n v="3.58"/>
    <n v="0.73"/>
    <n v="0.13"/>
    <n v="120.29"/>
    <n v="0"/>
    <m/>
    <n v="20260406"/>
    <m/>
    <s v="CREDITO"/>
    <n v="3974527"/>
    <s v="BCP"/>
    <m/>
    <m/>
    <d v="1899-12-30T12:07:48"/>
    <s v="XIAOMI SCHELL"/>
  </r>
  <r>
    <n v="1023366"/>
    <s v="VA"/>
    <s v="A"/>
    <d v="2026-04-02T00:00:00"/>
    <d v="2026-04-02T00:00:00"/>
    <m/>
    <n v="349"/>
    <s v="PS0005"/>
    <n v="6544"/>
    <n v="791443"/>
    <m/>
    <s v="455788******4017"/>
    <s v="Nac"/>
    <s v="COM"/>
    <x v="1"/>
    <n v="2998"/>
    <x v="0"/>
    <n v="86.64"/>
    <n v="38.67"/>
    <n v="6.96"/>
    <n v="2904.4"/>
    <n v="0"/>
    <m/>
    <n v="20260406"/>
    <m/>
    <s v="DEBITO"/>
    <n v="3974527"/>
    <s v="BCP"/>
    <m/>
    <m/>
    <d v="1899-12-30T12:43:56"/>
    <s v="XIAOMI SCHELL"/>
  </r>
  <r>
    <n v="1023366"/>
    <s v="VA"/>
    <s v="A"/>
    <d v="2026-04-02T00:00:00"/>
    <d v="2026-04-02T00:00:00"/>
    <m/>
    <n v="349"/>
    <s v="PS0005"/>
    <n v="6546"/>
    <n v="816512"/>
    <m/>
    <s v="444355******6472"/>
    <s v="Nac"/>
    <s v="COM"/>
    <x v="1"/>
    <n v="89.9"/>
    <x v="0"/>
    <n v="2.6"/>
    <n v="1.1599999999999999"/>
    <n v="0.21"/>
    <n v="87.09"/>
    <n v="0"/>
    <m/>
    <n v="20260406"/>
    <m/>
    <s v="DEBITO"/>
    <n v="3974527"/>
    <s v="BBVA"/>
    <m/>
    <m/>
    <d v="1899-12-30T13:04:39"/>
    <s v="XIAOMI SCHELL"/>
  </r>
  <r>
    <n v="1023366"/>
    <s v="VA"/>
    <s v="A"/>
    <d v="2026-04-02T00:00:00"/>
    <d v="2026-04-02T00:00:00"/>
    <m/>
    <n v="349"/>
    <s v="PS0005"/>
    <n v="6548"/>
    <n v="695872"/>
    <m/>
    <s v="421355******4524"/>
    <s v="Nac"/>
    <s v="COM"/>
    <x v="1"/>
    <n v="1954"/>
    <x v="0"/>
    <n v="56.47"/>
    <n v="25.21"/>
    <n v="4.54"/>
    <n v="1892.99"/>
    <n v="0"/>
    <m/>
    <n v="20260406"/>
    <m/>
    <s v="DEBITO"/>
    <n v="3974527"/>
    <s v="IBK PRIVADA"/>
    <m/>
    <m/>
    <d v="1899-12-30T13:26:02"/>
    <s v="XIAOMI SCHELL"/>
  </r>
  <r>
    <n v="1023366"/>
    <s v="VA"/>
    <s v="A"/>
    <d v="2026-04-02T00:00:00"/>
    <d v="2026-04-02T00:00:00"/>
    <m/>
    <n v="349"/>
    <s v="PS0005"/>
    <n v="6551"/>
    <n v="885811"/>
    <m/>
    <s v="455788******8503"/>
    <s v="Nac"/>
    <s v="COM"/>
    <x v="1"/>
    <n v="40"/>
    <x v="0"/>
    <n v="1.1599999999999999"/>
    <n v="0.52"/>
    <n v="0.09"/>
    <n v="38.75"/>
    <n v="0"/>
    <m/>
    <n v="20260406"/>
    <m/>
    <s v="DEBITO"/>
    <n v="3974527"/>
    <s v="BCP"/>
    <m/>
    <m/>
    <d v="1899-12-30T13:38:37"/>
    <s v="XIAOMI SCHELL"/>
  </r>
  <r>
    <n v="1023366"/>
    <s v="VA"/>
    <s v="A"/>
    <d v="2026-04-02T00:00:00"/>
    <d v="2026-04-02T00:00:00"/>
    <m/>
    <n v="349"/>
    <n v="65656565"/>
    <n v="6553"/>
    <n v="917556"/>
    <m/>
    <s v="455788******4205"/>
    <s v="Nac"/>
    <s v="COM"/>
    <x v="1"/>
    <n v="89"/>
    <x v="0"/>
    <n v="2.57"/>
    <n v="1.1499999999999999"/>
    <n v="0.21"/>
    <n v="86.22"/>
    <n v="0"/>
    <m/>
    <n v="20260406"/>
    <m/>
    <s v="DEBITO"/>
    <n v="3974527"/>
    <s v="BCP"/>
    <m/>
    <s v="Yape"/>
    <d v="1899-12-30T13:44:43"/>
    <s v="XIAOMI SCHELL"/>
  </r>
  <r>
    <n v="1023366"/>
    <s v="VA"/>
    <s v="A"/>
    <d v="2026-04-02T00:00:00"/>
    <d v="2026-04-02T00:00:00"/>
    <m/>
    <n v="349"/>
    <s v="PS0005"/>
    <n v="6556"/>
    <n v="5020"/>
    <m/>
    <s v="428076******3845"/>
    <s v="Nac"/>
    <s v="COM"/>
    <x v="1"/>
    <n v="1999"/>
    <x v="0"/>
    <n v="57.77"/>
    <n v="7.79"/>
    <n v="1.4"/>
    <n v="1939.83"/>
    <n v="0"/>
    <m/>
    <n v="20260406"/>
    <m/>
    <s v="CREDITO"/>
    <n v="3974527"/>
    <s v="BCP"/>
    <m/>
    <m/>
    <d v="1899-12-30T13:57:29"/>
    <s v="XIAOMI SCHELL"/>
  </r>
  <r>
    <n v="1023366"/>
    <s v="VA"/>
    <s v="A"/>
    <d v="2026-04-02T00:00:00"/>
    <d v="2026-04-02T00:00:00"/>
    <m/>
    <n v="349"/>
    <s v="PS0005"/>
    <n v="6558"/>
    <n v="4725"/>
    <m/>
    <s v="428082******0287"/>
    <s v="Nac"/>
    <s v="COM"/>
    <x v="1"/>
    <n v="219"/>
    <x v="0"/>
    <n v="6.33"/>
    <n v="1.29"/>
    <n v="0.23"/>
    <n v="212.44"/>
    <n v="0"/>
    <m/>
    <n v="20260406"/>
    <m/>
    <s v="CREDITO"/>
    <n v="3974527"/>
    <s v="BCP"/>
    <m/>
    <m/>
    <d v="1899-12-30T14:12:47"/>
    <s v="XIAOMI SCHELL"/>
  </r>
  <r>
    <n v="1023366"/>
    <s v="VA"/>
    <s v="A"/>
    <d v="2026-04-02T00:00:00"/>
    <d v="2026-04-02T00:00:00"/>
    <m/>
    <n v="349"/>
    <s v="PS0005"/>
    <n v="6565"/>
    <n v="54710"/>
    <m/>
    <s v="458089******0099"/>
    <s v="Ext"/>
    <s v="COM"/>
    <x v="1"/>
    <n v="86.9"/>
    <x v="0"/>
    <n v="3.39"/>
    <n v="1.66"/>
    <n v="0.3"/>
    <n v="83.21"/>
    <n v="0"/>
    <m/>
    <n v="20260406"/>
    <m/>
    <s v="CREDITO"/>
    <n v="3974527"/>
    <s v="VISA INT"/>
    <m/>
    <m/>
    <d v="1899-12-30T14:27:57"/>
    <s v="XIAOMI SCHELL"/>
  </r>
  <r>
    <n v="1023366"/>
    <s v="VA"/>
    <s v="A"/>
    <d v="2026-04-02T00:00:00"/>
    <d v="2026-04-02T00:00:00"/>
    <m/>
    <n v="349"/>
    <s v="PS0005"/>
    <n v="6567"/>
    <n v="179755"/>
    <m/>
    <s v="444355******7277"/>
    <s v="Nac"/>
    <s v="COM"/>
    <x v="1"/>
    <n v="89"/>
    <x v="0"/>
    <n v="2.57"/>
    <n v="0.52"/>
    <n v="0.09"/>
    <n v="86.34"/>
    <n v="0"/>
    <m/>
    <n v="20260406"/>
    <m/>
    <s v="CREDITO"/>
    <n v="3974527"/>
    <s v="BBVA"/>
    <m/>
    <m/>
    <d v="1899-12-30T14:43:33"/>
    <s v="XIAOMI SCHELL"/>
  </r>
  <r>
    <n v="1023366"/>
    <s v="VA"/>
    <s v="A"/>
    <d v="2026-04-02T00:00:00"/>
    <d v="2026-04-02T00:00:00"/>
    <m/>
    <n v="349"/>
    <s v="PS0005"/>
    <n v="6569"/>
    <n v="701441"/>
    <m/>
    <s v="421355******5133"/>
    <s v="Nac"/>
    <s v="COM"/>
    <x v="1"/>
    <n v="149"/>
    <x v="0"/>
    <n v="4.3099999999999996"/>
    <n v="1.93"/>
    <n v="0.35"/>
    <n v="144.34"/>
    <n v="0"/>
    <m/>
    <n v="20260406"/>
    <m/>
    <s v="DEBITO"/>
    <n v="3974527"/>
    <s v="IBK PRIVADA"/>
    <m/>
    <m/>
    <d v="1899-12-30T14:48:53"/>
    <s v="XIAOMI SCHELL"/>
  </r>
  <r>
    <n v="1023366"/>
    <s v="VA"/>
    <s v="A"/>
    <d v="2026-04-02T00:00:00"/>
    <d v="2026-04-02T00:00:00"/>
    <m/>
    <n v="349"/>
    <s v="PS0005"/>
    <n v="6571"/>
    <n v="767392"/>
    <m/>
    <s v="421355******5133"/>
    <s v="Nac"/>
    <s v="COM"/>
    <x v="1"/>
    <n v="19.899999999999999"/>
    <x v="0"/>
    <n v="0.57999999999999996"/>
    <n v="0.26"/>
    <n v="0.05"/>
    <n v="19.27"/>
    <n v="0"/>
    <m/>
    <n v="20260406"/>
    <m/>
    <s v="DEBITO"/>
    <n v="3974527"/>
    <s v="IBK PRIVADA"/>
    <m/>
    <m/>
    <d v="1899-12-30T14:53:13"/>
    <s v="XIAOMI SCHELL"/>
  </r>
  <r>
    <n v="1023366"/>
    <s v="VA"/>
    <s v="A"/>
    <d v="2026-04-02T00:00:00"/>
    <d v="2026-04-02T00:00:00"/>
    <m/>
    <n v="349"/>
    <s v="PS0005"/>
    <n v="6573"/>
    <n v="1440"/>
    <m/>
    <s v="445331******4103"/>
    <s v="Nac"/>
    <s v="COM"/>
    <x v="1"/>
    <n v="159"/>
    <x v="0"/>
    <n v="4.5999999999999996"/>
    <n v="0.94"/>
    <n v="0.17"/>
    <n v="154.22999999999999"/>
    <n v="0"/>
    <m/>
    <n v="20260406"/>
    <m/>
    <s v="CREDITO"/>
    <n v="3974527"/>
    <s v="BCP"/>
    <m/>
    <m/>
    <d v="1899-12-30T14:55:50"/>
    <s v="XIAOMI SCHELL"/>
  </r>
  <r>
    <n v="1023366"/>
    <s v="VA"/>
    <s v="A"/>
    <d v="2026-04-02T00:00:00"/>
    <d v="2026-04-02T00:00:00"/>
    <m/>
    <n v="349"/>
    <s v="PS0005"/>
    <n v="6575"/>
    <n v="251035"/>
    <m/>
    <s v="455170******3850"/>
    <s v="Nac"/>
    <s v="COM"/>
    <x v="1"/>
    <n v="549"/>
    <x v="0"/>
    <n v="15.87"/>
    <n v="7.09"/>
    <n v="1.28"/>
    <n v="531.85"/>
    <n v="0"/>
    <m/>
    <n v="20260406"/>
    <m/>
    <s v="DEBITO"/>
    <n v="3974527"/>
    <s v="BBVA"/>
    <m/>
    <m/>
    <d v="1899-12-30T15:05:24"/>
    <s v="XIAOMI SCHELL"/>
  </r>
  <r>
    <n v="1023366"/>
    <s v="VA"/>
    <s v="A"/>
    <d v="2026-04-02T00:00:00"/>
    <d v="2026-04-02T00:00:00"/>
    <m/>
    <n v="349"/>
    <s v="PS0005"/>
    <n v="6580"/>
    <n v="344163"/>
    <n v="3"/>
    <s v="491914******6425"/>
    <s v="Nac"/>
    <s v="COM"/>
    <x v="1"/>
    <n v="349"/>
    <x v="0"/>
    <n v="16.2"/>
    <n v="2.06"/>
    <n v="0.37"/>
    <n v="332.43"/>
    <n v="0"/>
    <m/>
    <n v="20260406"/>
    <m/>
    <s v="CREDITO"/>
    <n v="3974527"/>
    <s v="BBVA"/>
    <s v="SI"/>
    <m/>
    <d v="1899-12-30T15:34:36"/>
    <s v="XIAOMI SCHELL"/>
  </r>
  <r>
    <n v="1023366"/>
    <s v="VA"/>
    <s v="A"/>
    <d v="2026-04-02T00:00:00"/>
    <d v="2026-04-02T00:00:00"/>
    <m/>
    <n v="349"/>
    <s v="PS0005"/>
    <n v="6582"/>
    <n v="9210"/>
    <m/>
    <s v="444437******1541"/>
    <s v="Nac"/>
    <s v="COM"/>
    <x v="1"/>
    <n v="179"/>
    <x v="0"/>
    <n v="5.17"/>
    <n v="0.69"/>
    <n v="0.12"/>
    <n v="173.71"/>
    <n v="0"/>
    <m/>
    <n v="20260406"/>
    <m/>
    <s v="CREDITO"/>
    <n v="3974527"/>
    <s v="BCP"/>
    <m/>
    <m/>
    <d v="1899-12-30T15:41:16"/>
    <s v="XIAOMI SCHELL"/>
  </r>
  <r>
    <n v="1023366"/>
    <s v="VA"/>
    <s v="A"/>
    <d v="2026-04-02T00:00:00"/>
    <d v="2026-04-02T00:00:00"/>
    <m/>
    <n v="349"/>
    <s v="PS0005"/>
    <n v="6590"/>
    <n v="160652"/>
    <m/>
    <s v="455788******9346"/>
    <s v="Nac"/>
    <s v="COM"/>
    <x v="1"/>
    <n v="269"/>
    <x v="0"/>
    <n v="7.77"/>
    <n v="3.47"/>
    <n v="0.62"/>
    <n v="260.61"/>
    <n v="0"/>
    <m/>
    <n v="20260406"/>
    <m/>
    <s v="DEBITO"/>
    <n v="3974527"/>
    <s v="BCP"/>
    <m/>
    <m/>
    <d v="1899-12-30T16:16:44"/>
    <s v="XIAOMI SCHELL"/>
  </r>
  <r>
    <n v="1023366"/>
    <s v="VA"/>
    <s v="A"/>
    <d v="2026-04-02T00:00:00"/>
    <d v="2026-04-02T00:00:00"/>
    <m/>
    <n v="349"/>
    <s v="PS0005"/>
    <n v="6595"/>
    <n v="171622"/>
    <m/>
    <s v="411539******8357"/>
    <s v="Nac"/>
    <s v="COM"/>
    <x v="1"/>
    <n v="69"/>
    <x v="0"/>
    <n v="1.99"/>
    <n v="0.89"/>
    <n v="0.16"/>
    <n v="66.849999999999994"/>
    <n v="0"/>
    <m/>
    <n v="20260406"/>
    <m/>
    <s v="DEBITO"/>
    <n v="3974527"/>
    <s v="VISA LOC"/>
    <m/>
    <m/>
    <d v="1899-12-30T16:40:41"/>
    <s v="XIAOMI SCHELL"/>
  </r>
  <r>
    <n v="1023366"/>
    <s v="VA"/>
    <s v="A"/>
    <d v="2026-04-02T00:00:00"/>
    <d v="2026-04-02T00:00:00"/>
    <m/>
    <n v="349"/>
    <s v="PS0005"/>
    <n v="6597"/>
    <n v="91598"/>
    <m/>
    <s v="421410******0165"/>
    <s v="Nac"/>
    <s v="COM"/>
    <x v="1"/>
    <n v="105"/>
    <x v="0"/>
    <n v="3.03"/>
    <n v="1.35"/>
    <n v="0.24"/>
    <n v="101.73"/>
    <n v="0"/>
    <m/>
    <n v="20260406"/>
    <m/>
    <s v="DEBITO"/>
    <n v="3974527"/>
    <s v="NACION"/>
    <m/>
    <m/>
    <d v="1899-12-30T16:44:25"/>
    <s v="XIAOMI SCHELL"/>
  </r>
  <r>
    <n v="1023366"/>
    <s v="VA"/>
    <s v="A"/>
    <d v="2026-04-02T00:00:00"/>
    <d v="2026-04-02T00:00:00"/>
    <m/>
    <n v="349"/>
    <s v="PS0005"/>
    <n v="6599"/>
    <n v="216602"/>
    <m/>
    <s v="491246******2781"/>
    <s v="Nac"/>
    <s v="COM"/>
    <x v="1"/>
    <n v="322"/>
    <x v="0"/>
    <n v="9.31"/>
    <n v="2.5499999999999998"/>
    <n v="0.46"/>
    <n v="312.23"/>
    <n v="0"/>
    <m/>
    <n v="20260406"/>
    <m/>
    <s v="DEBITO"/>
    <n v="3974527"/>
    <s v="BCP"/>
    <m/>
    <m/>
    <d v="1899-12-30T16:52:19"/>
    <s v="XIAOMI SCHELL"/>
  </r>
  <r>
    <n v="1023366"/>
    <s v="VA"/>
    <s v="A"/>
    <d v="2026-04-02T00:00:00"/>
    <d v="2026-04-02T00:00:00"/>
    <m/>
    <n v="349"/>
    <s v="PS0005"/>
    <n v="6601"/>
    <n v="3907"/>
    <m/>
    <s v="402161******8256"/>
    <s v="Nac"/>
    <s v="COM"/>
    <x v="1"/>
    <n v="34.9"/>
    <x v="0"/>
    <n v="1.01"/>
    <n v="0.28000000000000003"/>
    <n v="0.05"/>
    <n v="33.840000000000003"/>
    <n v="0"/>
    <m/>
    <n v="20260406"/>
    <m/>
    <s v="CREDITO"/>
    <n v="3974527"/>
    <s v="BCP"/>
    <m/>
    <m/>
    <d v="1899-12-30T16:56:14"/>
    <s v="XIAOMI SCHELL"/>
  </r>
  <r>
    <n v="1023366"/>
    <s v="VA"/>
    <s v="A"/>
    <d v="2026-04-02T00:00:00"/>
    <d v="2026-04-02T00:00:00"/>
    <m/>
    <n v="349"/>
    <s v="PS0005"/>
    <n v="6603"/>
    <n v="199439"/>
    <m/>
    <s v="455788******5271"/>
    <s v="Nac"/>
    <s v="COM"/>
    <x v="1"/>
    <n v="699"/>
    <x v="0"/>
    <n v="20.2"/>
    <n v="9.02"/>
    <n v="1.62"/>
    <n v="677.18"/>
    <n v="0"/>
    <m/>
    <n v="20260406"/>
    <m/>
    <s v="DEBITO"/>
    <n v="3974527"/>
    <s v="BCP"/>
    <m/>
    <m/>
    <d v="1899-12-30T16:58:34"/>
    <s v="XIAOMI SCHELL"/>
  </r>
  <r>
    <n v="1023366"/>
    <s v="VA"/>
    <s v="A"/>
    <d v="2026-04-02T00:00:00"/>
    <d v="2026-04-02T00:00:00"/>
    <m/>
    <n v="349"/>
    <s v="PS0005"/>
    <n v="6605"/>
    <n v="607791"/>
    <m/>
    <s v="414791******5091"/>
    <s v="Nac"/>
    <s v="COM"/>
    <x v="1"/>
    <n v="1000"/>
    <x v="0"/>
    <n v="28.9"/>
    <n v="5.9"/>
    <n v="1.06"/>
    <n v="970.04"/>
    <n v="0"/>
    <m/>
    <n v="20260406"/>
    <m/>
    <s v="CREDITO"/>
    <n v="3974527"/>
    <s v="BBVA"/>
    <m/>
    <m/>
    <d v="1899-12-30T16:59:10"/>
    <s v="XIAOMI SCHELL"/>
  </r>
  <r>
    <n v="1023366"/>
    <s v="VA"/>
    <s v="A"/>
    <d v="2026-04-02T00:00:00"/>
    <d v="2026-04-02T00:00:00"/>
    <m/>
    <n v="349"/>
    <s v="PS0005"/>
    <n v="6607"/>
    <n v="3217"/>
    <m/>
    <s v="428082******1068"/>
    <s v="Nac"/>
    <s v="COM"/>
    <x v="1"/>
    <n v="169"/>
    <x v="0"/>
    <n v="4.88"/>
    <n v="0.99"/>
    <n v="0.18"/>
    <n v="163.94"/>
    <n v="0"/>
    <m/>
    <n v="20260406"/>
    <m/>
    <s v="CREDITO"/>
    <n v="3974527"/>
    <s v="BCP"/>
    <m/>
    <m/>
    <d v="1899-12-30T17:11:54"/>
    <s v="XIAOMI SCHELL"/>
  </r>
  <r>
    <n v="1023366"/>
    <s v="VA"/>
    <s v="A"/>
    <d v="2026-04-02T00:00:00"/>
    <d v="2026-04-02T00:00:00"/>
    <m/>
    <n v="349"/>
    <s v="PS0005"/>
    <n v="6609"/>
    <n v="213054"/>
    <m/>
    <s v="444697******7078"/>
    <s v="Nac"/>
    <s v="COM"/>
    <x v="1"/>
    <n v="2499"/>
    <x v="0"/>
    <n v="72.22"/>
    <n v="32.24"/>
    <n v="5.8"/>
    <n v="2420.98"/>
    <n v="0"/>
    <m/>
    <n v="20260406"/>
    <m/>
    <s v="DEBITO"/>
    <n v="3974527"/>
    <s v="BCP"/>
    <m/>
    <m/>
    <d v="1899-12-30T17:26:52"/>
    <s v="XIAOMI SCHELL"/>
  </r>
  <r>
    <n v="1023366"/>
    <s v="VA"/>
    <s v="A"/>
    <d v="2026-04-02T00:00:00"/>
    <d v="2026-04-02T00:00:00"/>
    <m/>
    <n v="349"/>
    <s v="PS0005"/>
    <n v="6613"/>
    <n v="7401"/>
    <m/>
    <s v="428082******2919"/>
    <s v="Nac"/>
    <s v="COM"/>
    <x v="1"/>
    <n v="169"/>
    <x v="0"/>
    <n v="4.88"/>
    <n v="0.99"/>
    <n v="0.18"/>
    <n v="163.94"/>
    <n v="0"/>
    <m/>
    <n v="20260406"/>
    <m/>
    <s v="CREDITO"/>
    <n v="3974527"/>
    <s v="BCP"/>
    <m/>
    <m/>
    <d v="1899-12-30T17:35:51"/>
    <s v="XIAOMI SCHELL"/>
  </r>
  <r>
    <n v="1023366"/>
    <s v="VA"/>
    <s v="A"/>
    <d v="2026-04-02T00:00:00"/>
    <d v="2026-04-02T00:00:00"/>
    <m/>
    <n v="349"/>
    <s v="PS0005"/>
    <n v="6615"/>
    <n v="198"/>
    <m/>
    <s v="428082******5325"/>
    <s v="Nac"/>
    <s v="COM"/>
    <x v="1"/>
    <n v="1499"/>
    <x v="0"/>
    <n v="43.32"/>
    <n v="8.84"/>
    <n v="1.59"/>
    <n v="1454.09"/>
    <n v="0"/>
    <m/>
    <n v="20260406"/>
    <m/>
    <s v="CREDITO"/>
    <n v="3974527"/>
    <s v="BCP"/>
    <m/>
    <m/>
    <d v="1899-12-30T17:40:31"/>
    <s v="XIAOMI SCHELL"/>
  </r>
  <r>
    <n v="1023366"/>
    <s v="VA"/>
    <s v="A"/>
    <d v="2026-04-02T00:00:00"/>
    <d v="2026-04-02T00:00:00"/>
    <m/>
    <n v="349"/>
    <s v="PS0005"/>
    <n v="6617"/>
    <n v="1371"/>
    <m/>
    <s v="428076******0442"/>
    <s v="Nac"/>
    <s v="COM"/>
    <x v="1"/>
    <n v="179"/>
    <x v="0"/>
    <n v="5.17"/>
    <n v="0.69"/>
    <n v="0.12"/>
    <n v="173.71"/>
    <n v="0"/>
    <m/>
    <n v="20260406"/>
    <m/>
    <s v="CREDITO"/>
    <n v="3974527"/>
    <s v="BCP"/>
    <m/>
    <m/>
    <d v="1899-12-30T17:42:26"/>
    <s v="XIAOMI SCHELL"/>
  </r>
  <r>
    <n v="1023366"/>
    <s v="VA"/>
    <s v="A"/>
    <d v="2026-04-02T00:00:00"/>
    <d v="2026-04-02T00:00:00"/>
    <m/>
    <n v="349"/>
    <s v="PS0005"/>
    <n v="6620"/>
    <n v="162845"/>
    <m/>
    <s v="421355******2479"/>
    <s v="Nac"/>
    <s v="COM"/>
    <x v="1"/>
    <n v="109"/>
    <x v="0"/>
    <n v="3.15"/>
    <n v="1.41"/>
    <n v="0.25"/>
    <n v="105.6"/>
    <n v="0"/>
    <m/>
    <n v="20260406"/>
    <m/>
    <s v="DEBITO"/>
    <n v="3974527"/>
    <s v="IBK PRIVADA"/>
    <m/>
    <m/>
    <d v="1899-12-30T17:52:13"/>
    <s v="XIAOMI SCHELL"/>
  </r>
  <r>
    <n v="1023366"/>
    <s v="VA"/>
    <s v="A"/>
    <d v="2026-04-02T00:00:00"/>
    <d v="2026-04-02T00:00:00"/>
    <m/>
    <n v="349"/>
    <s v="PS0005"/>
    <n v="6622"/>
    <n v="585845"/>
    <m/>
    <s v="421355******2479"/>
    <s v="Nac"/>
    <s v="COM"/>
    <x v="1"/>
    <n v="159"/>
    <x v="0"/>
    <n v="4.5999999999999996"/>
    <n v="2.06"/>
    <n v="0.37"/>
    <n v="154.03"/>
    <n v="0"/>
    <m/>
    <n v="20260406"/>
    <m/>
    <s v="DEBITO"/>
    <n v="3974527"/>
    <s v="IBK PRIVADA"/>
    <m/>
    <m/>
    <d v="1899-12-30T17:59:00"/>
    <s v="XIAOMI SCHELL"/>
  </r>
  <r>
    <n v="1023366"/>
    <s v="VA"/>
    <s v="A"/>
    <d v="2026-04-02T00:00:00"/>
    <d v="2026-04-02T00:00:00"/>
    <m/>
    <n v="349"/>
    <s v="PS0005"/>
    <n v="6624"/>
    <n v="2881"/>
    <m/>
    <s v="428076******7117"/>
    <s v="Nac"/>
    <s v="COM"/>
    <x v="1"/>
    <n v="109"/>
    <x v="0"/>
    <n v="3.15"/>
    <n v="0.42"/>
    <n v="0.08"/>
    <n v="105.77"/>
    <n v="0"/>
    <m/>
    <n v="20260406"/>
    <m/>
    <s v="CREDITO"/>
    <n v="3974527"/>
    <s v="BCP"/>
    <m/>
    <m/>
    <d v="1899-12-30T18:01:33"/>
    <s v="XIAOMI SCHELL"/>
  </r>
  <r>
    <n v="1023366"/>
    <s v="VA"/>
    <s v="A"/>
    <d v="2026-04-02T00:00:00"/>
    <d v="2026-04-02T00:00:00"/>
    <m/>
    <n v="349"/>
    <s v="PS0005"/>
    <n v="6628"/>
    <n v="914465"/>
    <n v="3"/>
    <s v="444355******7960"/>
    <s v="Nac"/>
    <s v="COM"/>
    <x v="1"/>
    <n v="2450"/>
    <x v="0"/>
    <n v="113.69"/>
    <n v="14.46"/>
    <n v="2.6"/>
    <n v="2333.71"/>
    <n v="0"/>
    <m/>
    <n v="20260406"/>
    <m/>
    <s v="CREDITO"/>
    <n v="3974527"/>
    <s v="BBVA"/>
    <s v="SI"/>
    <m/>
    <d v="1899-12-30T18:32:41"/>
    <s v="XIAOMI SCHELL"/>
  </r>
  <r>
    <n v="1023366"/>
    <s v="VA"/>
    <s v="A"/>
    <d v="2026-04-02T00:00:00"/>
    <d v="2026-04-02T00:00:00"/>
    <m/>
    <n v="349"/>
    <s v="PS0005"/>
    <n v="6630"/>
    <n v="953316"/>
    <n v="3"/>
    <s v="414075******3791"/>
    <s v="Nac"/>
    <s v="COM"/>
    <x v="1"/>
    <n v="1326"/>
    <x v="0"/>
    <n v="61.53"/>
    <n v="5.17"/>
    <n v="0.93"/>
    <n v="1263.54"/>
    <n v="0"/>
    <m/>
    <n v="20260406"/>
    <m/>
    <s v="CREDITO"/>
    <n v="3974527"/>
    <s v="BBVA"/>
    <s v="SI"/>
    <m/>
    <d v="1899-12-30T18:43:39"/>
    <s v="XIAOMI SCHELL"/>
  </r>
  <r>
    <n v="1023366"/>
    <s v="VA"/>
    <s v="A"/>
    <d v="2026-04-02T00:00:00"/>
    <d v="2026-04-02T00:00:00"/>
    <m/>
    <n v="349"/>
    <s v="PS0005"/>
    <n v="6632"/>
    <n v="119246"/>
    <m/>
    <s v="428581******8221"/>
    <s v="Nac"/>
    <s v="COM"/>
    <x v="1"/>
    <n v="350"/>
    <x v="0"/>
    <n v="10.119999999999999"/>
    <n v="4.5199999999999996"/>
    <n v="0.81"/>
    <n v="339.07"/>
    <n v="0"/>
    <m/>
    <n v="20260406"/>
    <m/>
    <s v="DEBITO"/>
    <n v="3974527"/>
    <s v="SCOTIABANK"/>
    <m/>
    <m/>
    <d v="1899-12-30T18:48:34"/>
    <s v="XIAOMI SCHELL"/>
  </r>
  <r>
    <n v="1023366"/>
    <s v="VA"/>
    <s v="A"/>
    <d v="2026-04-02T00:00:00"/>
    <d v="2026-04-02T00:00:00"/>
    <m/>
    <n v="349"/>
    <s v="PS0005"/>
    <n v="6634"/>
    <n v="521059"/>
    <m/>
    <s v="455696******4012"/>
    <s v="Nac"/>
    <s v="COM"/>
    <x v="1"/>
    <n v="199"/>
    <x v="0"/>
    <n v="5.75"/>
    <n v="1.57"/>
    <n v="0.28000000000000003"/>
    <n v="192.97"/>
    <n v="0"/>
    <m/>
    <n v="20260406"/>
    <m/>
    <s v="CREDITO"/>
    <n v="3974527"/>
    <s v="IBK PRIVADA"/>
    <m/>
    <m/>
    <d v="1899-12-30T18:52:02"/>
    <s v="XIAOMI SCHELL"/>
  </r>
  <r>
    <n v="1023366"/>
    <s v="VA"/>
    <s v="A"/>
    <d v="2026-04-02T00:00:00"/>
    <d v="2026-04-02T00:00:00"/>
    <m/>
    <n v="349"/>
    <s v="PS0005"/>
    <n v="6636"/>
    <n v="7937"/>
    <m/>
    <s v="491914******8156"/>
    <s v="Nac"/>
    <s v="COM"/>
    <x v="1"/>
    <n v="17.899999999999999"/>
    <x v="0"/>
    <n v="0.52"/>
    <n v="0.11"/>
    <n v="0.02"/>
    <n v="17.36"/>
    <n v="0"/>
    <m/>
    <n v="20260406"/>
    <m/>
    <s v="CREDITO"/>
    <n v="3974527"/>
    <s v="BBVA"/>
    <m/>
    <m/>
    <d v="1899-12-30T18:58:57"/>
    <s v="XIAOMI SCHELL"/>
  </r>
  <r>
    <n v="1023366"/>
    <s v="VA"/>
    <s v="A"/>
    <d v="2026-04-02T00:00:00"/>
    <d v="2026-04-02T00:00:00"/>
    <m/>
    <n v="349"/>
    <s v="PS0005"/>
    <n v="6638"/>
    <n v="138263"/>
    <m/>
    <s v="444355******0745"/>
    <s v="Nac"/>
    <s v="COM"/>
    <x v="1"/>
    <n v="134"/>
    <x v="0"/>
    <n v="3.87"/>
    <n v="1.73"/>
    <n v="0.31"/>
    <n v="129.82"/>
    <n v="0"/>
    <m/>
    <n v="20260406"/>
    <m/>
    <s v="DEBITO"/>
    <n v="3974527"/>
    <s v="BBVA"/>
    <m/>
    <m/>
    <d v="1899-12-30T19:35:19"/>
    <s v="XIAOMI SCHELL"/>
  </r>
  <r>
    <n v="1023366"/>
    <s v="VA"/>
    <s v="A"/>
    <d v="2026-04-02T00:00:00"/>
    <d v="2026-04-02T00:00:00"/>
    <m/>
    <n v="349"/>
    <s v="PS0005"/>
    <n v="6643"/>
    <n v="483980"/>
    <m/>
    <s v="455788******9512"/>
    <s v="Nac"/>
    <s v="COM"/>
    <x v="1"/>
    <n v="1282.9000000000001"/>
    <x v="0"/>
    <n v="37.08"/>
    <n v="16.55"/>
    <n v="2.98"/>
    <n v="1242.8399999999999"/>
    <n v="0"/>
    <m/>
    <n v="20260406"/>
    <m/>
    <s v="DEBITO"/>
    <n v="3974527"/>
    <s v="BCP"/>
    <m/>
    <m/>
    <d v="1899-12-30T19:42:38"/>
    <s v="XIAOMI SCHELL"/>
  </r>
  <r>
    <n v="1023366"/>
    <s v="VA"/>
    <s v="A"/>
    <d v="2026-04-02T00:00:00"/>
    <d v="2026-04-02T00:00:00"/>
    <m/>
    <n v="349"/>
    <s v="PS0005"/>
    <n v="6645"/>
    <n v="82652"/>
    <n v="2"/>
    <s v="407876******3206"/>
    <s v="Nac"/>
    <s v="COM"/>
    <x v="1"/>
    <n v="1964"/>
    <x v="0"/>
    <n v="56.76"/>
    <n v="11.59"/>
    <n v="2.09"/>
    <n v="1905.15"/>
    <n v="0"/>
    <m/>
    <n v="20260406"/>
    <m/>
    <s v="CREDITO"/>
    <n v="3974527"/>
    <s v="BFALABELLA"/>
    <s v="NO"/>
    <m/>
    <d v="1899-12-30T19:56:59"/>
    <s v="XIAOMI SCHELL"/>
  </r>
  <r>
    <n v="1023366"/>
    <s v="VA"/>
    <s v="A"/>
    <d v="2026-04-02T00:00:00"/>
    <d v="2026-04-02T00:00:00"/>
    <m/>
    <n v="349"/>
    <s v="PS0005"/>
    <n v="6648"/>
    <n v="8236"/>
    <m/>
    <s v="438829******6221"/>
    <s v="Nac"/>
    <s v="COM"/>
    <x v="1"/>
    <n v="55"/>
    <x v="0"/>
    <n v="1.59"/>
    <n v="0.43"/>
    <n v="0.08"/>
    <n v="53.33"/>
    <n v="0"/>
    <m/>
    <n v="20260406"/>
    <m/>
    <s v="CREDITO"/>
    <n v="3974527"/>
    <s v="VISA LOC"/>
    <m/>
    <m/>
    <d v="1899-12-30T20:04:58"/>
    <s v="XIAOMI SCHELL"/>
  </r>
  <r>
    <n v="1023366"/>
    <s v="VA"/>
    <s v="A"/>
    <d v="2026-04-02T00:00:00"/>
    <d v="2026-04-02T00:00:00"/>
    <m/>
    <n v="349"/>
    <s v="PS0005"/>
    <n v="6650"/>
    <n v="70645"/>
    <m/>
    <s v="422224******0606"/>
    <s v="Nac"/>
    <s v="COM"/>
    <x v="1"/>
    <n v="149"/>
    <x v="0"/>
    <n v="4.3099999999999996"/>
    <n v="0.88"/>
    <n v="0.16"/>
    <n v="144.53"/>
    <n v="0"/>
    <m/>
    <n v="20260406"/>
    <m/>
    <s v="CREDITO"/>
    <n v="3974527"/>
    <s v="IBK PRIVADA"/>
    <m/>
    <m/>
    <d v="1899-12-30T20:06:58"/>
    <s v="XIAOMI SCHELL"/>
  </r>
  <r>
    <n v="1023366"/>
    <s v="VA"/>
    <s v="A"/>
    <d v="2026-04-02T00:00:00"/>
    <d v="2026-04-02T00:00:00"/>
    <m/>
    <n v="349"/>
    <s v="PS0005"/>
    <n v="6655"/>
    <n v="721"/>
    <m/>
    <s v="445330******0512"/>
    <s v="Nac"/>
    <s v="COM"/>
    <x v="1"/>
    <n v="1388"/>
    <x v="0"/>
    <n v="40.11"/>
    <n v="8.19"/>
    <n v="1.47"/>
    <n v="1346.42"/>
    <n v="0"/>
    <m/>
    <n v="20260406"/>
    <m/>
    <s v="CREDITO"/>
    <n v="3974527"/>
    <s v="BCP"/>
    <m/>
    <m/>
    <d v="1899-12-30T20:09:05"/>
    <s v="XIAOMI SCHELL"/>
  </r>
  <r>
    <n v="1023366"/>
    <s v="VA"/>
    <s v="A"/>
    <d v="2026-04-02T00:00:00"/>
    <d v="2026-04-02T00:00:00"/>
    <m/>
    <n v="349"/>
    <n v="65656565"/>
    <n v="6659"/>
    <n v="508553"/>
    <m/>
    <s v="455788******9294"/>
    <s v="Nac"/>
    <s v="COM"/>
    <x v="1"/>
    <n v="269"/>
    <x v="0"/>
    <n v="7.77"/>
    <n v="3.47"/>
    <n v="0.62"/>
    <n v="260.61"/>
    <n v="0"/>
    <m/>
    <n v="20260406"/>
    <m/>
    <s v="DEBITO"/>
    <n v="3974527"/>
    <s v="BCP"/>
    <m/>
    <s v="Yape"/>
    <d v="1899-12-30T20:13:29"/>
    <s v="XIAOMI SCHELL"/>
  </r>
  <r>
    <n v="1023366"/>
    <s v="VA"/>
    <s v="A"/>
    <d v="2026-04-02T00:00:00"/>
    <d v="2026-04-02T00:00:00"/>
    <m/>
    <n v="349"/>
    <s v="PS0005"/>
    <n v="6664"/>
    <n v="4319"/>
    <m/>
    <s v="428076******0925"/>
    <s v="Nac"/>
    <s v="COM"/>
    <x v="1"/>
    <n v="1778.9"/>
    <x v="0"/>
    <n v="51.41"/>
    <n v="6.94"/>
    <n v="1.25"/>
    <n v="1726.24"/>
    <n v="0"/>
    <m/>
    <n v="20260406"/>
    <m/>
    <s v="CREDITO"/>
    <n v="3974527"/>
    <s v="BCP"/>
    <m/>
    <m/>
    <d v="1899-12-30T20:47:53"/>
    <s v="XIAOMI SCHELL"/>
  </r>
  <r>
    <n v="1023366"/>
    <s v="VA"/>
    <s v="A"/>
    <d v="2026-04-02T00:00:00"/>
    <d v="2026-04-02T00:00:00"/>
    <m/>
    <n v="349"/>
    <n v="65656565"/>
    <n v="6666"/>
    <n v="595986"/>
    <m/>
    <s v="455788******4518"/>
    <s v="Nac"/>
    <s v="COM"/>
    <x v="1"/>
    <n v="150"/>
    <x v="0"/>
    <n v="4.33"/>
    <n v="1.93"/>
    <n v="0.35"/>
    <n v="145.32"/>
    <n v="0"/>
    <m/>
    <n v="20260406"/>
    <m/>
    <s v="DEBITO"/>
    <n v="3974527"/>
    <s v="BCP"/>
    <m/>
    <s v="Yape"/>
    <d v="1899-12-30T20:52:53"/>
    <s v="XIAOMI SCHELL"/>
  </r>
  <r>
    <n v="1023366"/>
    <s v="VA"/>
    <s v="A"/>
    <d v="2026-04-02T00:00:00"/>
    <d v="2026-04-02T00:00:00"/>
    <m/>
    <n v="349"/>
    <s v="PS0005"/>
    <n v="6669"/>
    <n v="101166"/>
    <n v="4"/>
    <s v="447409******0191"/>
    <s v="Nac"/>
    <s v="COM"/>
    <x v="1"/>
    <n v="199"/>
    <x v="0"/>
    <n v="5.75"/>
    <n v="1.57"/>
    <n v="0.28000000000000003"/>
    <n v="192.97"/>
    <n v="0"/>
    <m/>
    <n v="20260406"/>
    <m/>
    <s v="CREDITO"/>
    <n v="3974527"/>
    <s v="BFALABELLA"/>
    <s v="NO"/>
    <m/>
    <d v="1899-12-30T20:55:36"/>
    <s v="XIAOMI SCHELL"/>
  </r>
  <r>
    <n v="1023366"/>
    <s v="VA"/>
    <s v="A"/>
    <d v="2026-04-02T00:00:00"/>
    <d v="2026-04-02T00:00:00"/>
    <m/>
    <n v="349"/>
    <s v="PS0005"/>
    <n v="6671"/>
    <n v="660668"/>
    <m/>
    <s v="455788******7780"/>
    <s v="Nac"/>
    <s v="COM"/>
    <x v="1"/>
    <n v="49"/>
    <x v="0"/>
    <n v="1.42"/>
    <n v="0.64"/>
    <n v="0.12"/>
    <n v="47.46"/>
    <n v="28523.09"/>
    <d v="2026-04-06T00:00:00"/>
    <n v="20260406"/>
    <m/>
    <s v="DEBITO"/>
    <n v="3974527"/>
    <s v="BCP"/>
    <m/>
    <m/>
    <d v="1899-12-30T21:03:25"/>
    <s v="XIAOMI SCHELL"/>
  </r>
  <r>
    <n v="1023366"/>
    <s v="VK"/>
    <s v="A"/>
    <d v="2026-04-02T00:00:00"/>
    <d v="2026-04-02T00:00:00"/>
    <m/>
    <n v="349"/>
    <s v="PS0005"/>
    <n v="6662"/>
    <n v="7886"/>
    <m/>
    <s v="404071******0277"/>
    <s v="Nac"/>
    <s v="COM"/>
    <x v="1"/>
    <n v="89.9"/>
    <x v="0"/>
    <n v="2.6"/>
    <n v="0.71"/>
    <n v="0.13"/>
    <n v="87.17"/>
    <n v="87.17"/>
    <d v="2026-04-06T00:00:00"/>
    <n v="20260406"/>
    <m/>
    <s v="CREDITO"/>
    <n v="3974527"/>
    <s v="SIP MC"/>
    <m/>
    <m/>
    <d v="1899-12-30T20:23:43"/>
    <s v="XIAOMI SCHELL"/>
  </r>
  <r>
    <n v="1023366"/>
    <s v="MC"/>
    <s v="A"/>
    <d v="2026-04-03T00:00:00"/>
    <d v="2026-04-03T00:00:00"/>
    <m/>
    <n v="350"/>
    <n v="65656565"/>
    <n v="6699"/>
    <n v="207349"/>
    <m/>
    <s v="511842******4466"/>
    <s v="Nac"/>
    <s v="COM"/>
    <x v="2"/>
    <n v="149"/>
    <x v="0"/>
    <n v="4.3"/>
    <n v="1.54"/>
    <n v="0.28000000000000003"/>
    <n v="144.41999999999999"/>
    <n v="144.41999999999999"/>
    <d v="2026-04-06T00:00:00"/>
    <n v="20260406"/>
    <m/>
    <s v="DEBITO"/>
    <n v="3974527"/>
    <s v="SCOTIA DEBIT"/>
    <m/>
    <s v="SBK Plin"/>
    <d v="1899-12-30T12:20:13"/>
    <s v="XIAOMI SCHELL"/>
  </r>
  <r>
    <n v="1023366"/>
    <s v="VA"/>
    <s v="A"/>
    <d v="2026-04-03T00:00:00"/>
    <d v="2026-04-03T00:00:00"/>
    <m/>
    <n v="350"/>
    <s v="PS0005"/>
    <n v="6687"/>
    <n v="906712"/>
    <m/>
    <s v="421355******4624"/>
    <s v="Nac"/>
    <s v="COM"/>
    <x v="2"/>
    <n v="1799"/>
    <x v="0"/>
    <n v="51.99"/>
    <n v="23.21"/>
    <n v="4.18"/>
    <n v="1742.83"/>
    <n v="0"/>
    <m/>
    <n v="20260406"/>
    <m/>
    <s v="DEBITO"/>
    <n v="3974527"/>
    <s v="IBK PRIVADA"/>
    <m/>
    <m/>
    <d v="1899-12-30T10:21:06"/>
    <s v="XIAOMI SCHELL"/>
  </r>
  <r>
    <n v="1023366"/>
    <s v="VA"/>
    <s v="A"/>
    <d v="2026-04-03T00:00:00"/>
    <d v="2026-04-03T00:00:00"/>
    <m/>
    <n v="350"/>
    <s v="PS0005"/>
    <n v="6689"/>
    <n v="9987"/>
    <m/>
    <s v="463402******0758"/>
    <s v="Nac"/>
    <s v="COM"/>
    <x v="2"/>
    <n v="105"/>
    <x v="0"/>
    <n v="3.03"/>
    <n v="0.82"/>
    <n v="0.15"/>
    <n v="101.82"/>
    <n v="0"/>
    <m/>
    <n v="20260406"/>
    <m/>
    <s v="CREDITO"/>
    <n v="3974527"/>
    <s v="BCP"/>
    <m/>
    <m/>
    <d v="1899-12-30T10:45:53"/>
    <s v="XIAOMI SCHELL"/>
  </r>
  <r>
    <n v="1023366"/>
    <s v="VA"/>
    <s v="A"/>
    <d v="2026-04-03T00:00:00"/>
    <d v="2026-04-03T00:00:00"/>
    <m/>
    <n v="350"/>
    <s v="PS0005"/>
    <n v="6691"/>
    <n v="761442"/>
    <m/>
    <s v="421355******4624"/>
    <s v="Nac"/>
    <s v="COM"/>
    <x v="2"/>
    <n v="279"/>
    <x v="0"/>
    <n v="8.06"/>
    <n v="3.6"/>
    <n v="0.65"/>
    <n v="270.29000000000002"/>
    <n v="0"/>
    <m/>
    <n v="20260406"/>
    <m/>
    <s v="DEBITO"/>
    <n v="3974527"/>
    <s v="IBK PRIVADA"/>
    <m/>
    <m/>
    <d v="1899-12-30T10:49:53"/>
    <s v="XIAOMI SCHELL"/>
  </r>
  <r>
    <n v="1023366"/>
    <s v="VA"/>
    <s v="A"/>
    <d v="2026-04-03T00:00:00"/>
    <d v="2026-04-03T00:00:00"/>
    <m/>
    <n v="350"/>
    <s v="PS0005"/>
    <n v="6693"/>
    <n v="317608"/>
    <m/>
    <s v="455788******2573"/>
    <s v="Nac"/>
    <s v="COM"/>
    <x v="2"/>
    <n v="17.899999999999999"/>
    <x v="0"/>
    <n v="0.52"/>
    <n v="0.23"/>
    <n v="0.04"/>
    <n v="17.34"/>
    <n v="0"/>
    <m/>
    <n v="20260406"/>
    <m/>
    <s v="DEBITO"/>
    <n v="3974527"/>
    <s v="BCP"/>
    <m/>
    <m/>
    <d v="1899-12-30T12:05:34"/>
    <s v="XIAOMI SCHELL"/>
  </r>
  <r>
    <n v="1023366"/>
    <s v="VA"/>
    <s v="A"/>
    <d v="2026-04-03T00:00:00"/>
    <d v="2026-04-03T00:00:00"/>
    <m/>
    <n v="350"/>
    <s v="PS0005"/>
    <n v="6702"/>
    <n v="379"/>
    <m/>
    <s v="445330******0881"/>
    <s v="Nac"/>
    <s v="COM"/>
    <x v="2"/>
    <n v="69"/>
    <x v="0"/>
    <n v="1.99"/>
    <n v="0.54"/>
    <n v="0.1"/>
    <n v="66.91"/>
    <n v="0"/>
    <m/>
    <n v="20260406"/>
    <m/>
    <s v="CREDITO"/>
    <n v="3974527"/>
    <s v="BCP"/>
    <m/>
    <m/>
    <d v="1899-12-30T13:24:16"/>
    <s v="XIAOMI SCHELL"/>
  </r>
  <r>
    <n v="1023366"/>
    <s v="VA"/>
    <s v="A"/>
    <d v="2026-04-03T00:00:00"/>
    <d v="2026-04-03T00:00:00"/>
    <m/>
    <n v="350"/>
    <s v="PS0005"/>
    <n v="6704"/>
    <n v="240379"/>
    <n v="2"/>
    <s v="407876******5051"/>
    <s v="Nac"/>
    <s v="COM"/>
    <x v="2"/>
    <n v="438"/>
    <x v="0"/>
    <n v="12.66"/>
    <n v="2.59"/>
    <n v="0.47"/>
    <n v="424.87"/>
    <n v="0"/>
    <m/>
    <n v="20260406"/>
    <m/>
    <s v="CREDITO"/>
    <n v="3974527"/>
    <s v="BFALABELLA"/>
    <s v="NO"/>
    <m/>
    <d v="1899-12-30T14:01:20"/>
    <s v="XIAOMI SCHELL"/>
  </r>
  <r>
    <n v="1023366"/>
    <s v="VA"/>
    <s v="A"/>
    <d v="2026-04-03T00:00:00"/>
    <d v="2026-04-03T00:00:00"/>
    <m/>
    <n v="350"/>
    <s v="PS0005"/>
    <n v="6708"/>
    <n v="520843"/>
    <m/>
    <s v="455788******6122"/>
    <s v="Nac"/>
    <s v="COM"/>
    <x v="2"/>
    <n v="2048"/>
    <x v="0"/>
    <n v="59.19"/>
    <n v="26.42"/>
    <n v="4.76"/>
    <n v="1984.05"/>
    <n v="0"/>
    <m/>
    <n v="20260406"/>
    <m/>
    <s v="DEBITO"/>
    <n v="3974527"/>
    <s v="BCP"/>
    <m/>
    <m/>
    <d v="1899-12-30T15:10:57"/>
    <s v="XIAOMI SCHELL"/>
  </r>
  <r>
    <n v="1023366"/>
    <s v="VA"/>
    <s v="A"/>
    <d v="2026-04-03T00:00:00"/>
    <d v="2026-04-03T00:00:00"/>
    <m/>
    <n v="350"/>
    <s v="PS0005"/>
    <n v="6710"/>
    <n v="536112"/>
    <m/>
    <s v="483203******8398"/>
    <s v="Nac"/>
    <s v="COM"/>
    <x v="2"/>
    <n v="199"/>
    <x v="0"/>
    <n v="5.75"/>
    <n v="2.57"/>
    <n v="0.46"/>
    <n v="192.79"/>
    <n v="0"/>
    <m/>
    <n v="20260406"/>
    <m/>
    <s v="DEBITO"/>
    <n v="3974527"/>
    <s v="BCP"/>
    <m/>
    <m/>
    <d v="1899-12-30T15:38:20"/>
    <s v="XIAOMI SCHELL"/>
  </r>
  <r>
    <n v="1023366"/>
    <s v="VA"/>
    <s v="A"/>
    <d v="2026-04-03T00:00:00"/>
    <d v="2026-04-03T00:00:00"/>
    <m/>
    <n v="350"/>
    <s v="PS0005"/>
    <n v="6712"/>
    <n v="638131"/>
    <m/>
    <s v="455788******8398"/>
    <s v="Nac"/>
    <s v="COM"/>
    <x v="2"/>
    <n v="328"/>
    <x v="0"/>
    <n v="9.48"/>
    <n v="4.2300000000000004"/>
    <n v="0.76"/>
    <n v="317.76"/>
    <n v="0"/>
    <m/>
    <n v="20260406"/>
    <m/>
    <s v="DEBITO"/>
    <n v="3974527"/>
    <s v="BCP"/>
    <m/>
    <m/>
    <d v="1899-12-30T15:45:23"/>
    <s v="XIAOMI SCHELL"/>
  </r>
  <r>
    <n v="1023366"/>
    <s v="VA"/>
    <s v="A"/>
    <d v="2026-04-03T00:00:00"/>
    <d v="2026-04-03T00:00:00"/>
    <m/>
    <n v="350"/>
    <s v="PS0005"/>
    <n v="6715"/>
    <n v="556370"/>
    <m/>
    <s v="439436******0464"/>
    <s v="Nac"/>
    <s v="COM"/>
    <x v="2"/>
    <n v="204"/>
    <x v="0"/>
    <n v="5.9"/>
    <n v="1.62"/>
    <n v="0.28999999999999998"/>
    <n v="197.81"/>
    <n v="0"/>
    <m/>
    <n v="20260406"/>
    <m/>
    <s v="DEBITO"/>
    <n v="3974527"/>
    <s v="VISA LOC"/>
    <m/>
    <m/>
    <d v="1899-12-30T16:08:11"/>
    <s v="XIAOMI SCHELL"/>
  </r>
  <r>
    <n v="1023366"/>
    <s v="VA"/>
    <s v="A"/>
    <d v="2026-04-03T00:00:00"/>
    <d v="2026-04-03T00:00:00"/>
    <m/>
    <n v="350"/>
    <n v="65656565"/>
    <n v="6717"/>
    <n v="632701"/>
    <m/>
    <s v="455788******7697"/>
    <s v="Nac"/>
    <s v="COM"/>
    <x v="2"/>
    <n v="109"/>
    <x v="0"/>
    <n v="3.15"/>
    <n v="1.41"/>
    <n v="0.25"/>
    <n v="105.6"/>
    <n v="0"/>
    <m/>
    <n v="20260406"/>
    <m/>
    <s v="DEBITO"/>
    <n v="3974527"/>
    <s v="BCP"/>
    <m/>
    <s v="Yape"/>
    <d v="1899-12-30T16:27:37"/>
    <s v="XIAOMI SCHELL"/>
  </r>
  <r>
    <n v="1023366"/>
    <s v="VA"/>
    <s v="A"/>
    <d v="2026-04-03T00:00:00"/>
    <d v="2026-04-03T00:00:00"/>
    <m/>
    <n v="350"/>
    <s v="PS0005"/>
    <n v="6720"/>
    <n v="175172"/>
    <m/>
    <s v="421355******5865"/>
    <s v="Nac"/>
    <s v="COM"/>
    <x v="2"/>
    <n v="269"/>
    <x v="0"/>
    <n v="7.77"/>
    <n v="3.47"/>
    <n v="0.62"/>
    <n v="260.61"/>
    <n v="0"/>
    <m/>
    <n v="20260406"/>
    <m/>
    <s v="DEBITO"/>
    <n v="3974527"/>
    <s v="IBK PRIVADA"/>
    <m/>
    <m/>
    <d v="1899-12-30T16:41:40"/>
    <s v="XIAOMI SCHELL"/>
  </r>
  <r>
    <n v="1023366"/>
    <s v="VA"/>
    <s v="A"/>
    <d v="2026-04-03T00:00:00"/>
    <d v="2026-04-03T00:00:00"/>
    <m/>
    <n v="350"/>
    <s v="PS0005"/>
    <n v="6724"/>
    <n v="1873"/>
    <m/>
    <s v="434925******5531"/>
    <s v="Nac"/>
    <s v="COM"/>
    <x v="2"/>
    <n v="149"/>
    <x v="0"/>
    <n v="4.3099999999999996"/>
    <n v="1.18"/>
    <n v="0.21"/>
    <n v="144.47999999999999"/>
    <n v="0"/>
    <m/>
    <n v="20260406"/>
    <m/>
    <s v="CREDITO"/>
    <n v="3974527"/>
    <s v="BCP"/>
    <m/>
    <m/>
    <d v="1899-12-30T17:41:12"/>
    <s v="XIAOMI SCHELL"/>
  </r>
  <r>
    <n v="1023366"/>
    <s v="VA"/>
    <s v="A"/>
    <d v="2026-04-03T00:00:00"/>
    <d v="2026-04-03T00:00:00"/>
    <m/>
    <n v="350"/>
    <s v="PS0005"/>
    <n v="6727"/>
    <n v="6394"/>
    <m/>
    <s v="463401******6685"/>
    <s v="Nac"/>
    <s v="COM"/>
    <x v="2"/>
    <n v="349"/>
    <x v="0"/>
    <n v="10.09"/>
    <n v="2.76"/>
    <n v="0.5"/>
    <n v="338.41"/>
    <n v="0"/>
    <m/>
    <n v="20260406"/>
    <m/>
    <s v="CREDITO"/>
    <n v="3974527"/>
    <s v="BCP"/>
    <m/>
    <m/>
    <d v="1899-12-30T17:50:18"/>
    <s v="XIAOMI SCHELL"/>
  </r>
  <r>
    <n v="1023366"/>
    <s v="VA"/>
    <s v="A"/>
    <d v="2026-04-03T00:00:00"/>
    <d v="2026-04-03T00:00:00"/>
    <m/>
    <n v="350"/>
    <s v="PS0005"/>
    <n v="6731"/>
    <n v="752455"/>
    <m/>
    <s v="455788******6286"/>
    <s v="Nac"/>
    <s v="COM"/>
    <x v="2"/>
    <n v="189"/>
    <x v="0"/>
    <n v="5.46"/>
    <n v="2.44"/>
    <n v="0.44"/>
    <n v="183.1"/>
    <n v="0"/>
    <m/>
    <n v="20260406"/>
    <m/>
    <s v="DEBITO"/>
    <n v="3974527"/>
    <s v="BCP"/>
    <m/>
    <m/>
    <d v="1899-12-30T18:03:51"/>
    <s v="XIAOMI SCHELL"/>
  </r>
  <r>
    <n v="1023366"/>
    <s v="VA"/>
    <s v="A"/>
    <d v="2026-04-03T00:00:00"/>
    <d v="2026-04-03T00:00:00"/>
    <m/>
    <n v="350"/>
    <s v="PS0005"/>
    <n v="6733"/>
    <n v="844242"/>
    <m/>
    <s v="455788******7384"/>
    <s v="Nac"/>
    <s v="COM"/>
    <x v="2"/>
    <n v="418"/>
    <x v="0"/>
    <n v="12.08"/>
    <n v="5.39"/>
    <n v="0.97"/>
    <n v="404.95"/>
    <n v="0"/>
    <m/>
    <n v="20260406"/>
    <m/>
    <s v="DEBITO"/>
    <n v="3974527"/>
    <s v="BCP"/>
    <m/>
    <m/>
    <d v="1899-12-30T18:13:49"/>
    <s v="XIAOMI SCHELL"/>
  </r>
  <r>
    <n v="1023366"/>
    <s v="VA"/>
    <s v="A"/>
    <d v="2026-04-03T00:00:00"/>
    <d v="2026-04-03T00:00:00"/>
    <m/>
    <n v="350"/>
    <s v="PS0005"/>
    <n v="6737"/>
    <n v="7943"/>
    <m/>
    <s v="428082******2936"/>
    <s v="Nac"/>
    <s v="COM"/>
    <x v="2"/>
    <n v="118"/>
    <x v="0"/>
    <n v="3.41"/>
    <n v="0.7"/>
    <n v="0.13"/>
    <n v="114.46"/>
    <n v="0"/>
    <m/>
    <n v="20260406"/>
    <m/>
    <s v="CREDITO"/>
    <n v="3974527"/>
    <s v="BCP"/>
    <m/>
    <m/>
    <d v="1899-12-30T19:28:32"/>
    <s v="XIAOMI SCHELL"/>
  </r>
  <r>
    <n v="1023366"/>
    <s v="VA"/>
    <s v="A"/>
    <d v="2026-04-03T00:00:00"/>
    <d v="2026-04-03T00:00:00"/>
    <m/>
    <n v="350"/>
    <s v="PS0005"/>
    <n v="6740"/>
    <s v="PIW6DJ"/>
    <m/>
    <s v="472955******4842"/>
    <s v="Nac"/>
    <s v="COM"/>
    <x v="2"/>
    <n v="105"/>
    <x v="0"/>
    <n v="3.03"/>
    <n v="0.82"/>
    <n v="0.15"/>
    <n v="101.82"/>
    <n v="0"/>
    <m/>
    <n v="20260406"/>
    <m/>
    <s v="CREDITO"/>
    <n v="3974527"/>
    <s v="VISA LOC"/>
    <m/>
    <m/>
    <d v="1899-12-30T19:44:11"/>
    <s v="XIAOMI SCHELL"/>
  </r>
  <r>
    <n v="1023366"/>
    <s v="VA"/>
    <s v="A"/>
    <d v="2026-04-03T00:00:00"/>
    <d v="2026-04-03T00:00:00"/>
    <m/>
    <n v="350"/>
    <s v="PS0005"/>
    <n v="6742"/>
    <n v="982845"/>
    <m/>
    <s v="444355******0162"/>
    <s v="Nac"/>
    <s v="COM"/>
    <x v="2"/>
    <n v="159"/>
    <x v="0"/>
    <n v="4.5999999999999996"/>
    <n v="0.94"/>
    <n v="0.17"/>
    <n v="154.22999999999999"/>
    <n v="0"/>
    <m/>
    <n v="20260406"/>
    <m/>
    <s v="CREDITO"/>
    <n v="3974527"/>
    <s v="BBVA"/>
    <m/>
    <m/>
    <d v="1899-12-30T20:07:44"/>
    <s v="XIAOMI SCHELL"/>
  </r>
  <r>
    <n v="1023366"/>
    <s v="VA"/>
    <s v="A"/>
    <d v="2026-04-03T00:00:00"/>
    <d v="2026-04-03T00:00:00"/>
    <m/>
    <n v="350"/>
    <s v="PS0005"/>
    <n v="6744"/>
    <n v="5173"/>
    <m/>
    <s v="414791******2061"/>
    <s v="Nac"/>
    <s v="COM"/>
    <x v="2"/>
    <n v="738"/>
    <x v="0"/>
    <n v="21.33"/>
    <n v="4.3600000000000003"/>
    <n v="0.78"/>
    <n v="715.89"/>
    <n v="0"/>
    <m/>
    <n v="20260406"/>
    <m/>
    <s v="CREDITO"/>
    <n v="3974527"/>
    <s v="BBVA"/>
    <m/>
    <m/>
    <d v="1899-12-30T20:15:37"/>
    <s v="XIAOMI SCHELL"/>
  </r>
  <r>
    <n v="1023366"/>
    <s v="VA"/>
    <s v="A"/>
    <d v="2026-04-03T00:00:00"/>
    <d v="2026-04-03T00:00:00"/>
    <m/>
    <n v="350"/>
    <s v="PS0005"/>
    <n v="6746"/>
    <n v="172131"/>
    <m/>
    <s v="421355******6237"/>
    <s v="Nac"/>
    <s v="COM"/>
    <x v="2"/>
    <n v="1799"/>
    <x v="0"/>
    <n v="51.99"/>
    <n v="23.21"/>
    <n v="4.18"/>
    <n v="1742.83"/>
    <n v="9582.85"/>
    <d v="2026-04-06T00:00:00"/>
    <n v="20260406"/>
    <m/>
    <s v="DEBITO"/>
    <n v="3974527"/>
    <s v="IBK PRIVADA"/>
    <m/>
    <m/>
    <d v="1899-12-30T20:52:27"/>
    <s v="XIAOMI SCHELL"/>
  </r>
  <r>
    <n v="1023366"/>
    <s v="MC"/>
    <s v="A"/>
    <d v="2026-04-04T00:00:00"/>
    <d v="2026-04-04T00:00:00"/>
    <m/>
    <n v="351"/>
    <n v="65656565"/>
    <n v="6773"/>
    <n v="348443"/>
    <m/>
    <s v="511842******5939"/>
    <s v="Nac"/>
    <s v="COM"/>
    <x v="3"/>
    <n v="500"/>
    <x v="0"/>
    <n v="14.45"/>
    <n v="5.2"/>
    <n v="0.94"/>
    <n v="484.61"/>
    <n v="0"/>
    <m/>
    <n v="20260406"/>
    <m/>
    <s v="DEBITO"/>
    <n v="3974527"/>
    <s v="SCOTIA DEBIT"/>
    <m/>
    <s v="SBK Plin"/>
    <d v="1899-12-30T11:51:29"/>
    <s v="XIAOMI SCHELL"/>
  </r>
  <r>
    <n v="1023366"/>
    <s v="MC"/>
    <s v="A"/>
    <d v="2026-04-04T00:00:00"/>
    <d v="2026-04-04T00:00:00"/>
    <m/>
    <n v="351"/>
    <n v="65656565"/>
    <n v="6776"/>
    <n v="348573"/>
    <m/>
    <s v="511842******5939"/>
    <s v="Nac"/>
    <s v="COM"/>
    <x v="3"/>
    <n v="88"/>
    <x v="0"/>
    <n v="2.54"/>
    <n v="0.91"/>
    <n v="0.16"/>
    <n v="85.3"/>
    <n v="0"/>
    <m/>
    <n v="20260406"/>
    <m/>
    <s v="DEBITO"/>
    <n v="3974527"/>
    <s v="SCOTIA DEBIT"/>
    <m/>
    <s v="SBK Plin"/>
    <d v="1899-12-30T11:52:12"/>
    <s v="XIAOMI SCHELL"/>
  </r>
  <r>
    <n v="1023366"/>
    <s v="MC"/>
    <s v="A"/>
    <d v="2026-04-04T00:00:00"/>
    <d v="2026-04-04T00:00:00"/>
    <m/>
    <n v="351"/>
    <s v="PS0005"/>
    <n v="6820"/>
    <n v="358891"/>
    <n v="3"/>
    <s v="512409******4508"/>
    <s v="Nac"/>
    <s v="COM"/>
    <x v="3"/>
    <n v="1400"/>
    <x v="0"/>
    <n v="64.959999999999994"/>
    <n v="11.06"/>
    <n v="1.99"/>
    <n v="1333.05"/>
    <n v="0"/>
    <m/>
    <n v="20260406"/>
    <m/>
    <s v="CREDITO"/>
    <n v="3974527"/>
    <s v="BBVA"/>
    <s v="SI"/>
    <m/>
    <d v="1899-12-30T15:54:11"/>
    <s v="XIAOMI SCHELL"/>
  </r>
  <r>
    <n v="1023366"/>
    <s v="MC"/>
    <s v="A"/>
    <d v="2026-04-04T00:00:00"/>
    <d v="2026-04-04T00:00:00"/>
    <m/>
    <n v="351"/>
    <s v="PS0005"/>
    <n v="6826"/>
    <n v="510691"/>
    <n v="3"/>
    <s v="512409******9448"/>
    <s v="Nac"/>
    <s v="COM"/>
    <x v="3"/>
    <n v="2199"/>
    <x v="0"/>
    <n v="102.03"/>
    <n v="17.37"/>
    <n v="3.13"/>
    <n v="2093.84"/>
    <n v="0"/>
    <m/>
    <n v="20260406"/>
    <m/>
    <s v="CREDITO"/>
    <n v="3974527"/>
    <s v="BBVA"/>
    <s v="SI"/>
    <m/>
    <d v="1899-12-30T16:38:16"/>
    <s v="XIAOMI SCHELL"/>
  </r>
  <r>
    <n v="1023366"/>
    <s v="MC"/>
    <s v="A"/>
    <d v="2026-04-04T00:00:00"/>
    <d v="2026-04-04T00:00:00"/>
    <m/>
    <n v="351"/>
    <s v="PS0005"/>
    <n v="6835"/>
    <n v="406062"/>
    <m/>
    <s v="511842******5984"/>
    <s v="Nac"/>
    <s v="COM"/>
    <x v="3"/>
    <n v="89"/>
    <x v="0"/>
    <n v="2.57"/>
    <n v="1.01"/>
    <n v="0.18"/>
    <n v="86.25"/>
    <n v="0"/>
    <m/>
    <n v="20260406"/>
    <m/>
    <s v="DEBITO"/>
    <n v="3974527"/>
    <s v="SCOTIA DEBIT"/>
    <m/>
    <m/>
    <d v="1899-12-30T16:48:49"/>
    <s v="XIAOMI SCHELL"/>
  </r>
  <r>
    <n v="1023366"/>
    <s v="MC"/>
    <s v="A"/>
    <d v="2026-04-04T00:00:00"/>
    <d v="2026-04-04T00:00:00"/>
    <m/>
    <n v="351"/>
    <s v="PS0005"/>
    <n v="6866"/>
    <n v="135495"/>
    <n v="3"/>
    <s v="512409******2148"/>
    <s v="Nac"/>
    <s v="COM"/>
    <x v="3"/>
    <n v="699"/>
    <x v="0"/>
    <n v="32.43"/>
    <n v="5.52"/>
    <n v="0.99"/>
    <n v="665.58"/>
    <n v="0"/>
    <m/>
    <n v="20260406"/>
    <m/>
    <s v="CREDITO"/>
    <n v="3974527"/>
    <s v="BBVA"/>
    <s v="SI"/>
    <m/>
    <d v="1899-12-30T19:26:10"/>
    <s v="XIAOMI SCHELL"/>
  </r>
  <r>
    <n v="1023366"/>
    <s v="MC"/>
    <s v="A"/>
    <d v="2026-04-04T00:00:00"/>
    <d v="2026-04-04T00:00:00"/>
    <m/>
    <n v="351"/>
    <s v="PS0005"/>
    <n v="6871"/>
    <s v="455JVF"/>
    <m/>
    <s v="545387******6639"/>
    <s v="Ext"/>
    <s v="COM"/>
    <x v="3"/>
    <n v="105"/>
    <x v="0"/>
    <n v="4.0999999999999996"/>
    <n v="2"/>
    <n v="0.36"/>
    <n v="100.54"/>
    <n v="4849.17"/>
    <d v="2026-04-06T00:00:00"/>
    <n v="20260406"/>
    <m/>
    <s v="CREDITO"/>
    <n v="3974527"/>
    <s v="MCI C. INTER"/>
    <m/>
    <m/>
    <d v="1899-12-30T19:46:40"/>
    <s v="XIAOMI SCHELL"/>
  </r>
  <r>
    <n v="1023366"/>
    <s v="VA"/>
    <s v="A"/>
    <d v="2026-04-04T00:00:00"/>
    <d v="2026-04-04T00:00:00"/>
    <m/>
    <n v="351"/>
    <s v="PS0005"/>
    <n v="6762"/>
    <n v="107521"/>
    <m/>
    <s v="455103******6649"/>
    <s v="Nac"/>
    <s v="COM"/>
    <x v="3"/>
    <n v="169"/>
    <x v="0"/>
    <n v="4.88"/>
    <n v="2.1800000000000002"/>
    <n v="0.39"/>
    <n v="163.72999999999999"/>
    <n v="0"/>
    <m/>
    <n v="20260406"/>
    <m/>
    <s v="DEBITO"/>
    <n v="3974527"/>
    <s v="BBVA"/>
    <m/>
    <m/>
    <d v="1899-12-30T10:35:06"/>
    <s v="XIAOMI SCHELL"/>
  </r>
  <r>
    <n v="1023366"/>
    <s v="VA"/>
    <s v="A"/>
    <d v="2026-04-04T00:00:00"/>
    <d v="2026-04-04T00:00:00"/>
    <m/>
    <n v="351"/>
    <s v="PS0005"/>
    <n v="6765"/>
    <n v="3966"/>
    <m/>
    <s v="462982******8122"/>
    <s v="Ext"/>
    <s v="COM"/>
    <x v="3"/>
    <n v="70.8"/>
    <x v="0"/>
    <n v="2.76"/>
    <n v="1.35"/>
    <n v="0.24"/>
    <n v="67.8"/>
    <n v="0"/>
    <m/>
    <n v="20260406"/>
    <m/>
    <s v="CREDITO"/>
    <n v="3974527"/>
    <s v="VISA INT"/>
    <m/>
    <m/>
    <d v="1899-12-30T11:32:30"/>
    <s v="XIAOMI SCHELL"/>
  </r>
  <r>
    <n v="1023366"/>
    <s v="VA"/>
    <s v="A"/>
    <d v="2026-04-04T00:00:00"/>
    <d v="2026-04-04T00:00:00"/>
    <m/>
    <n v="351"/>
    <s v="PS0005"/>
    <n v="6767"/>
    <n v="757333"/>
    <m/>
    <s v="455788******4399"/>
    <s v="Nac"/>
    <s v="COM"/>
    <x v="3"/>
    <n v="599"/>
    <x v="0"/>
    <n v="17.309999999999999"/>
    <n v="7.73"/>
    <n v="1.39"/>
    <n v="580.29999999999995"/>
    <n v="0"/>
    <m/>
    <n v="20260406"/>
    <m/>
    <s v="DEBITO"/>
    <n v="3974527"/>
    <s v="BCP"/>
    <m/>
    <m/>
    <d v="1899-12-30T11:35:20"/>
    <s v="XIAOMI SCHELL"/>
  </r>
  <r>
    <n v="1023366"/>
    <s v="VA"/>
    <s v="A"/>
    <d v="2026-04-04T00:00:00"/>
    <d v="2026-04-04T00:00:00"/>
    <m/>
    <n v="351"/>
    <s v="PS0005"/>
    <n v="6769"/>
    <n v="1593"/>
    <m/>
    <s v="428076******2239"/>
    <s v="Nac"/>
    <s v="COM"/>
    <x v="3"/>
    <n v="1098"/>
    <x v="0"/>
    <n v="31.73"/>
    <n v="4.28"/>
    <n v="0.77"/>
    <n v="1065.5"/>
    <n v="0"/>
    <m/>
    <n v="20260406"/>
    <m/>
    <s v="CREDITO"/>
    <n v="3974527"/>
    <s v="BCP"/>
    <m/>
    <m/>
    <d v="1899-12-30T11:45:56"/>
    <s v="XIAOMI SCHELL"/>
  </r>
  <r>
    <n v="1023366"/>
    <s v="VA"/>
    <s v="A"/>
    <d v="2026-04-04T00:00:00"/>
    <d v="2026-04-04T00:00:00"/>
    <m/>
    <n v="351"/>
    <s v="PS0005"/>
    <n v="6781"/>
    <n v="144864"/>
    <m/>
    <s v="477289******0811"/>
    <s v="Nac"/>
    <s v="COM"/>
    <x v="3"/>
    <n v="1240"/>
    <x v="0"/>
    <n v="35.840000000000003"/>
    <n v="4.84"/>
    <n v="0.87"/>
    <n v="1203.29"/>
    <n v="0"/>
    <m/>
    <n v="20260406"/>
    <m/>
    <s v="CREDITO"/>
    <n v="3974527"/>
    <s v="IBK PRIVADA"/>
    <m/>
    <m/>
    <d v="1899-12-30T12:14:40"/>
    <s v="XIAOMI SCHELL"/>
  </r>
  <r>
    <n v="1023366"/>
    <s v="VA"/>
    <s v="A"/>
    <d v="2026-04-04T00:00:00"/>
    <d v="2026-04-04T00:00:00"/>
    <m/>
    <n v="351"/>
    <s v="PS0005"/>
    <n v="6783"/>
    <n v="586945"/>
    <m/>
    <s v="414791******0519"/>
    <s v="Nac"/>
    <s v="COM"/>
    <x v="3"/>
    <n v="75"/>
    <x v="0"/>
    <n v="2.17"/>
    <n v="0.44"/>
    <n v="0.08"/>
    <n v="72.75"/>
    <n v="0"/>
    <m/>
    <n v="20260406"/>
    <m/>
    <s v="CREDITO"/>
    <n v="3974527"/>
    <s v="BBVA"/>
    <m/>
    <m/>
    <d v="1899-12-30T12:34:28"/>
    <s v="XIAOMI SCHELL"/>
  </r>
  <r>
    <n v="1023366"/>
    <s v="VA"/>
    <s v="A"/>
    <d v="2026-04-04T00:00:00"/>
    <d v="2026-04-04T00:00:00"/>
    <m/>
    <n v="351"/>
    <s v="PS0005"/>
    <n v="6785"/>
    <n v="5981"/>
    <m/>
    <s v="445330******7396"/>
    <s v="Nac"/>
    <s v="COM"/>
    <x v="3"/>
    <n v="1799"/>
    <x v="0"/>
    <n v="51.99"/>
    <n v="10.61"/>
    <n v="1.91"/>
    <n v="1745.1"/>
    <n v="0"/>
    <m/>
    <n v="20260406"/>
    <m/>
    <s v="CREDITO"/>
    <n v="3974527"/>
    <s v="BCP"/>
    <m/>
    <m/>
    <d v="1899-12-30T12:37:47"/>
    <s v="XIAOMI SCHELL"/>
  </r>
  <r>
    <n v="1023366"/>
    <s v="VA"/>
    <s v="A"/>
    <d v="2026-04-04T00:00:00"/>
    <d v="2026-04-04T00:00:00"/>
    <m/>
    <n v="351"/>
    <s v="PS0005"/>
    <n v="6788"/>
    <n v="625672"/>
    <m/>
    <s v="438466******9274"/>
    <s v="Nac"/>
    <s v="COM"/>
    <x v="3"/>
    <n v="349"/>
    <x v="0"/>
    <n v="10.09"/>
    <n v="4.51"/>
    <n v="0.81"/>
    <n v="338.1"/>
    <n v="0"/>
    <m/>
    <n v="20260406"/>
    <m/>
    <s v="DEBITO"/>
    <n v="3974527"/>
    <s v="VISA LOC"/>
    <m/>
    <m/>
    <d v="1899-12-30T12:43:31"/>
    <s v="XIAOMI SCHELL"/>
  </r>
  <r>
    <n v="1023366"/>
    <s v="VA"/>
    <s v="A"/>
    <d v="2026-04-04T00:00:00"/>
    <d v="2026-04-04T00:00:00"/>
    <m/>
    <n v="351"/>
    <s v="PS0005"/>
    <n v="6791"/>
    <n v="790145"/>
    <m/>
    <s v="438466******2778"/>
    <s v="Nac"/>
    <s v="COM"/>
    <x v="3"/>
    <n v="149"/>
    <x v="0"/>
    <n v="4.3099999999999996"/>
    <n v="1.93"/>
    <n v="0.35"/>
    <n v="144.34"/>
    <n v="0"/>
    <m/>
    <n v="20260406"/>
    <m/>
    <s v="DEBITO"/>
    <n v="3974527"/>
    <s v="VISA LOC"/>
    <m/>
    <m/>
    <d v="1899-12-30T13:22:11"/>
    <s v="XIAOMI SCHELL"/>
  </r>
  <r>
    <n v="1023366"/>
    <s v="VA"/>
    <s v="A"/>
    <d v="2026-04-04T00:00:00"/>
    <d v="2026-04-04T00:00:00"/>
    <m/>
    <n v="351"/>
    <s v="PS0005"/>
    <n v="6793"/>
    <n v="811625"/>
    <n v="3"/>
    <s v="414791******3421"/>
    <s v="Nac"/>
    <s v="COM"/>
    <x v="3"/>
    <n v="2678"/>
    <x v="0"/>
    <n v="124.26"/>
    <n v="15.8"/>
    <n v="2.84"/>
    <n v="2550.9"/>
    <n v="0"/>
    <m/>
    <n v="20260406"/>
    <m/>
    <s v="CREDITO"/>
    <n v="3974527"/>
    <s v="BBVA"/>
    <s v="SI"/>
    <m/>
    <d v="1899-12-30T13:27:13"/>
    <s v="XIAOMI SCHELL"/>
  </r>
  <r>
    <n v="1023366"/>
    <s v="VA"/>
    <s v="A"/>
    <d v="2026-04-04T00:00:00"/>
    <d v="2026-04-04T00:00:00"/>
    <m/>
    <n v="351"/>
    <s v="PS0005"/>
    <n v="6795"/>
    <n v="854210"/>
    <m/>
    <s v="455788******6732"/>
    <s v="Nac"/>
    <s v="COM"/>
    <x v="3"/>
    <n v="192.22"/>
    <x v="0"/>
    <n v="5.56"/>
    <n v="2.48"/>
    <n v="0.45"/>
    <n v="186.21"/>
    <n v="0"/>
    <m/>
    <n v="20260406"/>
    <m/>
    <s v="DEBITO"/>
    <n v="3974527"/>
    <s v="BCP"/>
    <m/>
    <m/>
    <d v="1899-12-30T13:31:09"/>
    <s v="XIAOMI SCHELL"/>
  </r>
  <r>
    <n v="1023366"/>
    <s v="VA"/>
    <s v="A"/>
    <d v="2026-04-04T00:00:00"/>
    <d v="2026-04-04T00:00:00"/>
    <m/>
    <n v="351"/>
    <s v="PS0005"/>
    <n v="6797"/>
    <n v="1621"/>
    <m/>
    <s v="428082******9343"/>
    <s v="Nac"/>
    <s v="COM"/>
    <x v="3"/>
    <n v="189"/>
    <x v="0"/>
    <n v="5.46"/>
    <n v="1.1100000000000001"/>
    <n v="0.2"/>
    <n v="183.34"/>
    <n v="0"/>
    <m/>
    <n v="20260406"/>
    <m/>
    <s v="CREDITO"/>
    <n v="3974527"/>
    <s v="BCP"/>
    <m/>
    <m/>
    <d v="1899-12-30T13:44:21"/>
    <s v="XIAOMI SCHELL"/>
  </r>
  <r>
    <n v="1023366"/>
    <s v="VA"/>
    <s v="A"/>
    <d v="2026-04-04T00:00:00"/>
    <d v="2026-04-04T00:00:00"/>
    <m/>
    <n v="351"/>
    <s v="PS0005"/>
    <n v="6799"/>
    <n v="3648"/>
    <m/>
    <s v="463402******9238"/>
    <s v="Nac"/>
    <s v="COM"/>
    <x v="3"/>
    <n v="1799"/>
    <x v="0"/>
    <n v="51.99"/>
    <n v="14.21"/>
    <n v="2.56"/>
    <n v="1744.45"/>
    <n v="0"/>
    <m/>
    <n v="20260406"/>
    <m/>
    <s v="CREDITO"/>
    <n v="3974527"/>
    <s v="BCP"/>
    <m/>
    <m/>
    <d v="1899-12-30T13:47:25"/>
    <s v="XIAOMI SCHELL"/>
  </r>
  <r>
    <n v="1023366"/>
    <s v="VA"/>
    <s v="A"/>
    <d v="2026-04-04T00:00:00"/>
    <d v="2026-04-04T00:00:00"/>
    <m/>
    <n v="351"/>
    <s v="PS0005"/>
    <n v="6801"/>
    <n v="239"/>
    <m/>
    <s v="444437******0078"/>
    <s v="Nac"/>
    <s v="COM"/>
    <x v="3"/>
    <n v="229"/>
    <x v="0"/>
    <n v="6.62"/>
    <n v="0.89"/>
    <n v="0.16"/>
    <n v="222.22"/>
    <n v="0"/>
    <m/>
    <n v="20260406"/>
    <m/>
    <s v="CREDITO"/>
    <n v="3974527"/>
    <s v="BCP"/>
    <m/>
    <m/>
    <d v="1899-12-30T14:27:01"/>
    <s v="XIAOMI SCHELL"/>
  </r>
  <r>
    <n v="1023366"/>
    <s v="VA"/>
    <s v="A"/>
    <d v="2026-04-04T00:00:00"/>
    <d v="2026-04-04T00:00:00"/>
    <m/>
    <n v="351"/>
    <s v="PS0005"/>
    <n v="6806"/>
    <n v="533671"/>
    <m/>
    <s v="435779******1719"/>
    <s v="Nac"/>
    <s v="COM"/>
    <x v="3"/>
    <n v="69"/>
    <x v="0"/>
    <n v="1.99"/>
    <n v="0.26"/>
    <n v="0.05"/>
    <n v="66.959999999999994"/>
    <n v="0"/>
    <m/>
    <n v="20260406"/>
    <m/>
    <s v="CREDITO"/>
    <n v="3974527"/>
    <s v="VISA LOC"/>
    <m/>
    <m/>
    <d v="1899-12-30T14:53:28"/>
    <s v="XIAOMI SCHELL"/>
  </r>
  <r>
    <n v="1023366"/>
    <s v="VA"/>
    <s v="A"/>
    <d v="2026-04-04T00:00:00"/>
    <d v="2026-04-04T00:00:00"/>
    <m/>
    <n v="351"/>
    <s v="PS0005"/>
    <n v="6810"/>
    <n v="2064"/>
    <m/>
    <s v="498432******2023"/>
    <s v="Ext"/>
    <s v="COM"/>
    <x v="3"/>
    <n v="59"/>
    <x v="0"/>
    <n v="2.2999999999999998"/>
    <n v="1.66"/>
    <n v="0.3"/>
    <n v="56.4"/>
    <n v="0"/>
    <m/>
    <n v="20260406"/>
    <m/>
    <s v="DEBITO"/>
    <n v="3974527"/>
    <s v="VISA INT"/>
    <m/>
    <m/>
    <d v="1899-12-30T14:56:29"/>
    <s v="XIAOMI SCHELL"/>
  </r>
  <r>
    <n v="1023366"/>
    <s v="VA"/>
    <s v="A"/>
    <d v="2026-04-04T00:00:00"/>
    <d v="2026-04-04T00:00:00"/>
    <m/>
    <n v="351"/>
    <s v="PS0005"/>
    <n v="6812"/>
    <n v="61"/>
    <m/>
    <s v="444437******6833"/>
    <s v="Nac"/>
    <s v="COM"/>
    <x v="3"/>
    <n v="298"/>
    <x v="0"/>
    <n v="8.61"/>
    <n v="1.1599999999999999"/>
    <n v="0.21"/>
    <n v="289.18"/>
    <n v="0"/>
    <m/>
    <n v="20260406"/>
    <m/>
    <s v="CREDITO"/>
    <n v="3974527"/>
    <s v="BCP"/>
    <m/>
    <m/>
    <d v="1899-12-30T14:58:27"/>
    <s v="XIAOMI SCHELL"/>
  </r>
  <r>
    <n v="1023366"/>
    <s v="VA"/>
    <s v="A"/>
    <d v="2026-04-04T00:00:00"/>
    <d v="2026-04-04T00:00:00"/>
    <m/>
    <n v="351"/>
    <s v="PS0005"/>
    <n v="6814"/>
    <n v="162159"/>
    <m/>
    <s v="455788******2355"/>
    <s v="Nac"/>
    <s v="COM"/>
    <x v="3"/>
    <n v="55"/>
    <x v="0"/>
    <n v="1.59"/>
    <n v="0.71"/>
    <n v="0.13"/>
    <n v="53.28"/>
    <n v="0"/>
    <m/>
    <n v="20260406"/>
    <m/>
    <s v="DEBITO"/>
    <n v="3974527"/>
    <s v="BCP"/>
    <m/>
    <m/>
    <d v="1899-12-30T15:09:55"/>
    <s v="XIAOMI SCHELL"/>
  </r>
  <r>
    <n v="1023366"/>
    <s v="VA"/>
    <s v="A"/>
    <d v="2026-04-04T00:00:00"/>
    <d v="2026-04-04T00:00:00"/>
    <m/>
    <n v="351"/>
    <s v="PS0005"/>
    <n v="6816"/>
    <n v="10568"/>
    <m/>
    <s v="421918******4342"/>
    <s v="Nac"/>
    <s v="COM"/>
    <x v="3"/>
    <n v="50.7"/>
    <x v="0"/>
    <n v="1.47"/>
    <n v="0.2"/>
    <n v="0.04"/>
    <n v="49.19"/>
    <n v="0"/>
    <m/>
    <n v="20260406"/>
    <m/>
    <s v="CREDITO"/>
    <n v="3974527"/>
    <s v="SCOTIABANK"/>
    <m/>
    <m/>
    <d v="1899-12-30T15:44:11"/>
    <s v="XIAOMI SCHELL"/>
  </r>
  <r>
    <n v="1023366"/>
    <s v="VA"/>
    <s v="A"/>
    <d v="2026-04-04T00:00:00"/>
    <d v="2026-04-04T00:00:00"/>
    <m/>
    <n v="351"/>
    <s v="PS0005"/>
    <n v="6822"/>
    <n v="360817"/>
    <m/>
    <s v="455103******5417"/>
    <s v="Nac"/>
    <s v="COM"/>
    <x v="3"/>
    <n v="730"/>
    <x v="0"/>
    <n v="21.1"/>
    <n v="9.42"/>
    <n v="1.7"/>
    <n v="707.2"/>
    <n v="0"/>
    <m/>
    <n v="20260406"/>
    <m/>
    <s v="DEBITO"/>
    <n v="3974527"/>
    <s v="BBVA"/>
    <m/>
    <m/>
    <d v="1899-12-30T15:54:46"/>
    <s v="XIAOMI SCHELL"/>
  </r>
  <r>
    <n v="1023366"/>
    <s v="VA"/>
    <s v="A"/>
    <d v="2026-04-04T00:00:00"/>
    <d v="2026-04-04T00:00:00"/>
    <m/>
    <n v="351"/>
    <s v="PS0005"/>
    <n v="6824"/>
    <n v="446141"/>
    <n v="2"/>
    <s v="414791******3986"/>
    <s v="Nac"/>
    <s v="COM"/>
    <x v="3"/>
    <n v="648.9"/>
    <x v="0"/>
    <n v="30.11"/>
    <n v="3.83"/>
    <n v="0.69"/>
    <n v="618.1"/>
    <n v="0"/>
    <m/>
    <n v="20260406"/>
    <m/>
    <s v="CREDITO"/>
    <n v="3974527"/>
    <s v="BBVA"/>
    <s v="SI"/>
    <m/>
    <d v="1899-12-30T16:19:34"/>
    <s v="XIAOMI SCHELL"/>
  </r>
  <r>
    <n v="1023366"/>
    <s v="VA"/>
    <s v="A"/>
    <d v="2026-04-04T00:00:00"/>
    <d v="2026-04-04T00:00:00"/>
    <m/>
    <n v="351"/>
    <s v="PS0005"/>
    <n v="6828"/>
    <n v="513661"/>
    <n v="3"/>
    <s v="414791******8359"/>
    <s v="Nac"/>
    <s v="COM"/>
    <x v="3"/>
    <n v="149"/>
    <x v="0"/>
    <n v="6.92"/>
    <n v="0.88"/>
    <n v="0.16"/>
    <n v="141.91999999999999"/>
    <n v="0"/>
    <m/>
    <n v="20260406"/>
    <m/>
    <s v="CREDITO"/>
    <n v="3974527"/>
    <s v="BBVA"/>
    <s v="SI"/>
    <m/>
    <d v="1899-12-30T16:39:07"/>
    <s v="XIAOMI SCHELL"/>
  </r>
  <r>
    <n v="1023366"/>
    <s v="VA"/>
    <s v="A"/>
    <d v="2026-04-04T00:00:00"/>
    <d v="2026-04-04T00:00:00"/>
    <m/>
    <n v="351"/>
    <s v="PS0005"/>
    <n v="6831"/>
    <n v="193182"/>
    <m/>
    <s v="438877******8655"/>
    <s v="Nac"/>
    <s v="COM"/>
    <x v="3"/>
    <n v="89.9"/>
    <x v="0"/>
    <n v="2.6"/>
    <n v="1.1599999999999999"/>
    <n v="0.21"/>
    <n v="87.09"/>
    <n v="0"/>
    <m/>
    <n v="20260406"/>
    <m/>
    <s v="DEBITO"/>
    <n v="3974527"/>
    <s v="VISA LOC"/>
    <m/>
    <m/>
    <d v="1899-12-30T16:43:14"/>
    <s v="XIAOMI SCHELL"/>
  </r>
  <r>
    <n v="1023366"/>
    <s v="VA"/>
    <s v="A"/>
    <d v="2026-04-04T00:00:00"/>
    <d v="2026-04-04T00:00:00"/>
    <m/>
    <n v="351"/>
    <s v="PS0005"/>
    <n v="6833"/>
    <n v="465052"/>
    <m/>
    <s v="411090******7961"/>
    <s v="Nac"/>
    <s v="COM"/>
    <x v="3"/>
    <n v="49"/>
    <x v="0"/>
    <n v="1.42"/>
    <n v="0.28999999999999998"/>
    <n v="0.05"/>
    <n v="47.53"/>
    <n v="0"/>
    <m/>
    <n v="20260406"/>
    <m/>
    <s v="CREDITO"/>
    <n v="3974527"/>
    <s v="IBK PRIVADA"/>
    <m/>
    <m/>
    <d v="1899-12-30T16:46:42"/>
    <s v="XIAOMI SCHELL"/>
  </r>
  <r>
    <n v="1023366"/>
    <s v="VA"/>
    <s v="A"/>
    <d v="2026-04-04T00:00:00"/>
    <d v="2026-04-04T00:00:00"/>
    <m/>
    <n v="351"/>
    <s v="PS0005"/>
    <n v="6837"/>
    <n v="244199"/>
    <m/>
    <s v="455788******0544"/>
    <s v="Nac"/>
    <s v="COM"/>
    <x v="3"/>
    <n v="538"/>
    <x v="0"/>
    <n v="15.55"/>
    <n v="6.94"/>
    <n v="1.25"/>
    <n v="521.20000000000005"/>
    <n v="0"/>
    <m/>
    <n v="20260406"/>
    <m/>
    <s v="DEBITO"/>
    <n v="3974527"/>
    <s v="BCP"/>
    <m/>
    <m/>
    <d v="1899-12-30T17:00:34"/>
    <s v="XIAOMI SCHELL"/>
  </r>
  <r>
    <n v="1023366"/>
    <s v="VA"/>
    <s v="A"/>
    <d v="2026-04-04T00:00:00"/>
    <d v="2026-04-04T00:00:00"/>
    <m/>
    <n v="351"/>
    <s v="PS0005"/>
    <n v="6840"/>
    <n v="723724"/>
    <m/>
    <s v="466248******5548"/>
    <s v="Ext"/>
    <s v="COM"/>
    <x v="3"/>
    <n v="89"/>
    <x v="0"/>
    <n v="3.47"/>
    <n v="1.83"/>
    <n v="0.33"/>
    <n v="85.2"/>
    <n v="0"/>
    <m/>
    <n v="20260406"/>
    <m/>
    <s v="CREDITO"/>
    <n v="3974527"/>
    <s v="VISA INT"/>
    <m/>
    <m/>
    <d v="1899-12-30T17:06:01"/>
    <s v="XIAOMI SCHELL"/>
  </r>
  <r>
    <n v="1023366"/>
    <s v="VA"/>
    <s v="A"/>
    <d v="2026-04-04T00:00:00"/>
    <d v="2026-04-04T00:00:00"/>
    <m/>
    <n v="351"/>
    <s v="PS0005"/>
    <n v="6842"/>
    <n v="654203"/>
    <m/>
    <s v="444355******2631"/>
    <s v="Nac"/>
    <s v="COM"/>
    <x v="3"/>
    <n v="105"/>
    <x v="0"/>
    <n v="3.03"/>
    <n v="0.61"/>
    <n v="0.11"/>
    <n v="101.86"/>
    <n v="0"/>
    <m/>
    <n v="20260406"/>
    <m/>
    <s v="CREDITO"/>
    <n v="3974527"/>
    <s v="BBVA"/>
    <m/>
    <m/>
    <d v="1899-12-30T17:19:34"/>
    <s v="XIAOMI SCHELL"/>
  </r>
  <r>
    <n v="1023366"/>
    <s v="VA"/>
    <s v="A"/>
    <d v="2026-04-04T00:00:00"/>
    <d v="2026-04-04T00:00:00"/>
    <m/>
    <n v="351"/>
    <s v="PS0005"/>
    <n v="6844"/>
    <n v="298623"/>
    <m/>
    <s v="455788******3366"/>
    <s v="Nac"/>
    <s v="COM"/>
    <x v="3"/>
    <n v="378"/>
    <x v="0"/>
    <n v="10.92"/>
    <n v="4.87"/>
    <n v="0.88"/>
    <n v="366.2"/>
    <n v="0"/>
    <m/>
    <n v="20260406"/>
    <m/>
    <s v="DEBITO"/>
    <n v="3974527"/>
    <s v="BCP"/>
    <m/>
    <m/>
    <d v="1899-12-30T17:25:10"/>
    <s v="XIAOMI SCHELL"/>
  </r>
  <r>
    <n v="1023366"/>
    <s v="VA"/>
    <s v="A"/>
    <d v="2026-04-04T00:00:00"/>
    <d v="2026-04-04T00:00:00"/>
    <m/>
    <n v="351"/>
    <s v="PS0005"/>
    <n v="6846"/>
    <n v="685639"/>
    <m/>
    <s v="444355******2742"/>
    <s v="Nac"/>
    <s v="COM"/>
    <x v="3"/>
    <n v="149"/>
    <x v="0"/>
    <n v="4.3099999999999996"/>
    <n v="0.88"/>
    <n v="0.16"/>
    <n v="144.53"/>
    <n v="0"/>
    <m/>
    <n v="20260406"/>
    <m/>
    <s v="CREDITO"/>
    <n v="3974527"/>
    <s v="BBVA"/>
    <m/>
    <m/>
    <d v="1899-12-30T17:28:21"/>
    <s v="XIAOMI SCHELL"/>
  </r>
  <r>
    <n v="1023366"/>
    <s v="VA"/>
    <s v="A"/>
    <d v="2026-04-04T00:00:00"/>
    <d v="2026-04-04T00:00:00"/>
    <m/>
    <n v="351"/>
    <s v="PS0005"/>
    <n v="6848"/>
    <n v="308034"/>
    <m/>
    <s v="455788******4819"/>
    <s v="Nac"/>
    <s v="COM"/>
    <x v="3"/>
    <n v="229"/>
    <x v="0"/>
    <n v="6.62"/>
    <n v="2.96"/>
    <n v="0.53"/>
    <n v="221.85"/>
    <n v="0"/>
    <m/>
    <n v="20260406"/>
    <m/>
    <s v="DEBITO"/>
    <n v="3974527"/>
    <s v="BCP"/>
    <m/>
    <m/>
    <d v="1899-12-30T17:36:55"/>
    <s v="XIAOMI SCHELL"/>
  </r>
  <r>
    <n v="1023366"/>
    <s v="VA"/>
    <s v="A"/>
    <d v="2026-04-04T00:00:00"/>
    <d v="2026-04-04T00:00:00"/>
    <m/>
    <n v="351"/>
    <s v="PS0005"/>
    <n v="6850"/>
    <n v="483051"/>
    <n v="2"/>
    <s v="455696******7945"/>
    <s v="Nac"/>
    <s v="COM"/>
    <x v="3"/>
    <n v="89"/>
    <x v="0"/>
    <n v="2.57"/>
    <n v="0.52"/>
    <n v="0.09"/>
    <n v="86.34"/>
    <n v="0"/>
    <m/>
    <n v="20260406"/>
    <m/>
    <s v="CREDITO"/>
    <n v="3974527"/>
    <s v="IBK PRIVADA"/>
    <s v="NO"/>
    <m/>
    <d v="1899-12-30T17:48:22"/>
    <s v="XIAOMI SCHELL"/>
  </r>
  <r>
    <n v="1023366"/>
    <s v="VA"/>
    <s v="A"/>
    <d v="2026-04-04T00:00:00"/>
    <d v="2026-04-04T00:00:00"/>
    <m/>
    <n v="351"/>
    <n v="65656565"/>
    <n v="6852"/>
    <n v="343224"/>
    <m/>
    <s v="455788******3102"/>
    <s v="Nac"/>
    <s v="COM"/>
    <x v="3"/>
    <n v="149"/>
    <x v="0"/>
    <n v="4.3"/>
    <n v="1.92"/>
    <n v="0.35"/>
    <n v="144.35"/>
    <n v="0"/>
    <m/>
    <n v="20260406"/>
    <m/>
    <s v="DEBITO"/>
    <n v="3974527"/>
    <s v="BCP"/>
    <m/>
    <s v="Yape"/>
    <d v="1899-12-30T18:08:04"/>
    <s v="XIAOMI SCHELL"/>
  </r>
  <r>
    <n v="1023366"/>
    <s v="VA"/>
    <s v="A"/>
    <d v="2026-04-04T00:00:00"/>
    <d v="2026-04-04T00:00:00"/>
    <m/>
    <n v="351"/>
    <s v="PS0005"/>
    <n v="6855"/>
    <n v="836646"/>
    <m/>
    <s v="491931******2940"/>
    <s v="Nac"/>
    <s v="COM"/>
    <x v="3"/>
    <n v="158.9"/>
    <x v="0"/>
    <n v="4.59"/>
    <n v="1.25"/>
    <n v="0.23"/>
    <n v="154.08000000000001"/>
    <n v="0"/>
    <m/>
    <n v="20260406"/>
    <m/>
    <s v="CREDITO"/>
    <n v="3974527"/>
    <s v="BBVA"/>
    <m/>
    <m/>
    <d v="1899-12-30T18:09:54"/>
    <s v="XIAOMI SCHELL"/>
  </r>
  <r>
    <n v="1023366"/>
    <s v="VA"/>
    <s v="A"/>
    <d v="2026-04-04T00:00:00"/>
    <d v="2026-04-04T00:00:00"/>
    <m/>
    <n v="351"/>
    <s v="PS0005"/>
    <n v="6860"/>
    <n v="964563"/>
    <m/>
    <s v="418794******9853"/>
    <s v="Ext"/>
    <s v="COM"/>
    <x v="3"/>
    <n v="52.9"/>
    <x v="0"/>
    <n v="2.06"/>
    <n v="1.0900000000000001"/>
    <n v="0.2"/>
    <n v="50.64"/>
    <n v="0"/>
    <m/>
    <n v="20260406"/>
    <m/>
    <s v="DEBITO"/>
    <n v="3974527"/>
    <s v="VISA INT"/>
    <m/>
    <m/>
    <d v="1899-12-30T18:58:36"/>
    <s v="XIAOMI SCHELL"/>
  </r>
  <r>
    <n v="1023366"/>
    <s v="VA"/>
    <s v="A"/>
    <d v="2026-04-04T00:00:00"/>
    <d v="2026-04-04T00:00:00"/>
    <m/>
    <n v="351"/>
    <s v="PS0005"/>
    <n v="6862"/>
    <n v="467743"/>
    <m/>
    <s v="455788******8774"/>
    <s v="Nac"/>
    <s v="COM"/>
    <x v="3"/>
    <n v="1799"/>
    <x v="0"/>
    <n v="51.99"/>
    <n v="23.21"/>
    <n v="4.18"/>
    <n v="1742.83"/>
    <n v="0"/>
    <m/>
    <n v="20260406"/>
    <m/>
    <s v="DEBITO"/>
    <n v="3974527"/>
    <s v="BCP"/>
    <m/>
    <m/>
    <d v="1899-12-30T19:00:47"/>
    <s v="XIAOMI SCHELL"/>
  </r>
  <r>
    <n v="1023366"/>
    <s v="VA"/>
    <s v="A"/>
    <d v="2026-04-04T00:00:00"/>
    <d v="2026-04-04T00:00:00"/>
    <m/>
    <n v="351"/>
    <s v="PS0005"/>
    <n v="6864"/>
    <n v="6831"/>
    <m/>
    <s v="428083******5878"/>
    <s v="Nac"/>
    <s v="COM"/>
    <x v="3"/>
    <n v="2578"/>
    <x v="0"/>
    <n v="74.5"/>
    <n v="10.050000000000001"/>
    <n v="1.81"/>
    <n v="2501.69"/>
    <n v="0"/>
    <m/>
    <n v="20260406"/>
    <m/>
    <s v="CREDITO"/>
    <n v="3974527"/>
    <s v="BCP"/>
    <m/>
    <m/>
    <d v="1899-12-30T19:11:50"/>
    <s v="XIAOMI SCHELL"/>
  </r>
  <r>
    <n v="1023366"/>
    <s v="VA"/>
    <s v="A"/>
    <d v="2026-04-04T00:00:00"/>
    <d v="2026-04-04T00:00:00"/>
    <m/>
    <n v="351"/>
    <s v="PS0005"/>
    <n v="6868"/>
    <n v="157376"/>
    <n v="3"/>
    <s v="491914******7501"/>
    <s v="Nac"/>
    <s v="COM"/>
    <x v="3"/>
    <n v="1278"/>
    <x v="0"/>
    <n v="59.3"/>
    <n v="7.54"/>
    <n v="1.36"/>
    <n v="1217.3399999999999"/>
    <n v="0"/>
    <m/>
    <n v="20260406"/>
    <m/>
    <s v="CREDITO"/>
    <n v="3974527"/>
    <s v="BBVA"/>
    <s v="SI"/>
    <m/>
    <d v="1899-12-30T19:31:42"/>
    <s v="XIAOMI SCHELL"/>
  </r>
  <r>
    <n v="1023366"/>
    <s v="VA"/>
    <s v="A"/>
    <d v="2026-04-04T00:00:00"/>
    <d v="2026-04-04T00:00:00"/>
    <m/>
    <n v="351"/>
    <s v="PS0005"/>
    <n v="6874"/>
    <n v="434311"/>
    <m/>
    <s v="450081******7544"/>
    <s v="Ext"/>
    <s v="COM"/>
    <x v="3"/>
    <n v="149"/>
    <x v="0"/>
    <n v="5.81"/>
    <n v="4.18"/>
    <n v="0.75"/>
    <n v="142.44"/>
    <n v="0"/>
    <m/>
    <n v="20260406"/>
    <m/>
    <s v="CREDITO"/>
    <n v="3974527"/>
    <s v="VISA INT"/>
    <m/>
    <m/>
    <d v="1899-12-30T19:59:44"/>
    <s v="XIAOMI SCHELL"/>
  </r>
  <r>
    <n v="1023366"/>
    <s v="VA"/>
    <s v="A"/>
    <d v="2026-04-04T00:00:00"/>
    <d v="2026-04-04T00:00:00"/>
    <m/>
    <n v="351"/>
    <s v="PS0005"/>
    <n v="6876"/>
    <n v="1689"/>
    <m/>
    <s v="445330******7804"/>
    <s v="Nac"/>
    <s v="COM"/>
    <x v="3"/>
    <n v="89"/>
    <x v="0"/>
    <n v="2.57"/>
    <n v="0.34"/>
    <n v="0.06"/>
    <n v="86.37"/>
    <n v="0"/>
    <m/>
    <n v="20260406"/>
    <m/>
    <s v="CREDITO"/>
    <n v="3974527"/>
    <s v="BCP"/>
    <m/>
    <m/>
    <d v="1899-12-30T20:06:23"/>
    <s v="XIAOMI SCHELL"/>
  </r>
  <r>
    <n v="1023366"/>
    <s v="VA"/>
    <s v="A"/>
    <d v="2026-04-04T00:00:00"/>
    <d v="2026-04-04T00:00:00"/>
    <m/>
    <n v="351"/>
    <s v="PS0005"/>
    <n v="6878"/>
    <n v="4538"/>
    <m/>
    <s v="444437******2260"/>
    <s v="Nac"/>
    <s v="COM"/>
    <x v="3"/>
    <n v="89.9"/>
    <x v="0"/>
    <n v="2.6"/>
    <n v="0.35"/>
    <n v="0.06"/>
    <n v="87.24"/>
    <n v="0"/>
    <m/>
    <n v="20260406"/>
    <m/>
    <s v="CREDITO"/>
    <n v="3974527"/>
    <s v="BCP"/>
    <m/>
    <m/>
    <d v="1899-12-30T20:11:17"/>
    <s v="XIAOMI SCHELL"/>
  </r>
  <r>
    <n v="1023366"/>
    <s v="VA"/>
    <s v="A"/>
    <d v="2026-04-04T00:00:00"/>
    <d v="2026-04-04T00:00:00"/>
    <m/>
    <n v="351"/>
    <s v="PS0005"/>
    <n v="6882"/>
    <n v="358869"/>
    <m/>
    <s v="444355******6502"/>
    <s v="Nac"/>
    <s v="COM"/>
    <x v="3"/>
    <n v="849"/>
    <x v="0"/>
    <n v="24.54"/>
    <n v="5.01"/>
    <n v="0.9"/>
    <n v="823.56"/>
    <n v="0"/>
    <m/>
    <n v="20260406"/>
    <m/>
    <s v="CREDITO"/>
    <n v="3974527"/>
    <s v="BBVA"/>
    <m/>
    <m/>
    <d v="1899-12-30T20:26:18"/>
    <s v="XIAOMI SCHELL"/>
  </r>
  <r>
    <n v="1023366"/>
    <s v="VA"/>
    <s v="A"/>
    <d v="2026-04-04T00:00:00"/>
    <d v="2026-04-04T00:00:00"/>
    <m/>
    <n v="351"/>
    <s v="PS0005"/>
    <n v="6885"/>
    <n v="835773"/>
    <m/>
    <s v="455175******6014"/>
    <s v="Ext"/>
    <s v="COM"/>
    <x v="3"/>
    <n v="169"/>
    <x v="0"/>
    <n v="6.59"/>
    <n v="4.74"/>
    <n v="0.85"/>
    <n v="161.56"/>
    <n v="21024.16"/>
    <d v="2026-04-06T00:00:00"/>
    <n v="20260406"/>
    <m/>
    <s v="CREDITO"/>
    <n v="3974527"/>
    <s v="VISA INT"/>
    <m/>
    <m/>
    <d v="1899-12-30T20:45:26"/>
    <s v="XIAOMI SCHELL"/>
  </r>
  <r>
    <n v="1023366"/>
    <s v="VK"/>
    <s v="A"/>
    <d v="2026-04-04T00:00:00"/>
    <d v="2026-04-04T00:00:00"/>
    <m/>
    <n v="351"/>
    <s v="PS0005"/>
    <n v="6880"/>
    <n v="20421"/>
    <n v="2"/>
    <s v="404071******7634"/>
    <s v="Nac"/>
    <s v="COM"/>
    <x v="3"/>
    <n v="1799"/>
    <x v="0"/>
    <n v="51.99"/>
    <n v="14.21"/>
    <n v="2.56"/>
    <n v="1744.45"/>
    <n v="1744.45"/>
    <d v="2026-04-06T00:00:00"/>
    <n v="20260406"/>
    <m/>
    <s v="CREDITO"/>
    <n v="3974527"/>
    <s v="SIP MC"/>
    <s v="NO"/>
    <m/>
    <d v="1899-12-30T20:23:02"/>
    <s v="XIAOMI SCHELL"/>
  </r>
  <r>
    <n v="1023366"/>
    <s v="MC"/>
    <s v="A"/>
    <d v="2026-04-05T00:00:00"/>
    <d v="2026-04-05T00:00:00"/>
    <m/>
    <n v="352"/>
    <s v="PS0005"/>
    <n v="6912"/>
    <n v="170021"/>
    <n v="3"/>
    <s v="553650******9367"/>
    <s v="Nac"/>
    <s v="COM"/>
    <x v="4"/>
    <n v="1031"/>
    <x v="0"/>
    <n v="47.84"/>
    <n v="3.51"/>
    <n v="0.63"/>
    <n v="982.53"/>
    <n v="0"/>
    <m/>
    <n v="20260406"/>
    <m/>
    <s v="CREDITO"/>
    <n v="3974527"/>
    <s v="BBVA"/>
    <s v="SI"/>
    <m/>
    <d v="1899-12-30T13:39:33"/>
    <s v="XIAOMI SCHELL"/>
  </r>
  <r>
    <n v="1023366"/>
    <s v="MC"/>
    <s v="A"/>
    <d v="2026-04-05T00:00:00"/>
    <d v="2026-04-05T00:00:00"/>
    <m/>
    <n v="352"/>
    <n v="65656565"/>
    <n v="6938"/>
    <n v="92826"/>
    <m/>
    <s v="511842******0257"/>
    <s v="Nac"/>
    <s v="COM"/>
    <x v="4"/>
    <n v="298"/>
    <x v="0"/>
    <n v="8.61"/>
    <n v="3.1"/>
    <n v="0.56000000000000005"/>
    <n v="288.83"/>
    <n v="0"/>
    <m/>
    <n v="20260406"/>
    <m/>
    <s v="DEBITO"/>
    <n v="3974527"/>
    <s v="SCOTIA DEBIT"/>
    <m/>
    <s v="SBK Plin"/>
    <d v="1899-12-30T17:20:07"/>
    <s v="XIAOMI SCHELL"/>
  </r>
  <r>
    <n v="1023366"/>
    <s v="MC"/>
    <s v="A"/>
    <d v="2026-04-05T00:00:00"/>
    <d v="2026-04-05T00:00:00"/>
    <m/>
    <n v="352"/>
    <s v="PS0005"/>
    <n v="6961"/>
    <s v="R07116"/>
    <m/>
    <s v="512372******7732"/>
    <s v="Nac"/>
    <s v="COM"/>
    <x v="4"/>
    <n v="69"/>
    <x v="0"/>
    <n v="1.99"/>
    <n v="0.23"/>
    <n v="0.04"/>
    <n v="66.97"/>
    <n v="1338.33"/>
    <d v="2026-04-06T00:00:00"/>
    <n v="20260406"/>
    <m/>
    <s v="CREDITO"/>
    <n v="3974527"/>
    <s v="SBP"/>
    <m/>
    <m/>
    <d v="1899-12-30T19:10:43"/>
    <s v="XIAOMI SCHELL"/>
  </r>
  <r>
    <n v="1023366"/>
    <s v="VA"/>
    <s v="A"/>
    <d v="2026-04-05T00:00:00"/>
    <d v="2026-04-05T00:00:00"/>
    <m/>
    <n v="352"/>
    <s v="PS0005"/>
    <n v="6901"/>
    <n v="412004"/>
    <m/>
    <s v="455788******7511"/>
    <s v="Nac"/>
    <s v="COM"/>
    <x v="4"/>
    <n v="89.9"/>
    <x v="0"/>
    <n v="2.6"/>
    <n v="0.71"/>
    <n v="0.13"/>
    <n v="87.17"/>
    <n v="0"/>
    <m/>
    <n v="20260406"/>
    <m/>
    <s v="DEBITO"/>
    <n v="3974527"/>
    <s v="BCP"/>
    <m/>
    <m/>
    <d v="1899-12-30T11:07:54"/>
    <s v="XIAOMI SCHELL"/>
  </r>
  <r>
    <n v="1023366"/>
    <s v="VA"/>
    <s v="A"/>
    <d v="2026-04-05T00:00:00"/>
    <d v="2026-04-05T00:00:00"/>
    <m/>
    <n v="352"/>
    <s v="PS0005"/>
    <n v="6903"/>
    <n v="417006"/>
    <m/>
    <s v="421355******5461"/>
    <s v="Nac"/>
    <s v="COM"/>
    <x v="4"/>
    <n v="149"/>
    <x v="0"/>
    <n v="4.3099999999999996"/>
    <n v="1.93"/>
    <n v="0.35"/>
    <n v="144.34"/>
    <n v="0"/>
    <m/>
    <n v="20260406"/>
    <m/>
    <s v="DEBITO"/>
    <n v="3974527"/>
    <s v="IBK PRIVADA"/>
    <m/>
    <m/>
    <d v="1899-12-30T12:19:00"/>
    <s v="XIAOMI SCHELL"/>
  </r>
  <r>
    <n v="1023366"/>
    <s v="VA"/>
    <s v="A"/>
    <d v="2026-04-05T00:00:00"/>
    <d v="2026-04-05T00:00:00"/>
    <m/>
    <n v="352"/>
    <s v="PS0005"/>
    <n v="6905"/>
    <n v="391097"/>
    <m/>
    <s v="455788******0425"/>
    <s v="Nac"/>
    <s v="COM"/>
    <x v="4"/>
    <n v="1499"/>
    <x v="0"/>
    <n v="43.32"/>
    <n v="19.34"/>
    <n v="3.48"/>
    <n v="1452.2"/>
    <n v="0"/>
    <m/>
    <n v="20260406"/>
    <m/>
    <s v="DEBITO"/>
    <n v="3974527"/>
    <s v="VISA LOC"/>
    <m/>
    <m/>
    <d v="1899-12-30T12:23:36"/>
    <s v="XIAOMI SCHELL"/>
  </r>
  <r>
    <n v="1023366"/>
    <s v="VA"/>
    <s v="A"/>
    <d v="2026-04-05T00:00:00"/>
    <d v="2026-04-05T00:00:00"/>
    <m/>
    <n v="352"/>
    <s v="PS0005"/>
    <n v="6907"/>
    <n v="3117"/>
    <m/>
    <s v="428076******7264"/>
    <s v="Nac"/>
    <s v="COM"/>
    <x v="4"/>
    <n v="1899"/>
    <x v="0"/>
    <n v="54.88"/>
    <n v="7.4"/>
    <n v="1.33"/>
    <n v="1842.79"/>
    <n v="0"/>
    <m/>
    <n v="20260406"/>
    <m/>
    <s v="CREDITO"/>
    <n v="3974527"/>
    <s v="BCP"/>
    <m/>
    <m/>
    <d v="1899-12-30T12:33:13"/>
    <s v="XIAOMI SCHELL"/>
  </r>
  <r>
    <n v="1023366"/>
    <s v="VA"/>
    <s v="A"/>
    <d v="2026-04-05T00:00:00"/>
    <d v="2026-04-05T00:00:00"/>
    <m/>
    <n v="352"/>
    <s v="PS0005"/>
    <n v="6910"/>
    <n v="931248"/>
    <m/>
    <s v="416538******6993"/>
    <s v="Ext"/>
    <s v="COM"/>
    <x v="4"/>
    <n v="35"/>
    <x v="0"/>
    <n v="1.37"/>
    <n v="0.68"/>
    <n v="0.12"/>
    <n v="33.51"/>
    <n v="0"/>
    <m/>
    <n v="20260406"/>
    <m/>
    <s v="DEBITO"/>
    <n v="3974527"/>
    <s v="VISA INT"/>
    <m/>
    <m/>
    <d v="1899-12-30T12:55:58"/>
    <s v="XIAOMI SCHELL"/>
  </r>
  <r>
    <n v="1023366"/>
    <s v="VA"/>
    <s v="A"/>
    <d v="2026-04-05T00:00:00"/>
    <d v="2026-04-05T00:00:00"/>
    <m/>
    <n v="352"/>
    <s v="PS0005"/>
    <n v="6915"/>
    <n v="508236"/>
    <m/>
    <s v="411539******7617"/>
    <s v="Nac"/>
    <s v="COM"/>
    <x v="4"/>
    <n v="34.9"/>
    <x v="0"/>
    <n v="1.01"/>
    <n v="0.45"/>
    <n v="0.08"/>
    <n v="33.81"/>
    <n v="0"/>
    <m/>
    <n v="20260406"/>
    <m/>
    <s v="DEBITO"/>
    <n v="3974527"/>
    <s v="VISA LOC"/>
    <m/>
    <m/>
    <d v="1899-12-30T13:49:29"/>
    <s v="XIAOMI SCHELL"/>
  </r>
  <r>
    <n v="1023366"/>
    <s v="VA"/>
    <s v="A"/>
    <d v="2026-04-05T00:00:00"/>
    <d v="2026-04-05T00:00:00"/>
    <m/>
    <n v="352"/>
    <s v="PS0005"/>
    <n v="6917"/>
    <n v="540675"/>
    <m/>
    <s v="444697******6906"/>
    <s v="Nac"/>
    <s v="COM"/>
    <x v="4"/>
    <n v="55"/>
    <x v="0"/>
    <n v="1.59"/>
    <n v="0.71"/>
    <n v="0.13"/>
    <n v="53.28"/>
    <n v="0"/>
    <m/>
    <n v="20260406"/>
    <m/>
    <s v="DEBITO"/>
    <n v="3974527"/>
    <s v="BCP"/>
    <m/>
    <m/>
    <d v="1899-12-30T14:09:48"/>
    <s v="XIAOMI SCHELL"/>
  </r>
  <r>
    <n v="1023366"/>
    <s v="VA"/>
    <s v="A"/>
    <d v="2026-04-05T00:00:00"/>
    <d v="2026-04-05T00:00:00"/>
    <m/>
    <n v="352"/>
    <s v="PS0005"/>
    <n v="6919"/>
    <n v="621298"/>
    <m/>
    <s v="455788******2828"/>
    <s v="Nac"/>
    <s v="COM"/>
    <x v="4"/>
    <n v="69"/>
    <x v="0"/>
    <n v="1.99"/>
    <n v="0.89"/>
    <n v="0.16"/>
    <n v="66.849999999999994"/>
    <n v="0"/>
    <m/>
    <n v="20260406"/>
    <m/>
    <s v="DEBITO"/>
    <n v="3974527"/>
    <s v="BCP"/>
    <m/>
    <m/>
    <d v="1899-12-30T14:46:35"/>
    <s v="XIAOMI SCHELL"/>
  </r>
  <r>
    <n v="1023366"/>
    <s v="VA"/>
    <s v="A"/>
    <d v="2026-04-05T00:00:00"/>
    <d v="2026-04-05T00:00:00"/>
    <m/>
    <n v="352"/>
    <s v="PS0005"/>
    <n v="6921"/>
    <n v="866435"/>
    <m/>
    <s v="447410******5857"/>
    <s v="Nac"/>
    <s v="COM"/>
    <x v="4"/>
    <n v="99"/>
    <x v="0"/>
    <n v="2.86"/>
    <n v="0.57999999999999996"/>
    <n v="0.1"/>
    <n v="96.04"/>
    <n v="0"/>
    <m/>
    <n v="20260406"/>
    <m/>
    <s v="CREDITO"/>
    <n v="3974527"/>
    <s v="BFALABELLA"/>
    <m/>
    <m/>
    <d v="1899-12-30T15:00:35"/>
    <s v="XIAOMI SCHELL"/>
  </r>
  <r>
    <n v="1023366"/>
    <s v="VA"/>
    <s v="A"/>
    <d v="2026-04-05T00:00:00"/>
    <d v="2026-04-05T00:00:00"/>
    <m/>
    <n v="352"/>
    <s v="PS0005"/>
    <n v="6923"/>
    <n v="6444"/>
    <m/>
    <s v="463402******0752"/>
    <s v="Nac"/>
    <s v="COM"/>
    <x v="4"/>
    <n v="2199"/>
    <x v="0"/>
    <n v="63.55"/>
    <n v="17.37"/>
    <n v="3.13"/>
    <n v="2132.3200000000002"/>
    <n v="0"/>
    <m/>
    <n v="20260406"/>
    <m/>
    <s v="CREDITO"/>
    <n v="3974527"/>
    <s v="BCP"/>
    <m/>
    <m/>
    <d v="1899-12-30T15:15:06"/>
    <s v="XIAOMI SCHELL"/>
  </r>
  <r>
    <n v="1023366"/>
    <s v="VA"/>
    <s v="A"/>
    <d v="2026-04-05T00:00:00"/>
    <d v="2026-04-05T00:00:00"/>
    <m/>
    <n v="352"/>
    <s v="PS0005"/>
    <n v="6925"/>
    <n v="9601"/>
    <m/>
    <s v="444437******4694"/>
    <s v="Nac"/>
    <s v="COM"/>
    <x v="4"/>
    <n v="199"/>
    <x v="0"/>
    <n v="5.75"/>
    <n v="0.77"/>
    <n v="0.14000000000000001"/>
    <n v="193.11"/>
    <n v="0"/>
    <m/>
    <n v="20260406"/>
    <m/>
    <s v="CREDITO"/>
    <n v="3974527"/>
    <s v="BCP"/>
    <m/>
    <m/>
    <d v="1899-12-30T15:19:54"/>
    <s v="XIAOMI SCHELL"/>
  </r>
  <r>
    <n v="1023366"/>
    <s v="VA"/>
    <s v="A"/>
    <d v="2026-04-05T00:00:00"/>
    <d v="2026-04-05T00:00:00"/>
    <m/>
    <n v="352"/>
    <s v="PS0005"/>
    <n v="6927"/>
    <n v="674743"/>
    <m/>
    <s v="455788******8681"/>
    <s v="Nac"/>
    <s v="COM"/>
    <x v="4"/>
    <n v="1729"/>
    <x v="0"/>
    <n v="49.97"/>
    <n v="22.31"/>
    <n v="4.0199999999999996"/>
    <n v="1675.01"/>
    <n v="0"/>
    <m/>
    <n v="20260406"/>
    <m/>
    <s v="DEBITO"/>
    <n v="3974527"/>
    <s v="BCP"/>
    <m/>
    <m/>
    <d v="1899-12-30T15:21:59"/>
    <s v="XIAOMI SCHELL"/>
  </r>
  <r>
    <n v="1023366"/>
    <s v="VA"/>
    <s v="A"/>
    <d v="2026-04-05T00:00:00"/>
    <d v="2026-04-05T00:00:00"/>
    <m/>
    <n v="352"/>
    <n v="65656565"/>
    <n v="6931"/>
    <n v="948220"/>
    <m/>
    <s v="455788******5391"/>
    <s v="Nac"/>
    <s v="COM"/>
    <x v="4"/>
    <n v="189"/>
    <x v="0"/>
    <n v="5.46"/>
    <n v="2.44"/>
    <n v="0.44"/>
    <n v="183.1"/>
    <n v="0"/>
    <m/>
    <n v="20260406"/>
    <m/>
    <s v="DEBITO"/>
    <n v="3974527"/>
    <s v="BCP"/>
    <m/>
    <s v="Yape"/>
    <d v="1899-12-30T16:48:27"/>
    <s v="XIAOMI SCHELL"/>
  </r>
  <r>
    <n v="1023366"/>
    <s v="VA"/>
    <s v="A"/>
    <d v="2026-04-05T00:00:00"/>
    <d v="2026-04-05T00:00:00"/>
    <m/>
    <n v="352"/>
    <s v="PS0005"/>
    <n v="6934"/>
    <n v="969034"/>
    <m/>
    <s v="455788******8945"/>
    <s v="Nac"/>
    <s v="COM"/>
    <x v="4"/>
    <n v="1799"/>
    <x v="0"/>
    <n v="51.99"/>
    <n v="23.21"/>
    <n v="4.18"/>
    <n v="1742.83"/>
    <n v="0"/>
    <m/>
    <n v="20260406"/>
    <m/>
    <s v="DEBITO"/>
    <n v="3974527"/>
    <s v="BCP"/>
    <m/>
    <m/>
    <d v="1899-12-30T17:02:13"/>
    <s v="XIAOMI SCHELL"/>
  </r>
  <r>
    <n v="1023366"/>
    <s v="VA"/>
    <s v="A"/>
    <d v="2026-04-05T00:00:00"/>
    <d v="2026-04-05T00:00:00"/>
    <m/>
    <n v="352"/>
    <s v="PS0005"/>
    <n v="6941"/>
    <n v="6180"/>
    <m/>
    <s v="445330******4607"/>
    <s v="Nac"/>
    <s v="COM"/>
    <x v="4"/>
    <n v="179"/>
    <x v="0"/>
    <n v="5.17"/>
    <n v="1.41"/>
    <n v="0.25"/>
    <n v="173.58"/>
    <n v="0"/>
    <m/>
    <n v="20260406"/>
    <m/>
    <s v="CREDITO"/>
    <n v="3974527"/>
    <s v="BCP"/>
    <m/>
    <m/>
    <d v="1899-12-30T17:58:42"/>
    <s v="XIAOMI SCHELL"/>
  </r>
  <r>
    <n v="1023366"/>
    <s v="VA"/>
    <s v="A"/>
    <d v="2026-04-05T00:00:00"/>
    <d v="2026-04-05T00:00:00"/>
    <m/>
    <n v="352"/>
    <n v="65656565"/>
    <n v="6943"/>
    <n v="515857"/>
    <m/>
    <s v="421355******2847"/>
    <s v="Nac"/>
    <s v="COM"/>
    <x v="4"/>
    <n v="89.9"/>
    <x v="0"/>
    <n v="2.59"/>
    <n v="1.1499999999999999"/>
    <n v="0.21"/>
    <n v="87.1"/>
    <n v="0"/>
    <m/>
    <n v="20260406"/>
    <m/>
    <s v="DEBITO"/>
    <n v="3974527"/>
    <s v="IBK PRIVADA"/>
    <m/>
    <s v="IBK Plin"/>
    <d v="1899-12-30T18:10:52"/>
    <s v="XIAOMI SCHELL"/>
  </r>
  <r>
    <n v="1023366"/>
    <s v="VA"/>
    <s v="A"/>
    <d v="2026-04-05T00:00:00"/>
    <d v="2026-04-05T00:00:00"/>
    <m/>
    <n v="352"/>
    <s v="PS0005"/>
    <n v="6946"/>
    <n v="5604"/>
    <m/>
    <s v="428076******4056"/>
    <s v="Nac"/>
    <s v="COM"/>
    <x v="4"/>
    <n v="199"/>
    <x v="0"/>
    <n v="5.75"/>
    <n v="0.77"/>
    <n v="0.14000000000000001"/>
    <n v="193.11"/>
    <n v="0"/>
    <m/>
    <n v="20260406"/>
    <m/>
    <s v="CREDITO"/>
    <n v="3974527"/>
    <s v="BCP"/>
    <m/>
    <m/>
    <d v="1899-12-30T18:14:18"/>
    <s v="XIAOMI SCHELL"/>
  </r>
  <r>
    <n v="1023366"/>
    <s v="VA"/>
    <s v="A"/>
    <d v="2026-04-05T00:00:00"/>
    <d v="2026-04-05T00:00:00"/>
    <m/>
    <n v="352"/>
    <s v="PS0005"/>
    <n v="6948"/>
    <n v="955944"/>
    <m/>
    <s v="455788******7506"/>
    <s v="Nac"/>
    <s v="COM"/>
    <x v="4"/>
    <n v="59"/>
    <x v="0"/>
    <n v="1.71"/>
    <n v="0.77"/>
    <n v="0.14000000000000001"/>
    <n v="57.15"/>
    <n v="0"/>
    <m/>
    <n v="20260406"/>
    <m/>
    <s v="DEBITO"/>
    <n v="3974527"/>
    <s v="BCP"/>
    <m/>
    <m/>
    <d v="1899-12-30T18:15:57"/>
    <s v="XIAOMI SCHELL"/>
  </r>
  <r>
    <n v="1023366"/>
    <s v="VA"/>
    <s v="A"/>
    <d v="2026-04-05T00:00:00"/>
    <d v="2026-04-05T00:00:00"/>
    <m/>
    <n v="352"/>
    <s v="PS0005"/>
    <n v="6950"/>
    <n v="9445"/>
    <m/>
    <s v="445330******5290"/>
    <s v="Nac"/>
    <s v="COM"/>
    <x v="4"/>
    <n v="149"/>
    <x v="0"/>
    <n v="4.3099999999999996"/>
    <n v="1.18"/>
    <n v="0.21"/>
    <n v="144.47999999999999"/>
    <n v="0"/>
    <m/>
    <n v="20260406"/>
    <m/>
    <s v="CREDITO"/>
    <n v="3974527"/>
    <s v="BCP"/>
    <m/>
    <m/>
    <d v="1899-12-30T18:36:46"/>
    <s v="XIAOMI SCHELL"/>
  </r>
  <r>
    <n v="1023366"/>
    <s v="VA"/>
    <s v="A"/>
    <d v="2026-04-05T00:00:00"/>
    <d v="2026-04-05T00:00:00"/>
    <m/>
    <n v="352"/>
    <s v="PS0005"/>
    <n v="6952"/>
    <n v="7895"/>
    <m/>
    <s v="428083******0336"/>
    <s v="Nac"/>
    <s v="COM"/>
    <x v="4"/>
    <n v="937"/>
    <x v="0"/>
    <n v="27.08"/>
    <n v="3.65"/>
    <n v="0.66"/>
    <n v="909.26"/>
    <n v="0"/>
    <m/>
    <n v="20260406"/>
    <m/>
    <s v="CREDITO"/>
    <n v="3974527"/>
    <s v="BCP"/>
    <m/>
    <m/>
    <d v="1899-12-30T18:50:44"/>
    <s v="XIAOMI SCHELL"/>
  </r>
  <r>
    <n v="1023366"/>
    <s v="VA"/>
    <s v="A"/>
    <d v="2026-04-05T00:00:00"/>
    <d v="2026-04-05T00:00:00"/>
    <m/>
    <n v="352"/>
    <s v="PS0005"/>
    <n v="6954"/>
    <n v="994036"/>
    <m/>
    <s v="455788******8989"/>
    <s v="Nac"/>
    <s v="COM"/>
    <x v="4"/>
    <n v="588"/>
    <x v="0"/>
    <n v="16.989999999999998"/>
    <n v="7.58"/>
    <n v="1.36"/>
    <n v="569.65"/>
    <n v="0"/>
    <m/>
    <n v="20260406"/>
    <m/>
    <s v="DEBITO"/>
    <n v="3974527"/>
    <s v="VISA LOC"/>
    <m/>
    <m/>
    <d v="1899-12-30T19:01:57"/>
    <s v="XIAOMI SCHELL"/>
  </r>
  <r>
    <n v="1023366"/>
    <s v="VA"/>
    <s v="A"/>
    <d v="2026-04-05T00:00:00"/>
    <d v="2026-04-05T00:00:00"/>
    <m/>
    <n v="352"/>
    <s v="PS0005"/>
    <n v="6956"/>
    <n v="998273"/>
    <m/>
    <s v="455788******6068"/>
    <s v="Nac"/>
    <s v="COM"/>
    <x v="4"/>
    <n v="129"/>
    <x v="0"/>
    <n v="3.73"/>
    <n v="1.67"/>
    <n v="0.3"/>
    <n v="124.97"/>
    <n v="0"/>
    <m/>
    <n v="20260406"/>
    <m/>
    <s v="DEBITO"/>
    <n v="3974527"/>
    <s v="BCP"/>
    <m/>
    <m/>
    <d v="1899-12-30T19:04:24"/>
    <s v="XIAOMI SCHELL"/>
  </r>
  <r>
    <n v="1023366"/>
    <s v="VA"/>
    <s v="A"/>
    <d v="2026-04-05T00:00:00"/>
    <d v="2026-04-05T00:00:00"/>
    <m/>
    <n v="352"/>
    <s v="PS0005"/>
    <n v="6959"/>
    <s v="BSWCKW"/>
    <m/>
    <s v="491793******7451"/>
    <s v="Ext"/>
    <s v="COM"/>
    <x v="4"/>
    <n v="417"/>
    <x v="0"/>
    <n v="16.260000000000002"/>
    <n v="7.92"/>
    <n v="1.43"/>
    <n v="399.31"/>
    <n v="0"/>
    <m/>
    <n v="20260406"/>
    <m/>
    <s v="DEBITO"/>
    <n v="3974527"/>
    <s v="VISA INT"/>
    <m/>
    <m/>
    <d v="1899-12-30T19:07:09"/>
    <s v="XIAOMI SCHELL"/>
  </r>
  <r>
    <n v="1023366"/>
    <s v="VA"/>
    <s v="A"/>
    <d v="2026-04-05T00:00:00"/>
    <d v="2026-04-05T00:00:00"/>
    <m/>
    <n v="352"/>
    <s v="PS0005"/>
    <n v="6963"/>
    <n v="190859"/>
    <m/>
    <s v="421355******0749"/>
    <s v="Nac"/>
    <s v="COM"/>
    <x v="4"/>
    <n v="34.799999999999997"/>
    <x v="0"/>
    <n v="1.01"/>
    <n v="0.45"/>
    <n v="0.08"/>
    <n v="33.71"/>
    <n v="0"/>
    <m/>
    <n v="20260406"/>
    <m/>
    <s v="DEBITO"/>
    <n v="3974527"/>
    <s v="IBK PRIVADA"/>
    <m/>
    <m/>
    <d v="1899-12-30T19:23:10"/>
    <s v="XIAOMI SCHELL"/>
  </r>
  <r>
    <n v="1023366"/>
    <s v="VA"/>
    <s v="A"/>
    <d v="2026-04-05T00:00:00"/>
    <d v="2026-04-05T00:00:00"/>
    <m/>
    <n v="352"/>
    <s v="PS0005"/>
    <n v="6970"/>
    <n v="531967"/>
    <m/>
    <s v="477045******9700"/>
    <s v="Ext"/>
    <s v="COM"/>
    <x v="4"/>
    <n v="149"/>
    <x v="0"/>
    <n v="5.81"/>
    <n v="4.18"/>
    <n v="0.75"/>
    <n v="142.44"/>
    <n v="0"/>
    <m/>
    <n v="20260406"/>
    <m/>
    <s v="CREDITO"/>
    <n v="3974527"/>
    <s v="VISA INT"/>
    <m/>
    <m/>
    <d v="1899-12-30T19:39:44"/>
    <s v="XIAOMI SCHELL"/>
  </r>
  <r>
    <n v="1023366"/>
    <s v="VA"/>
    <s v="A"/>
    <d v="2026-04-05T00:00:00"/>
    <d v="2026-04-05T00:00:00"/>
    <m/>
    <n v="352"/>
    <s v="PS0005"/>
    <n v="6972"/>
    <n v="304812"/>
    <m/>
    <s v="455170******4024"/>
    <s v="Nac"/>
    <s v="COM"/>
    <x v="4"/>
    <n v="1499"/>
    <x v="0"/>
    <n v="43.32"/>
    <n v="19.34"/>
    <n v="3.48"/>
    <n v="1452.2"/>
    <n v="0"/>
    <m/>
    <n v="20260406"/>
    <m/>
    <s v="DEBITO"/>
    <n v="3974527"/>
    <s v="BBVA"/>
    <m/>
    <m/>
    <d v="1899-12-30T19:45:56"/>
    <s v="XIAOMI SCHELL"/>
  </r>
  <r>
    <n v="1023366"/>
    <s v="VA"/>
    <s v="A"/>
    <d v="2026-04-05T00:00:00"/>
    <d v="2026-04-05T00:00:00"/>
    <m/>
    <n v="352"/>
    <s v="PS0005"/>
    <n v="6974"/>
    <n v="335170"/>
    <m/>
    <s v="491909******5419"/>
    <s v="Nac"/>
    <s v="COM"/>
    <x v="4"/>
    <n v="105"/>
    <x v="0"/>
    <n v="3.03"/>
    <n v="0.82"/>
    <n v="0.15"/>
    <n v="101.82"/>
    <n v="0"/>
    <m/>
    <n v="20260406"/>
    <m/>
    <s v="CREDITO"/>
    <n v="3974527"/>
    <s v="BBVA"/>
    <m/>
    <m/>
    <d v="1899-12-30T19:54:57"/>
    <s v="XIAOMI SCHELL"/>
  </r>
  <r>
    <n v="1023366"/>
    <s v="VA"/>
    <s v="A"/>
    <d v="2026-04-05T00:00:00"/>
    <d v="2026-04-05T00:00:00"/>
    <m/>
    <n v="352"/>
    <s v="PS0005"/>
    <n v="6976"/>
    <n v="349242"/>
    <m/>
    <s v="444355******4942"/>
    <s v="Nac"/>
    <s v="COM"/>
    <x v="4"/>
    <n v="349"/>
    <x v="0"/>
    <n v="10.09"/>
    <n v="2.06"/>
    <n v="0.37"/>
    <n v="338.54"/>
    <n v="14463.68"/>
    <d v="2026-04-06T00:00:00"/>
    <n v="20260406"/>
    <m/>
    <s v="CREDITO"/>
    <n v="3974527"/>
    <s v="BBVA"/>
    <m/>
    <m/>
    <d v="1899-12-30T19:59:15"/>
    <s v="XIAOMI SCHELL"/>
  </r>
  <r>
    <n v="1023366"/>
    <s v="VK"/>
    <s v="A"/>
    <d v="2026-04-05T00:00:00"/>
    <d v="2026-04-05T00:00:00"/>
    <m/>
    <n v="352"/>
    <s v="PS0005"/>
    <n v="6929"/>
    <n v="66909"/>
    <m/>
    <s v="404071******4580"/>
    <s v="Nac"/>
    <s v="COM"/>
    <x v="4"/>
    <n v="143.1"/>
    <x v="0"/>
    <n v="4.1399999999999997"/>
    <n v="1.1299999999999999"/>
    <n v="0.2"/>
    <n v="138.76"/>
    <n v="138.76"/>
    <d v="2026-04-06T00:00:00"/>
    <n v="20260406"/>
    <m/>
    <s v="CREDITO"/>
    <n v="3974527"/>
    <s v="SIP MC"/>
    <m/>
    <m/>
    <d v="1899-12-30T15:41:15"/>
    <s v="XIAOMI SCHELL"/>
  </r>
  <r>
    <n v="1023366"/>
    <s v="MC"/>
    <s v="A"/>
    <d v="2026-04-06T00:00:00"/>
    <d v="2026-04-06T00:00:00"/>
    <m/>
    <n v="353"/>
    <s v="PS0005"/>
    <n v="7015"/>
    <n v="505939"/>
    <m/>
    <s v="542386******4821"/>
    <s v="Ext"/>
    <s v="COM"/>
    <x v="5"/>
    <n v="17.899999999999999"/>
    <x v="0"/>
    <n v="0.7"/>
    <n v="0.41"/>
    <n v="7.0000000000000007E-2"/>
    <n v="17.13"/>
    <n v="0"/>
    <m/>
    <n v="20260407"/>
    <m/>
    <s v="CREDITO"/>
    <n v="3974527"/>
    <s v="MCI C. INTER"/>
    <m/>
    <m/>
    <d v="1899-12-30T13:59:31"/>
    <s v="XIAOMI SCHELL"/>
  </r>
  <r>
    <n v="1023366"/>
    <s v="MC"/>
    <s v="A"/>
    <d v="2026-04-06T00:00:00"/>
    <d v="2026-04-06T00:00:00"/>
    <m/>
    <n v="353"/>
    <s v="PS0005"/>
    <n v="7035"/>
    <n v="243565"/>
    <m/>
    <s v="511842******3814"/>
    <s v="Nac"/>
    <s v="COM"/>
    <x v="5"/>
    <n v="69"/>
    <x v="0"/>
    <n v="1.99"/>
    <n v="0.78"/>
    <n v="0.14000000000000001"/>
    <n v="66.87"/>
    <n v="0"/>
    <m/>
    <n v="20260407"/>
    <m/>
    <s v="DEBITO"/>
    <n v="3974527"/>
    <s v="SCOTIA DEBIT"/>
    <m/>
    <m/>
    <d v="1899-12-30T18:33:03"/>
    <s v="XIAOMI SCHELL"/>
  </r>
  <r>
    <n v="1023366"/>
    <s v="MC"/>
    <s v="A"/>
    <d v="2026-04-06T00:00:00"/>
    <d v="2026-04-06T00:00:00"/>
    <m/>
    <n v="353"/>
    <s v="PS0005"/>
    <n v="7075"/>
    <n v="268911"/>
    <m/>
    <s v="544853******5991"/>
    <s v="Nac"/>
    <s v="COM"/>
    <x v="5"/>
    <n v="349"/>
    <x v="0"/>
    <n v="10.09"/>
    <n v="3.98"/>
    <n v="0.72"/>
    <n v="338.19"/>
    <n v="422.19"/>
    <d v="2026-04-07T00:00:00"/>
    <n v="20260407"/>
    <m/>
    <s v="DEBITO"/>
    <n v="3974527"/>
    <s v="SCOTIA DEBIT"/>
    <m/>
    <m/>
    <d v="1899-12-30T20:47:15"/>
    <s v="XIAOMI SCHELL"/>
  </r>
  <r>
    <n v="1023366"/>
    <s v="VA"/>
    <s v="A"/>
    <d v="2026-04-06T00:00:00"/>
    <d v="2026-04-06T00:00:00"/>
    <m/>
    <n v="353"/>
    <s v="PS0005"/>
    <n v="6991"/>
    <n v="35205"/>
    <m/>
    <s v="407067******5777"/>
    <s v="Nac"/>
    <s v="COM"/>
    <x v="5"/>
    <n v="149"/>
    <x v="0"/>
    <n v="4.3099999999999996"/>
    <n v="0.57999999999999996"/>
    <n v="0.1"/>
    <n v="144.59"/>
    <n v="0"/>
    <m/>
    <n v="20260407"/>
    <m/>
    <s v="CREDITO"/>
    <n v="3974527"/>
    <s v="SCOTIABANK"/>
    <m/>
    <m/>
    <d v="1899-12-30T10:04:33"/>
    <s v="XIAOMI SCHELL"/>
  </r>
  <r>
    <n v="1023366"/>
    <s v="VA"/>
    <s v="A"/>
    <d v="2026-04-06T00:00:00"/>
    <d v="2026-04-06T00:00:00"/>
    <m/>
    <n v="353"/>
    <n v="65656565"/>
    <n v="6993"/>
    <n v="164150"/>
    <m/>
    <s v="427158******2264"/>
    <s v="Nac"/>
    <s v="COM"/>
    <x v="5"/>
    <n v="149"/>
    <x v="0"/>
    <n v="4.3"/>
    <n v="1.92"/>
    <n v="0.35"/>
    <n v="144.35"/>
    <n v="0"/>
    <m/>
    <n v="20260407"/>
    <m/>
    <s v="DEBITO"/>
    <n v="3974527"/>
    <s v="SCOTIABANK"/>
    <m/>
    <s v="SBK Plin"/>
    <d v="1899-12-30T10:06:57"/>
    <s v="XIAOMI SCHELL"/>
  </r>
  <r>
    <n v="1023366"/>
    <s v="VA"/>
    <s v="A"/>
    <d v="2026-04-06T00:00:00"/>
    <d v="2026-04-06T00:00:00"/>
    <m/>
    <n v="353"/>
    <s v="PS0005"/>
    <n v="6997"/>
    <n v="143644"/>
    <m/>
    <s v="439701******1079"/>
    <s v="Ext"/>
    <s v="COM"/>
    <x v="5"/>
    <n v="105"/>
    <x v="0"/>
    <n v="4.0999999999999996"/>
    <n v="2.16"/>
    <n v="0.39"/>
    <n v="100.51"/>
    <n v="0"/>
    <m/>
    <n v="20260407"/>
    <m/>
    <s v="DEBITO"/>
    <n v="3974527"/>
    <s v="VISA INT"/>
    <m/>
    <m/>
    <d v="1899-12-30T11:30:14"/>
    <s v="XIAOMI SCHELL"/>
  </r>
  <r>
    <n v="1023366"/>
    <s v="VA"/>
    <s v="A"/>
    <d v="2026-04-06T00:00:00"/>
    <d v="2026-04-06T00:00:00"/>
    <m/>
    <n v="353"/>
    <s v="PS0005"/>
    <n v="6999"/>
    <n v="363554"/>
    <m/>
    <s v="455696******3252"/>
    <s v="Nac"/>
    <s v="COM"/>
    <x v="5"/>
    <n v="349"/>
    <x v="0"/>
    <n v="10.09"/>
    <n v="2.06"/>
    <n v="0.37"/>
    <n v="338.54"/>
    <n v="0"/>
    <m/>
    <n v="20260407"/>
    <m/>
    <s v="CREDITO"/>
    <n v="3974527"/>
    <s v="IBK PRIVADA"/>
    <m/>
    <m/>
    <d v="1899-12-30T11:36:27"/>
    <s v="XIAOMI SCHELL"/>
  </r>
  <r>
    <n v="1023366"/>
    <s v="VA"/>
    <s v="A"/>
    <d v="2026-04-06T00:00:00"/>
    <d v="2026-04-06T00:00:00"/>
    <m/>
    <n v="353"/>
    <s v="PS0005"/>
    <n v="7001"/>
    <n v="571824"/>
    <m/>
    <s v="421355******8177"/>
    <s v="Nac"/>
    <s v="COM"/>
    <x v="5"/>
    <n v="89"/>
    <x v="0"/>
    <n v="2.57"/>
    <n v="1.1499999999999999"/>
    <n v="0.21"/>
    <n v="86.22"/>
    <n v="0"/>
    <m/>
    <n v="20260407"/>
    <m/>
    <s v="DEBITO"/>
    <n v="3974527"/>
    <s v="IBK PRIVADA"/>
    <m/>
    <m/>
    <d v="1899-12-30T12:23:26"/>
    <s v="XIAOMI SCHELL"/>
  </r>
  <r>
    <n v="1023366"/>
    <s v="VA"/>
    <s v="A"/>
    <d v="2026-04-06T00:00:00"/>
    <d v="2026-04-06T00:00:00"/>
    <m/>
    <n v="353"/>
    <s v="PS0005"/>
    <n v="7003"/>
    <n v="7293"/>
    <m/>
    <s v="444437******6252"/>
    <s v="Nac"/>
    <s v="COM"/>
    <x v="5"/>
    <n v="749"/>
    <x v="0"/>
    <n v="21.65"/>
    <n v="2.92"/>
    <n v="0.53"/>
    <n v="726.82"/>
    <n v="0"/>
    <m/>
    <n v="20260407"/>
    <m/>
    <s v="CREDITO"/>
    <n v="3974527"/>
    <s v="BCP"/>
    <m/>
    <m/>
    <d v="1899-12-30T12:30:18"/>
    <s v="XIAOMI SCHELL"/>
  </r>
  <r>
    <n v="1023366"/>
    <s v="VA"/>
    <s v="A"/>
    <d v="2026-04-06T00:00:00"/>
    <d v="2026-04-06T00:00:00"/>
    <m/>
    <n v="353"/>
    <n v="65656565"/>
    <n v="7005"/>
    <n v="945765"/>
    <m/>
    <s v="455788******6066"/>
    <s v="Nac"/>
    <s v="COM"/>
    <x v="5"/>
    <n v="14.9"/>
    <x v="0"/>
    <n v="0.43"/>
    <n v="0.19"/>
    <n v="0.03"/>
    <n v="14.44"/>
    <n v="0"/>
    <m/>
    <n v="20260407"/>
    <m/>
    <s v="DEBITO"/>
    <n v="3974527"/>
    <s v="BCP"/>
    <m/>
    <s v="Yape"/>
    <d v="1899-12-30T12:47:33"/>
    <s v="XIAOMI SCHELL"/>
  </r>
  <r>
    <n v="1023366"/>
    <s v="VA"/>
    <s v="A"/>
    <d v="2026-04-06T00:00:00"/>
    <d v="2026-04-06T00:00:00"/>
    <m/>
    <n v="353"/>
    <s v="PS0005"/>
    <n v="7008"/>
    <n v="43770"/>
    <m/>
    <s v="491914******3247"/>
    <s v="Nac"/>
    <s v="COM"/>
    <x v="5"/>
    <n v="55"/>
    <x v="0"/>
    <n v="1.59"/>
    <n v="0.32"/>
    <n v="0.06"/>
    <n v="53.35"/>
    <n v="0"/>
    <m/>
    <n v="20260407"/>
    <m/>
    <s v="CREDITO"/>
    <n v="3974527"/>
    <s v="BBVA"/>
    <m/>
    <m/>
    <d v="1899-12-30T12:57:34"/>
    <s v="XIAOMI SCHELL"/>
  </r>
  <r>
    <n v="1023366"/>
    <s v="VA"/>
    <s v="A"/>
    <d v="2026-04-06T00:00:00"/>
    <d v="2026-04-06T00:00:00"/>
    <m/>
    <n v="353"/>
    <s v="PS0005"/>
    <n v="7010"/>
    <n v="428203"/>
    <m/>
    <s v="421355******0466"/>
    <s v="Nac"/>
    <s v="COM"/>
    <x v="5"/>
    <n v="89.9"/>
    <x v="0"/>
    <n v="2.6"/>
    <n v="1.1599999999999999"/>
    <n v="0.21"/>
    <n v="87.09"/>
    <n v="0"/>
    <m/>
    <n v="20260407"/>
    <m/>
    <s v="DEBITO"/>
    <n v="3974527"/>
    <s v="IBK PRIVADA"/>
    <m/>
    <m/>
    <d v="1899-12-30T13:37:04"/>
    <s v="XIAOMI SCHELL"/>
  </r>
  <r>
    <n v="1023366"/>
    <s v="VA"/>
    <s v="A"/>
    <d v="2026-04-06T00:00:00"/>
    <d v="2026-04-06T00:00:00"/>
    <m/>
    <n v="353"/>
    <n v="65656565"/>
    <n v="7012"/>
    <n v="777512"/>
    <m/>
    <s v="421355******2940"/>
    <s v="Nac"/>
    <s v="COM"/>
    <x v="5"/>
    <n v="89.9"/>
    <x v="0"/>
    <n v="2.59"/>
    <n v="1.1499999999999999"/>
    <n v="0.21"/>
    <n v="87.1"/>
    <n v="0"/>
    <m/>
    <n v="20260407"/>
    <m/>
    <s v="DEBITO"/>
    <n v="3974527"/>
    <s v="IBK PRIVADA"/>
    <m/>
    <s v="IBK Plin"/>
    <d v="1899-12-30T13:43:42"/>
    <s v="XIAOMI SCHELL"/>
  </r>
  <r>
    <n v="1023366"/>
    <s v="VA"/>
    <s v="A"/>
    <d v="2026-04-06T00:00:00"/>
    <d v="2026-04-06T00:00:00"/>
    <m/>
    <n v="353"/>
    <s v="PS0005"/>
    <n v="7017"/>
    <n v="288527"/>
    <m/>
    <s v="455103******5957"/>
    <s v="Nac"/>
    <s v="COM"/>
    <x v="5"/>
    <n v="129"/>
    <x v="0"/>
    <n v="3.73"/>
    <n v="1.67"/>
    <n v="0.3"/>
    <n v="124.97"/>
    <n v="0"/>
    <m/>
    <n v="20260407"/>
    <m/>
    <s v="DEBITO"/>
    <n v="3974527"/>
    <s v="BBVA"/>
    <m/>
    <m/>
    <d v="1899-12-30T14:01:50"/>
    <s v="XIAOMI SCHELL"/>
  </r>
  <r>
    <n v="1023366"/>
    <s v="VA"/>
    <s v="A"/>
    <d v="2026-04-06T00:00:00"/>
    <d v="2026-04-06T00:00:00"/>
    <m/>
    <n v="353"/>
    <s v="PS0005"/>
    <n v="7019"/>
    <n v="63684"/>
    <m/>
    <s v="491257******5915"/>
    <s v="Nac"/>
    <s v="COM"/>
    <x v="5"/>
    <n v="149"/>
    <x v="0"/>
    <n v="4.3099999999999996"/>
    <n v="1.93"/>
    <n v="0.35"/>
    <n v="144.34"/>
    <n v="0"/>
    <m/>
    <n v="20260407"/>
    <m/>
    <s v="DEBITO"/>
    <n v="3974527"/>
    <s v="IBK PRIVADA"/>
    <m/>
    <m/>
    <d v="1899-12-30T14:13:34"/>
    <s v="XIAOMI SCHELL"/>
  </r>
  <r>
    <n v="1023366"/>
    <s v="VA"/>
    <s v="A"/>
    <d v="2026-04-06T00:00:00"/>
    <d v="2026-04-06T00:00:00"/>
    <m/>
    <n v="353"/>
    <s v="PS0005"/>
    <n v="7021"/>
    <n v="81864"/>
    <m/>
    <s v="411090******9399"/>
    <s v="Nac"/>
    <s v="COM"/>
    <x v="5"/>
    <n v="672"/>
    <x v="0"/>
    <n v="19.420000000000002"/>
    <n v="3.96"/>
    <n v="0.71"/>
    <n v="651.87"/>
    <n v="0"/>
    <m/>
    <n v="20260407"/>
    <m/>
    <s v="CREDITO"/>
    <n v="3974527"/>
    <s v="IBK PRIVADA"/>
    <m/>
    <m/>
    <d v="1899-12-30T16:08:10"/>
    <s v="XIAOMI SCHELL"/>
  </r>
  <r>
    <n v="1023366"/>
    <s v="VA"/>
    <s v="A"/>
    <d v="2026-04-06T00:00:00"/>
    <d v="2026-04-06T00:00:00"/>
    <m/>
    <n v="353"/>
    <s v="PS0005"/>
    <n v="7024"/>
    <n v="753598"/>
    <m/>
    <s v="464083******1293"/>
    <s v="Ext"/>
    <s v="COM"/>
    <x v="5"/>
    <n v="349"/>
    <x v="0"/>
    <n v="13.61"/>
    <n v="6.7"/>
    <n v="1.21"/>
    <n v="334.18"/>
    <n v="0"/>
    <m/>
    <n v="20260407"/>
    <m/>
    <s v="DEBITO"/>
    <n v="3974527"/>
    <s v="VISA INT"/>
    <m/>
    <m/>
    <d v="1899-12-30T17:04:42"/>
    <s v="XIAOMI SCHELL"/>
  </r>
  <r>
    <n v="1023366"/>
    <s v="VA"/>
    <s v="A"/>
    <d v="2026-04-06T00:00:00"/>
    <d v="2026-04-06T00:00:00"/>
    <m/>
    <n v="353"/>
    <s v="PS0005"/>
    <n v="7026"/>
    <n v="38897"/>
    <m/>
    <s v="494386******2189"/>
    <s v="Nac"/>
    <s v="COM"/>
    <x v="5"/>
    <n v="55"/>
    <x v="0"/>
    <n v="1.59"/>
    <n v="0.43"/>
    <n v="0.08"/>
    <n v="53.33"/>
    <n v="0"/>
    <m/>
    <n v="20260407"/>
    <m/>
    <s v="CREDITO"/>
    <n v="3974527"/>
    <s v="SCOTIABANK"/>
    <m/>
    <m/>
    <d v="1899-12-30T17:14:42"/>
    <s v="XIAOMI SCHELL"/>
  </r>
  <r>
    <n v="1023366"/>
    <s v="VA"/>
    <s v="A"/>
    <d v="2026-04-06T00:00:00"/>
    <d v="2026-04-06T00:00:00"/>
    <m/>
    <n v="353"/>
    <s v="PS0005"/>
    <n v="7028"/>
    <n v="942909"/>
    <n v="3"/>
    <s v="444354******2642"/>
    <s v="Nac"/>
    <s v="COM"/>
    <x v="5"/>
    <n v="1799"/>
    <x v="0"/>
    <n v="83.47"/>
    <n v="7.01"/>
    <n v="1.26"/>
    <n v="1714.27"/>
    <n v="0"/>
    <m/>
    <n v="20260407"/>
    <m/>
    <s v="CREDITO"/>
    <n v="3974527"/>
    <s v="BBVA"/>
    <s v="SI"/>
    <m/>
    <d v="1899-12-30T17:22:56"/>
    <s v="XIAOMI SCHELL"/>
  </r>
  <r>
    <n v="1023366"/>
    <s v="VA"/>
    <s v="A"/>
    <d v="2026-04-06T00:00:00"/>
    <d v="2026-04-06T00:00:00"/>
    <m/>
    <n v="353"/>
    <s v="PS0005"/>
    <n v="7030"/>
    <n v="432385"/>
    <m/>
    <s v="455788******9833"/>
    <s v="Nac"/>
    <s v="COM"/>
    <x v="5"/>
    <n v="199"/>
    <x v="0"/>
    <n v="5.75"/>
    <n v="2.57"/>
    <n v="0.46"/>
    <n v="192.79"/>
    <n v="0"/>
    <m/>
    <n v="20260407"/>
    <m/>
    <s v="DEBITO"/>
    <n v="3974527"/>
    <s v="BCP"/>
    <m/>
    <m/>
    <d v="1899-12-30T17:25:04"/>
    <s v="XIAOMI SCHELL"/>
  </r>
  <r>
    <n v="1023366"/>
    <s v="VA"/>
    <s v="A"/>
    <d v="2026-04-06T00:00:00"/>
    <d v="2026-04-06T00:00:00"/>
    <m/>
    <n v="353"/>
    <s v="PS0005"/>
    <n v="7033"/>
    <n v="210179"/>
    <m/>
    <s v="411515******2887"/>
    <s v="Nac"/>
    <s v="COM"/>
    <x v="5"/>
    <n v="89.9"/>
    <x v="0"/>
    <n v="2.6"/>
    <n v="1.1599999999999999"/>
    <n v="0.21"/>
    <n v="87.09"/>
    <n v="0"/>
    <m/>
    <n v="20260407"/>
    <m/>
    <s v="DEBITO"/>
    <n v="3974527"/>
    <s v="VISA LOC"/>
    <m/>
    <m/>
    <d v="1899-12-30T17:54:20"/>
    <s v="XIAOMI SCHELL"/>
  </r>
  <r>
    <n v="1023366"/>
    <s v="VA"/>
    <s v="A"/>
    <d v="2026-04-06T00:00:00"/>
    <d v="2026-04-06T00:00:00"/>
    <m/>
    <n v="353"/>
    <s v="PS0005"/>
    <n v="7038"/>
    <n v="580300"/>
    <m/>
    <s v="472955******2282"/>
    <s v="Nac"/>
    <s v="COM"/>
    <x v="5"/>
    <n v="1799"/>
    <x v="0"/>
    <n v="51.99"/>
    <n v="23.21"/>
    <n v="4.18"/>
    <n v="1742.83"/>
    <n v="0"/>
    <m/>
    <n v="20260407"/>
    <m/>
    <s v="DEBITO"/>
    <n v="3974527"/>
    <s v="VISA LOC"/>
    <m/>
    <m/>
    <d v="1899-12-30T18:34:12"/>
    <s v="XIAOMI SCHELL"/>
  </r>
  <r>
    <n v="1023366"/>
    <s v="VA"/>
    <s v="A"/>
    <d v="2026-04-06T00:00:00"/>
    <d v="2026-04-06T00:00:00"/>
    <m/>
    <n v="353"/>
    <s v="PS0005"/>
    <n v="7040"/>
    <n v="351950"/>
    <m/>
    <s v="455696******6019"/>
    <s v="Nac"/>
    <s v="COM"/>
    <x v="5"/>
    <n v="89.9"/>
    <x v="0"/>
    <n v="2.6"/>
    <n v="0.71"/>
    <n v="0.13"/>
    <n v="87.17"/>
    <n v="0"/>
    <m/>
    <n v="20260407"/>
    <m/>
    <s v="CREDITO"/>
    <n v="3974527"/>
    <s v="IBK PRIVADA"/>
    <m/>
    <m/>
    <d v="1899-12-30T18:35:05"/>
    <s v="XIAOMI SCHELL"/>
  </r>
  <r>
    <n v="1023366"/>
    <s v="VA"/>
    <s v="A"/>
    <d v="2026-04-06T00:00:00"/>
    <d v="2026-04-06T00:00:00"/>
    <m/>
    <n v="353"/>
    <s v="PS0005"/>
    <n v="7042"/>
    <n v="362783"/>
    <m/>
    <s v="455696******3133"/>
    <s v="Nac"/>
    <s v="COM"/>
    <x v="5"/>
    <n v="179"/>
    <x v="0"/>
    <n v="5.17"/>
    <n v="0.69"/>
    <n v="0.12"/>
    <n v="173.71"/>
    <n v="0"/>
    <m/>
    <n v="20260407"/>
    <m/>
    <s v="CREDITO"/>
    <n v="3974527"/>
    <s v="IBK PRIVADA"/>
    <m/>
    <m/>
    <d v="1899-12-30T18:36:19"/>
    <s v="XIAOMI SCHELL"/>
  </r>
  <r>
    <n v="1023366"/>
    <s v="VA"/>
    <s v="A"/>
    <d v="2026-04-06T00:00:00"/>
    <d v="2026-04-06T00:00:00"/>
    <m/>
    <n v="353"/>
    <s v="PS0005"/>
    <n v="7044"/>
    <n v="265815"/>
    <m/>
    <s v="455103******2886"/>
    <s v="Nac"/>
    <s v="COM"/>
    <x v="5"/>
    <n v="2949"/>
    <x v="0"/>
    <n v="85.23"/>
    <n v="38.049999999999997"/>
    <n v="6.85"/>
    <n v="2856.92"/>
    <n v="0"/>
    <m/>
    <n v="20260407"/>
    <m/>
    <s v="DEBITO"/>
    <n v="3974527"/>
    <s v="BBVA"/>
    <m/>
    <m/>
    <d v="1899-12-30T18:43:59"/>
    <s v="XIAOMI SCHELL"/>
  </r>
  <r>
    <n v="1023366"/>
    <s v="VA"/>
    <s v="A"/>
    <d v="2026-04-06T00:00:00"/>
    <d v="2026-04-06T00:00:00"/>
    <m/>
    <n v="353"/>
    <s v="PS0005"/>
    <n v="7051"/>
    <n v="337943"/>
    <n v="3"/>
    <s v="491909******8251"/>
    <s v="Nac"/>
    <s v="COM"/>
    <x v="5"/>
    <n v="1799"/>
    <x v="0"/>
    <n v="83.47"/>
    <n v="14.21"/>
    <n v="2.56"/>
    <n v="1712.97"/>
    <n v="0"/>
    <m/>
    <n v="20260407"/>
    <m/>
    <s v="CREDITO"/>
    <n v="3974527"/>
    <s v="BBVA"/>
    <s v="SI"/>
    <m/>
    <d v="1899-12-30T19:01:03"/>
    <s v="XIAOMI SCHELL"/>
  </r>
  <r>
    <n v="1023366"/>
    <s v="VA"/>
    <s v="A"/>
    <d v="2026-04-06T00:00:00"/>
    <d v="2026-04-06T00:00:00"/>
    <m/>
    <n v="353"/>
    <n v="65656565"/>
    <n v="7055"/>
    <n v="900329"/>
    <m/>
    <s v="421355******0810"/>
    <s v="Nac"/>
    <s v="COM"/>
    <x v="5"/>
    <n v="89.9"/>
    <x v="0"/>
    <n v="2.59"/>
    <n v="1.1499999999999999"/>
    <n v="0.21"/>
    <n v="87.1"/>
    <n v="0"/>
    <m/>
    <n v="20260407"/>
    <m/>
    <s v="DEBITO"/>
    <n v="3974527"/>
    <s v="IBK PRIVADA"/>
    <m/>
    <s v="IBK Plin"/>
    <d v="1899-12-30T19:35:52"/>
    <s v="XIAOMI SCHELL"/>
  </r>
  <r>
    <n v="1023366"/>
    <s v="VA"/>
    <s v="A"/>
    <d v="2026-04-06T00:00:00"/>
    <d v="2026-04-06T00:00:00"/>
    <m/>
    <n v="353"/>
    <s v="PS0005"/>
    <n v="7058"/>
    <n v="256202"/>
    <m/>
    <s v="428581******5160"/>
    <s v="Nac"/>
    <s v="COM"/>
    <x v="5"/>
    <n v="149"/>
    <x v="0"/>
    <n v="4.3099999999999996"/>
    <n v="1.93"/>
    <n v="0.35"/>
    <n v="144.34"/>
    <n v="0"/>
    <m/>
    <n v="20260407"/>
    <m/>
    <s v="DEBITO"/>
    <n v="3974527"/>
    <s v="SCOTIABANK"/>
    <m/>
    <m/>
    <d v="1899-12-30T19:37:29"/>
    <s v="XIAOMI SCHELL"/>
  </r>
  <r>
    <n v="1023366"/>
    <s v="VA"/>
    <s v="A"/>
    <d v="2026-04-06T00:00:00"/>
    <d v="2026-04-06T00:00:00"/>
    <m/>
    <n v="353"/>
    <s v="PS0005"/>
    <n v="7060"/>
    <n v="576603"/>
    <m/>
    <s v="414791******3958"/>
    <s v="Nac"/>
    <s v="COM"/>
    <x v="5"/>
    <n v="109"/>
    <x v="0"/>
    <n v="3.15"/>
    <n v="0.64"/>
    <n v="0.12"/>
    <n v="105.73"/>
    <n v="0"/>
    <m/>
    <n v="20260407"/>
    <m/>
    <s v="CREDITO"/>
    <n v="3974527"/>
    <s v="BBVA"/>
    <m/>
    <m/>
    <d v="1899-12-30T19:58:42"/>
    <s v="XIAOMI SCHELL"/>
  </r>
  <r>
    <n v="1023366"/>
    <s v="VA"/>
    <s v="A"/>
    <d v="2026-04-06T00:00:00"/>
    <d v="2026-04-06T00:00:00"/>
    <m/>
    <n v="353"/>
    <s v="PS0005"/>
    <n v="7063"/>
    <n v="658821"/>
    <m/>
    <s v="438466******1454"/>
    <s v="Nac"/>
    <s v="COM"/>
    <x v="5"/>
    <n v="55"/>
    <x v="0"/>
    <n v="1.59"/>
    <n v="0.71"/>
    <n v="0.13"/>
    <n v="53.28"/>
    <n v="0"/>
    <m/>
    <n v="20260407"/>
    <m/>
    <s v="DEBITO"/>
    <n v="3974527"/>
    <s v="VISA LOC"/>
    <m/>
    <m/>
    <d v="1899-12-30T20:20:02"/>
    <s v="XIAOMI SCHELL"/>
  </r>
  <r>
    <n v="1023366"/>
    <s v="VA"/>
    <s v="A"/>
    <d v="2026-04-06T00:00:00"/>
    <d v="2026-04-06T00:00:00"/>
    <m/>
    <n v="353"/>
    <s v="PS0005"/>
    <n v="7065"/>
    <n v="732128"/>
    <m/>
    <s v="454776******3727"/>
    <s v="Nac"/>
    <s v="COM"/>
    <x v="5"/>
    <n v="1999"/>
    <x v="0"/>
    <n v="57.77"/>
    <n v="15.79"/>
    <n v="2.84"/>
    <n v="1938.39"/>
    <n v="0"/>
    <m/>
    <n v="20260407"/>
    <m/>
    <s v="DEBITO"/>
    <n v="3974527"/>
    <s v="IBK PRIVADA"/>
    <m/>
    <m/>
    <d v="1899-12-30T20:29:34"/>
    <s v="XIAOMI SCHELL"/>
  </r>
  <r>
    <n v="1023366"/>
    <s v="VA"/>
    <s v="A"/>
    <d v="2026-04-06T00:00:00"/>
    <d v="2026-04-06T00:00:00"/>
    <m/>
    <n v="353"/>
    <s v="PS0005"/>
    <n v="7067"/>
    <n v="803336"/>
    <m/>
    <s v="455788******8789"/>
    <s v="Nac"/>
    <s v="COM"/>
    <x v="5"/>
    <n v="89"/>
    <x v="0"/>
    <n v="2.57"/>
    <n v="1.1499999999999999"/>
    <n v="0.21"/>
    <n v="86.22"/>
    <n v="0"/>
    <m/>
    <n v="20260407"/>
    <m/>
    <s v="DEBITO"/>
    <n v="3974527"/>
    <s v="BCP"/>
    <m/>
    <m/>
    <d v="1899-12-30T20:36:26"/>
    <s v="XIAOMI SCHELL"/>
  </r>
  <r>
    <n v="1023366"/>
    <s v="VA"/>
    <s v="A"/>
    <d v="2026-04-06T00:00:00"/>
    <d v="2026-04-06T00:00:00"/>
    <m/>
    <n v="353"/>
    <s v="PS0005"/>
    <n v="7072"/>
    <n v="581988"/>
    <m/>
    <s v="466248******0340"/>
    <s v="Ext"/>
    <s v="COM"/>
    <x v="5"/>
    <n v="65"/>
    <x v="0"/>
    <n v="2.54"/>
    <n v="1.34"/>
    <n v="0.24"/>
    <n v="62.22"/>
    <n v="14136.73"/>
    <d v="2026-04-07T00:00:00"/>
    <n v="20260407"/>
    <m/>
    <s v="CREDITO"/>
    <n v="3974527"/>
    <s v="VISA INT"/>
    <m/>
    <m/>
    <d v="1899-12-30T20:46:13"/>
    <s v="XIAOMI SCHELL"/>
  </r>
  <r>
    <n v="1023366"/>
    <s v="MC"/>
    <s v="A"/>
    <d v="2026-04-07T00:00:00"/>
    <d v="2026-04-07T00:00:00"/>
    <m/>
    <n v="354"/>
    <s v="PS0005"/>
    <n v="7119"/>
    <n v="72470"/>
    <m/>
    <s v="525435******5963"/>
    <s v="Nac"/>
    <s v="COM"/>
    <x v="6"/>
    <n v="149"/>
    <x v="0"/>
    <n v="4.3099999999999996"/>
    <n v="1.18"/>
    <n v="0.21"/>
    <n v="144.47999999999999"/>
    <n v="0"/>
    <m/>
    <n v="20260408"/>
    <m/>
    <s v="CREDITO"/>
    <n v="3974527"/>
    <s v="BRIPLEY"/>
    <m/>
    <m/>
    <d v="1899-12-30T12:56:21"/>
    <s v="XIAOMI SCHELL"/>
  </r>
  <r>
    <n v="1023366"/>
    <s v="MC"/>
    <s v="A"/>
    <d v="2026-04-07T00:00:00"/>
    <d v="2026-04-07T00:00:00"/>
    <m/>
    <n v="354"/>
    <s v="PS0005"/>
    <n v="7182"/>
    <n v="835570"/>
    <m/>
    <s v="553650******4526"/>
    <s v="Nac"/>
    <s v="COM"/>
    <x v="6"/>
    <n v="1499"/>
    <x v="0"/>
    <n v="43.32"/>
    <n v="5.0999999999999996"/>
    <n v="0.92"/>
    <n v="1454.76"/>
    <n v="0"/>
    <m/>
    <n v="20260408"/>
    <m/>
    <s v="CREDITO"/>
    <n v="3974527"/>
    <s v="BBVA"/>
    <m/>
    <m/>
    <d v="1899-12-30T20:23:17"/>
    <s v="XIAOMI SCHELL"/>
  </r>
  <r>
    <n v="1023366"/>
    <s v="MC"/>
    <s v="A"/>
    <d v="2026-04-07T00:00:00"/>
    <d v="2026-04-07T00:00:00"/>
    <m/>
    <n v="354"/>
    <s v="PS0005"/>
    <n v="7184"/>
    <n v="119384"/>
    <m/>
    <s v="544853******8159"/>
    <s v="Nac"/>
    <s v="COM"/>
    <x v="6"/>
    <n v="158.9"/>
    <x v="0"/>
    <n v="4.59"/>
    <n v="1.81"/>
    <n v="0.33"/>
    <n v="153.97999999999999"/>
    <n v="1753.22"/>
    <d v="2026-04-08T00:00:00"/>
    <n v="20260408"/>
    <m/>
    <s v="DEBITO"/>
    <n v="3974527"/>
    <s v="SCOTIA DEBIT"/>
    <m/>
    <m/>
    <d v="1899-12-30T20:33:49"/>
    <s v="XIAOMI SCHELL"/>
  </r>
  <r>
    <n v="1023366"/>
    <s v="VA"/>
    <s v="A"/>
    <d v="2026-04-07T00:00:00"/>
    <d v="2026-04-07T00:00:00"/>
    <m/>
    <n v="660"/>
    <n v="65656565"/>
    <n v="9132"/>
    <n v="804109"/>
    <m/>
    <s v="455788******5885"/>
    <s v="Nac"/>
    <s v="COM"/>
    <x v="6"/>
    <n v="250"/>
    <x v="0"/>
    <n v="7.22"/>
    <n v="3.22"/>
    <n v="0.57999999999999996"/>
    <n v="242.2"/>
    <n v="0"/>
    <m/>
    <n v="20260408"/>
    <m/>
    <s v="DEBITO"/>
    <s v="FD8B1962"/>
    <s v="BCP"/>
    <m/>
    <s v="Yape"/>
    <d v="1899-12-30T14:47:33"/>
    <s v="XIAOMI SCHELL"/>
  </r>
  <r>
    <n v="1023366"/>
    <s v="VA"/>
    <s v="A"/>
    <d v="2026-04-07T00:00:00"/>
    <d v="2026-04-07T00:00:00"/>
    <m/>
    <n v="354"/>
    <s v="PS0005"/>
    <n v="7092"/>
    <n v="363039"/>
    <m/>
    <s v="455788******8904"/>
    <s v="Nac"/>
    <s v="COM"/>
    <x v="6"/>
    <n v="189"/>
    <x v="0"/>
    <n v="5.46"/>
    <n v="2.44"/>
    <n v="0.44"/>
    <n v="183.1"/>
    <n v="0"/>
    <m/>
    <n v="20260408"/>
    <m/>
    <s v="DEBITO"/>
    <n v="3974527"/>
    <s v="BCP"/>
    <m/>
    <m/>
    <d v="1899-12-30T10:42:38"/>
    <s v="XIAOMI SCHELL"/>
  </r>
  <r>
    <n v="1023366"/>
    <s v="VA"/>
    <s v="A"/>
    <d v="2026-04-07T00:00:00"/>
    <d v="2026-04-07T00:00:00"/>
    <m/>
    <n v="354"/>
    <s v="PS0005"/>
    <n v="7094"/>
    <n v="459870"/>
    <m/>
    <s v="455788******7178"/>
    <s v="Nac"/>
    <s v="COM"/>
    <x v="6"/>
    <n v="89.9"/>
    <x v="0"/>
    <n v="2.6"/>
    <n v="1.1599999999999999"/>
    <n v="0.21"/>
    <n v="87.09"/>
    <n v="0"/>
    <m/>
    <n v="20260408"/>
    <m/>
    <s v="DEBITO"/>
    <n v="3974527"/>
    <s v="BCP"/>
    <m/>
    <m/>
    <d v="1899-12-30T11:43:45"/>
    <s v="XIAOMI SCHELL"/>
  </r>
  <r>
    <n v="1023366"/>
    <s v="VA"/>
    <s v="A"/>
    <d v="2026-04-07T00:00:00"/>
    <d v="2026-04-07T00:00:00"/>
    <m/>
    <n v="354"/>
    <s v="PS0005"/>
    <n v="7100"/>
    <n v="86563"/>
    <n v="3"/>
    <s v="414791******2265"/>
    <s v="Nac"/>
    <s v="COM"/>
    <x v="6"/>
    <n v="49"/>
    <x v="0"/>
    <n v="2.2799999999999998"/>
    <n v="0.28999999999999998"/>
    <n v="0.05"/>
    <n v="46.67"/>
    <n v="0"/>
    <m/>
    <n v="20260408"/>
    <m/>
    <s v="CREDITO"/>
    <n v="3974527"/>
    <s v="BBVA"/>
    <s v="SI"/>
    <m/>
    <d v="1899-12-30T11:48:38"/>
    <s v="XIAOMI SCHELL"/>
  </r>
  <r>
    <n v="1023366"/>
    <s v="VA"/>
    <s v="A"/>
    <d v="2026-04-07T00:00:00"/>
    <d v="2026-04-07T00:00:00"/>
    <m/>
    <n v="354"/>
    <s v="PS0005"/>
    <n v="7104"/>
    <n v="95"/>
    <m/>
    <s v="463401******1912"/>
    <s v="Nac"/>
    <s v="COM"/>
    <x v="6"/>
    <n v="1499"/>
    <x v="0"/>
    <n v="43.32"/>
    <n v="11.84"/>
    <n v="2.13"/>
    <n v="1453.55"/>
    <n v="0"/>
    <m/>
    <n v="20260408"/>
    <m/>
    <s v="CREDITO"/>
    <n v="3974527"/>
    <s v="BCP"/>
    <m/>
    <m/>
    <d v="1899-12-30T11:51:34"/>
    <s v="XIAOMI SCHELL"/>
  </r>
  <r>
    <n v="1023366"/>
    <s v="VA"/>
    <s v="A"/>
    <d v="2026-04-07T00:00:00"/>
    <d v="2026-04-07T00:00:00"/>
    <m/>
    <n v="354"/>
    <s v="PS0005"/>
    <n v="7107"/>
    <n v="683483"/>
    <m/>
    <s v="458189******1355"/>
    <s v="Ext"/>
    <s v="COM"/>
    <x v="6"/>
    <n v="89.9"/>
    <x v="0"/>
    <n v="3.51"/>
    <n v="1.85"/>
    <n v="0.33"/>
    <n v="86.06"/>
    <n v="0"/>
    <m/>
    <n v="20260408"/>
    <m/>
    <s v="CREDITO"/>
    <n v="3974527"/>
    <s v="VISA INT"/>
    <m/>
    <m/>
    <d v="1899-12-30T12:01:52"/>
    <s v="XIAOMI SCHELL"/>
  </r>
  <r>
    <n v="1023366"/>
    <s v="VA"/>
    <s v="A"/>
    <d v="2026-04-07T00:00:00"/>
    <d v="2026-04-07T00:00:00"/>
    <m/>
    <n v="354"/>
    <s v="PS0005"/>
    <n v="7111"/>
    <n v="6386"/>
    <m/>
    <s v="428082******6856"/>
    <s v="Nac"/>
    <s v="COM"/>
    <x v="6"/>
    <n v="2949"/>
    <x v="0"/>
    <n v="85.23"/>
    <n v="17.399999999999999"/>
    <n v="3.13"/>
    <n v="2860.64"/>
    <n v="0"/>
    <m/>
    <n v="20260408"/>
    <m/>
    <s v="CREDITO"/>
    <n v="3974527"/>
    <s v="BCP"/>
    <m/>
    <m/>
    <d v="1899-12-30T12:36:14"/>
    <s v="XIAOMI SCHELL"/>
  </r>
  <r>
    <n v="1023366"/>
    <s v="VA"/>
    <s v="A"/>
    <d v="2026-04-07T00:00:00"/>
    <d v="2026-04-07T00:00:00"/>
    <m/>
    <n v="354"/>
    <s v="PS0005"/>
    <n v="7114"/>
    <n v="30500"/>
    <m/>
    <s v="463344******1509"/>
    <s v="Ext"/>
    <s v="COM"/>
    <x v="6"/>
    <n v="89.9"/>
    <x v="0"/>
    <n v="3.51"/>
    <n v="1.85"/>
    <n v="0.33"/>
    <n v="86.06"/>
    <n v="0"/>
    <m/>
    <n v="20260408"/>
    <m/>
    <s v="DEBITO"/>
    <n v="3974527"/>
    <s v="VISA INT"/>
    <m/>
    <m/>
    <d v="1899-12-30T12:43:33"/>
    <s v="XIAOMI SCHELL"/>
  </r>
  <r>
    <n v="1023366"/>
    <s v="VA"/>
    <s v="A"/>
    <d v="2026-04-07T00:00:00"/>
    <d v="2026-04-07T00:00:00"/>
    <m/>
    <n v="354"/>
    <s v="PS0005"/>
    <n v="7117"/>
    <n v="70872"/>
    <m/>
    <s v="424138******0141"/>
    <s v="Nac"/>
    <s v="COM"/>
    <x v="6"/>
    <n v="14.9"/>
    <x v="0"/>
    <n v="0.43"/>
    <n v="0.09"/>
    <n v="0.02"/>
    <n v="14.45"/>
    <n v="0"/>
    <m/>
    <n v="20260408"/>
    <m/>
    <s v="CREDITO"/>
    <n v="3974527"/>
    <s v="SCOTIABANK"/>
    <m/>
    <m/>
    <d v="1899-12-30T12:54:05"/>
    <s v="XIAOMI SCHELL"/>
  </r>
  <r>
    <n v="1023366"/>
    <s v="VA"/>
    <s v="A"/>
    <d v="2026-04-07T00:00:00"/>
    <d v="2026-04-07T00:00:00"/>
    <m/>
    <n v="354"/>
    <s v="PS0005"/>
    <n v="7123"/>
    <n v="1033"/>
    <m/>
    <s v="428082******0831"/>
    <s v="Nac"/>
    <s v="COM"/>
    <x v="6"/>
    <n v="109"/>
    <x v="0"/>
    <n v="3.15"/>
    <n v="0.64"/>
    <n v="0.12"/>
    <n v="105.73"/>
    <n v="0"/>
    <m/>
    <n v="20260408"/>
    <m/>
    <s v="CREDITO"/>
    <n v="3974527"/>
    <s v="BCP"/>
    <m/>
    <m/>
    <d v="1899-12-30T13:15:26"/>
    <s v="XIAOMI SCHELL"/>
  </r>
  <r>
    <n v="1023366"/>
    <s v="VA"/>
    <s v="A"/>
    <d v="2026-04-07T00:00:00"/>
    <d v="2026-04-07T00:00:00"/>
    <m/>
    <n v="354"/>
    <s v="PS0005"/>
    <n v="7125"/>
    <n v="643469"/>
    <m/>
    <s v="455788******0197"/>
    <s v="Nac"/>
    <s v="COM"/>
    <x v="6"/>
    <n v="1099"/>
    <x v="0"/>
    <n v="31.76"/>
    <n v="14.18"/>
    <n v="2.5499999999999998"/>
    <n v="1064.69"/>
    <n v="0"/>
    <m/>
    <n v="20260408"/>
    <m/>
    <s v="DEBITO"/>
    <n v="3974527"/>
    <s v="BCP"/>
    <m/>
    <m/>
    <d v="1899-12-30T13:16:59"/>
    <s v="XIAOMI SCHELL"/>
  </r>
  <r>
    <n v="1023366"/>
    <s v="VA"/>
    <s v="A"/>
    <d v="2026-04-07T00:00:00"/>
    <d v="2026-04-07T00:00:00"/>
    <m/>
    <n v="354"/>
    <s v="PS0005"/>
    <n v="7127"/>
    <n v="872794"/>
    <m/>
    <s v="455788******9570"/>
    <s v="Nac"/>
    <s v="COM"/>
    <x v="6"/>
    <n v="438"/>
    <x v="0"/>
    <n v="12.66"/>
    <n v="5.65"/>
    <n v="1.02"/>
    <n v="424.32"/>
    <n v="0"/>
    <m/>
    <n v="20260408"/>
    <m/>
    <s v="DEBITO"/>
    <n v="3974527"/>
    <s v="BCP"/>
    <m/>
    <m/>
    <d v="1899-12-30T13:27:03"/>
    <s v="XIAOMI SCHELL"/>
  </r>
  <r>
    <n v="1023366"/>
    <s v="VA"/>
    <s v="A"/>
    <d v="2026-04-07T00:00:00"/>
    <d v="2026-04-07T00:00:00"/>
    <m/>
    <n v="354"/>
    <n v="65656565"/>
    <n v="7134"/>
    <n v="744275"/>
    <m/>
    <s v="455788******6853"/>
    <s v="Nac"/>
    <s v="COM"/>
    <x v="6"/>
    <n v="55"/>
    <x v="0"/>
    <n v="1.58"/>
    <n v="0.7"/>
    <n v="0.13"/>
    <n v="53.29"/>
    <n v="0"/>
    <m/>
    <n v="20260408"/>
    <m/>
    <s v="DEBITO"/>
    <n v="3974527"/>
    <s v="VISA LOC"/>
    <m/>
    <s v="Yape"/>
    <d v="1899-12-30T13:59:01"/>
    <s v="XIAOMI SCHELL"/>
  </r>
  <r>
    <n v="1023366"/>
    <s v="VA"/>
    <s v="A"/>
    <d v="2026-04-07T00:00:00"/>
    <d v="2026-04-07T00:00:00"/>
    <m/>
    <n v="354"/>
    <s v="PS0005"/>
    <n v="7137"/>
    <n v="495047"/>
    <m/>
    <s v="407876******8629"/>
    <s v="Nac"/>
    <s v="COM"/>
    <x v="6"/>
    <n v="89"/>
    <x v="0"/>
    <n v="2.57"/>
    <n v="0.52"/>
    <n v="0.09"/>
    <n v="86.34"/>
    <n v="0"/>
    <m/>
    <n v="20260408"/>
    <m/>
    <s v="CREDITO"/>
    <n v="3974527"/>
    <s v="BFALABELLA"/>
    <m/>
    <m/>
    <d v="1899-12-30T15:43:54"/>
    <s v="XIAOMI SCHELL"/>
  </r>
  <r>
    <n v="1023366"/>
    <s v="VA"/>
    <s v="A"/>
    <d v="2026-04-07T00:00:00"/>
    <d v="2026-04-07T00:00:00"/>
    <m/>
    <n v="354"/>
    <s v="PS0005"/>
    <n v="7139"/>
    <n v="1191"/>
    <m/>
    <s v="445330******6857"/>
    <s v="Nac"/>
    <s v="COM"/>
    <x v="6"/>
    <n v="499"/>
    <x v="0"/>
    <n v="14.42"/>
    <n v="1.94"/>
    <n v="0.35"/>
    <n v="484.23"/>
    <n v="0"/>
    <m/>
    <n v="20260408"/>
    <m/>
    <s v="CREDITO"/>
    <n v="3974527"/>
    <s v="BCP"/>
    <m/>
    <m/>
    <d v="1899-12-30T15:47:00"/>
    <s v="XIAOMI SCHELL"/>
  </r>
  <r>
    <n v="1023366"/>
    <s v="VA"/>
    <s v="A"/>
    <d v="2026-04-07T00:00:00"/>
    <d v="2026-04-07T00:00:00"/>
    <m/>
    <n v="354"/>
    <s v="PS0005"/>
    <n v="7141"/>
    <n v="935839"/>
    <m/>
    <s v="455788******4570"/>
    <s v="Nac"/>
    <s v="COM"/>
    <x v="6"/>
    <n v="188.9"/>
    <x v="0"/>
    <n v="5.46"/>
    <n v="2.44"/>
    <n v="0.44"/>
    <n v="183"/>
    <n v="0"/>
    <m/>
    <n v="20260408"/>
    <m/>
    <s v="DEBITO"/>
    <n v="3974527"/>
    <s v="BCP"/>
    <m/>
    <m/>
    <d v="1899-12-30T16:08:32"/>
    <s v="XIAOMI SCHELL"/>
  </r>
  <r>
    <n v="1023366"/>
    <s v="VA"/>
    <s v="A"/>
    <d v="2026-04-07T00:00:00"/>
    <d v="2026-04-07T00:00:00"/>
    <m/>
    <n v="354"/>
    <s v="PS0005"/>
    <n v="7143"/>
    <s v="S681VA"/>
    <m/>
    <s v="454792******6603"/>
    <s v="Ext"/>
    <s v="COM"/>
    <x v="6"/>
    <n v="549"/>
    <x v="0"/>
    <n v="21.41"/>
    <n v="10.54"/>
    <n v="1.9"/>
    <n v="525.69000000000005"/>
    <n v="0"/>
    <m/>
    <n v="20260408"/>
    <m/>
    <s v="DEBITO"/>
    <n v="3974527"/>
    <s v="VISA INT"/>
    <m/>
    <m/>
    <d v="1899-12-30T16:13:04"/>
    <s v="XIAOMI SCHELL"/>
  </r>
  <r>
    <n v="1023366"/>
    <s v="VA"/>
    <s v="A"/>
    <d v="2026-04-07T00:00:00"/>
    <d v="2026-04-07T00:00:00"/>
    <m/>
    <n v="354"/>
    <s v="PS0005"/>
    <n v="7145"/>
    <n v="228357"/>
    <m/>
    <s v="455788******8514"/>
    <s v="Nac"/>
    <s v="COM"/>
    <x v="6"/>
    <n v="35"/>
    <x v="0"/>
    <n v="1.01"/>
    <n v="0.45"/>
    <n v="0.08"/>
    <n v="33.909999999999997"/>
    <n v="0"/>
    <m/>
    <n v="20260408"/>
    <m/>
    <s v="DEBITO"/>
    <n v="3974527"/>
    <s v="BCP"/>
    <m/>
    <m/>
    <d v="1899-12-30T16:53:27"/>
    <s v="XIAOMI SCHELL"/>
  </r>
  <r>
    <n v="1023366"/>
    <s v="VA"/>
    <s v="A"/>
    <d v="2026-04-07T00:00:00"/>
    <d v="2026-04-07T00:00:00"/>
    <m/>
    <n v="354"/>
    <s v="PS0005"/>
    <n v="7147"/>
    <n v="236925"/>
    <m/>
    <s v="455788******5456"/>
    <s v="Nac"/>
    <s v="COM"/>
    <x v="6"/>
    <n v="74.5"/>
    <x v="0"/>
    <n v="2.15"/>
    <n v="0.96"/>
    <n v="0.17"/>
    <n v="72.180000000000007"/>
    <n v="0"/>
    <m/>
    <n v="20260408"/>
    <m/>
    <s v="DEBITO"/>
    <n v="3974527"/>
    <s v="BCP"/>
    <m/>
    <m/>
    <d v="1899-12-30T16:58:15"/>
    <s v="XIAOMI SCHELL"/>
  </r>
  <r>
    <n v="1023366"/>
    <s v="VA"/>
    <s v="A"/>
    <d v="2026-04-07T00:00:00"/>
    <d v="2026-04-07T00:00:00"/>
    <m/>
    <n v="354"/>
    <s v="PS0005"/>
    <n v="7149"/>
    <n v="93042"/>
    <n v="3"/>
    <s v="414791******3024"/>
    <s v="Nac"/>
    <s v="COM"/>
    <x v="6"/>
    <n v="118"/>
    <x v="0"/>
    <n v="5.48"/>
    <n v="0.7"/>
    <n v="0.13"/>
    <n v="112.39"/>
    <n v="0"/>
    <m/>
    <n v="20260408"/>
    <m/>
    <s v="CREDITO"/>
    <n v="3974527"/>
    <s v="BBVA"/>
    <s v="SI"/>
    <m/>
    <d v="1899-12-30T17:03:27"/>
    <s v="XIAOMI SCHELL"/>
  </r>
  <r>
    <n v="1023366"/>
    <s v="VA"/>
    <s v="A"/>
    <d v="2026-04-07T00:00:00"/>
    <d v="2026-04-07T00:00:00"/>
    <m/>
    <n v="354"/>
    <s v="PS0005"/>
    <n v="7151"/>
    <n v="100001"/>
    <m/>
    <s v="455103******2525"/>
    <s v="Nac"/>
    <s v="COM"/>
    <x v="6"/>
    <n v="105"/>
    <x v="0"/>
    <n v="3.03"/>
    <n v="1.35"/>
    <n v="0.24"/>
    <n v="101.73"/>
    <n v="0"/>
    <m/>
    <n v="20260408"/>
    <m/>
    <s v="DEBITO"/>
    <n v="3974527"/>
    <s v="BBVA"/>
    <m/>
    <m/>
    <d v="1899-12-30T17:05:38"/>
    <s v="XIAOMI SCHELL"/>
  </r>
  <r>
    <n v="1023366"/>
    <s v="VA"/>
    <s v="A"/>
    <d v="2026-04-07T00:00:00"/>
    <d v="2026-04-07T00:00:00"/>
    <m/>
    <n v="354"/>
    <s v="PS0005"/>
    <n v="7153"/>
    <n v="296151"/>
    <m/>
    <s v="455788******1743"/>
    <s v="Nac"/>
    <s v="COM"/>
    <x v="6"/>
    <n v="55"/>
    <x v="0"/>
    <n v="1.59"/>
    <n v="0.71"/>
    <n v="0.13"/>
    <n v="53.28"/>
    <n v="0"/>
    <m/>
    <n v="20260408"/>
    <m/>
    <s v="DEBITO"/>
    <n v="3974527"/>
    <s v="BCP"/>
    <m/>
    <m/>
    <d v="1899-12-30T17:30:22"/>
    <s v="XIAOMI SCHELL"/>
  </r>
  <r>
    <n v="1023366"/>
    <s v="VA"/>
    <s v="A"/>
    <d v="2026-04-07T00:00:00"/>
    <d v="2026-04-07T00:00:00"/>
    <m/>
    <n v="354"/>
    <s v="PS0005"/>
    <n v="7155"/>
    <n v="199289"/>
    <m/>
    <s v="455170******0582"/>
    <s v="Nac"/>
    <s v="COM"/>
    <x v="6"/>
    <n v="2799"/>
    <x v="0"/>
    <n v="80.89"/>
    <n v="36.11"/>
    <n v="6.5"/>
    <n v="2711.61"/>
    <n v="0"/>
    <m/>
    <n v="20260408"/>
    <m/>
    <s v="DEBITO"/>
    <n v="3974527"/>
    <s v="BBVA"/>
    <m/>
    <m/>
    <d v="1899-12-30T17:35:20"/>
    <s v="XIAOMI SCHELL"/>
  </r>
  <r>
    <n v="1023366"/>
    <s v="VA"/>
    <s v="A"/>
    <d v="2026-04-07T00:00:00"/>
    <d v="2026-04-07T00:00:00"/>
    <m/>
    <n v="354"/>
    <s v="PS0005"/>
    <n v="7157"/>
    <n v="7219"/>
    <m/>
    <s v="428078******4727"/>
    <s v="Nac"/>
    <s v="COM"/>
    <x v="6"/>
    <n v="65"/>
    <x v="0"/>
    <n v="1.88"/>
    <n v="0.51"/>
    <n v="0.09"/>
    <n v="63.03"/>
    <n v="0"/>
    <m/>
    <n v="20260408"/>
    <m/>
    <s v="CREDITO"/>
    <n v="3974527"/>
    <s v="BCP"/>
    <m/>
    <m/>
    <d v="1899-12-30T18:15:24"/>
    <s v="XIAOMI SCHELL"/>
  </r>
  <r>
    <n v="1023366"/>
    <s v="VA"/>
    <s v="A"/>
    <d v="2026-04-07T00:00:00"/>
    <d v="2026-04-07T00:00:00"/>
    <m/>
    <n v="354"/>
    <s v="PS0005"/>
    <n v="7159"/>
    <n v="47374"/>
    <m/>
    <s v="466721******0138"/>
    <s v="Nac"/>
    <s v="COM"/>
    <x v="6"/>
    <n v="35"/>
    <x v="0"/>
    <n v="1.01"/>
    <n v="0.27"/>
    <n v="0.05"/>
    <n v="33.94"/>
    <n v="0"/>
    <m/>
    <n v="20260408"/>
    <m/>
    <s v="CREDITO"/>
    <n v="3974527"/>
    <s v="SCOTIABANK"/>
    <m/>
    <m/>
    <d v="1899-12-30T18:53:12"/>
    <s v="XIAOMI SCHELL"/>
  </r>
  <r>
    <n v="1023366"/>
    <s v="VA"/>
    <s v="A"/>
    <d v="2026-04-07T00:00:00"/>
    <d v="2026-04-07T00:00:00"/>
    <m/>
    <n v="354"/>
    <s v="PS0005"/>
    <n v="7161"/>
    <n v="498799"/>
    <m/>
    <s v="491909******6144"/>
    <s v="Nac"/>
    <s v="COM"/>
    <x v="6"/>
    <n v="89.9"/>
    <x v="0"/>
    <n v="2.6"/>
    <n v="0.71"/>
    <n v="0.13"/>
    <n v="87.17"/>
    <n v="0"/>
    <m/>
    <n v="20260408"/>
    <m/>
    <s v="CREDITO"/>
    <n v="3974527"/>
    <s v="BBVA"/>
    <m/>
    <m/>
    <d v="1899-12-30T18:54:55"/>
    <s v="XIAOMI SCHELL"/>
  </r>
  <r>
    <n v="1023366"/>
    <s v="VA"/>
    <s v="A"/>
    <d v="2026-04-07T00:00:00"/>
    <d v="2026-04-07T00:00:00"/>
    <m/>
    <n v="354"/>
    <s v="PS0005"/>
    <n v="7163"/>
    <n v="250479"/>
    <m/>
    <s v="492124******0446"/>
    <s v="Nac"/>
    <s v="COM"/>
    <x v="6"/>
    <n v="34.9"/>
    <x v="0"/>
    <n v="1.01"/>
    <n v="0.45"/>
    <n v="0.08"/>
    <n v="33.81"/>
    <n v="0"/>
    <m/>
    <n v="20260408"/>
    <m/>
    <s v="DEBITO"/>
    <n v="3974527"/>
    <s v="BCP"/>
    <m/>
    <m/>
    <d v="1899-12-30T18:59:50"/>
    <s v="XIAOMI SCHELL"/>
  </r>
  <r>
    <n v="1023366"/>
    <s v="VA"/>
    <s v="A"/>
    <d v="2026-04-07T00:00:00"/>
    <d v="2026-04-07T00:00:00"/>
    <m/>
    <n v="354"/>
    <s v="PS0005"/>
    <n v="7165"/>
    <n v="513322"/>
    <m/>
    <s v="444697******6882"/>
    <s v="Nac"/>
    <s v="COM"/>
    <x v="6"/>
    <n v="105"/>
    <x v="0"/>
    <n v="3.03"/>
    <n v="1.35"/>
    <n v="0.24"/>
    <n v="101.73"/>
    <n v="0"/>
    <m/>
    <n v="20260408"/>
    <m/>
    <s v="DEBITO"/>
    <n v="3974527"/>
    <s v="BCP"/>
    <m/>
    <m/>
    <d v="1899-12-30T19:19:25"/>
    <s v="XIAOMI SCHELL"/>
  </r>
  <r>
    <n v="1023366"/>
    <s v="VA"/>
    <s v="A"/>
    <d v="2026-04-07T00:00:00"/>
    <d v="2026-04-07T00:00:00"/>
    <m/>
    <n v="354"/>
    <s v="PS0005"/>
    <n v="7167"/>
    <n v="636932"/>
    <m/>
    <s v="414791******8089"/>
    <s v="Nac"/>
    <s v="COM"/>
    <x v="6"/>
    <n v="229"/>
    <x v="0"/>
    <n v="6.62"/>
    <n v="1.35"/>
    <n v="0.24"/>
    <n v="222.14"/>
    <n v="0"/>
    <m/>
    <n v="20260408"/>
    <m/>
    <s v="CREDITO"/>
    <n v="3974527"/>
    <s v="BBVA"/>
    <m/>
    <m/>
    <d v="1899-12-30T19:29:45"/>
    <s v="XIAOMI SCHELL"/>
  </r>
  <r>
    <n v="1023366"/>
    <s v="VA"/>
    <s v="A"/>
    <d v="2026-04-07T00:00:00"/>
    <d v="2026-04-07T00:00:00"/>
    <m/>
    <n v="354"/>
    <s v="PS0005"/>
    <n v="7169"/>
    <n v="670755"/>
    <n v="3"/>
    <s v="404293******4841"/>
    <s v="Nac"/>
    <s v="COM"/>
    <x v="6"/>
    <n v="1769"/>
    <x v="0"/>
    <n v="82.08"/>
    <n v="13.97"/>
    <n v="2.5099999999999998"/>
    <n v="1684.41"/>
    <n v="0"/>
    <m/>
    <n v="20260408"/>
    <m/>
    <s v="CREDITO"/>
    <n v="3974527"/>
    <s v="BBVA"/>
    <s v="SI"/>
    <m/>
    <d v="1899-12-30T19:38:29"/>
    <s v="XIAOMI SCHELL"/>
  </r>
  <r>
    <n v="1023366"/>
    <s v="VA"/>
    <s v="A"/>
    <d v="2026-04-07T00:00:00"/>
    <d v="2026-04-07T00:00:00"/>
    <m/>
    <n v="354"/>
    <s v="PS0005"/>
    <n v="7171"/>
    <n v="353793"/>
    <m/>
    <s v="455788******6286"/>
    <s v="Nac"/>
    <s v="COM"/>
    <x v="6"/>
    <n v="49"/>
    <x v="0"/>
    <n v="1.42"/>
    <n v="0.64"/>
    <n v="0.12"/>
    <n v="47.46"/>
    <n v="0"/>
    <m/>
    <n v="20260408"/>
    <m/>
    <s v="DEBITO"/>
    <n v="3974527"/>
    <s v="BCP"/>
    <m/>
    <m/>
    <d v="1899-12-30T19:42:55"/>
    <s v="XIAOMI SCHELL"/>
  </r>
  <r>
    <n v="1023366"/>
    <s v="VA"/>
    <s v="A"/>
    <d v="2026-04-07T00:00:00"/>
    <d v="2026-04-07T00:00:00"/>
    <m/>
    <n v="354"/>
    <s v="PS0005"/>
    <n v="7173"/>
    <n v="322552"/>
    <m/>
    <s v="455788******6573"/>
    <s v="Nac"/>
    <s v="COM"/>
    <x v="6"/>
    <n v="949"/>
    <x v="0"/>
    <n v="27.43"/>
    <n v="12.25"/>
    <n v="2.21"/>
    <n v="919.36"/>
    <n v="0"/>
    <m/>
    <n v="20260408"/>
    <m/>
    <s v="DEBITO"/>
    <n v="3974527"/>
    <s v="BCP"/>
    <m/>
    <m/>
    <d v="1899-12-30T19:50:29"/>
    <s v="XIAOMI SCHELL"/>
  </r>
  <r>
    <n v="1023366"/>
    <s v="VA"/>
    <s v="A"/>
    <d v="2026-04-07T00:00:00"/>
    <d v="2026-04-07T00:00:00"/>
    <m/>
    <n v="354"/>
    <s v="PS0005"/>
    <n v="7175"/>
    <n v="106918"/>
    <m/>
    <s v="421410******3718"/>
    <s v="Nac"/>
    <s v="COM"/>
    <x v="6"/>
    <n v="1799"/>
    <x v="0"/>
    <n v="51.99"/>
    <n v="23.21"/>
    <n v="4.18"/>
    <n v="1742.83"/>
    <n v="0"/>
    <m/>
    <n v="20260408"/>
    <m/>
    <s v="DEBITO"/>
    <n v="3974527"/>
    <s v="NACION"/>
    <m/>
    <m/>
    <d v="1899-12-30T20:08:19"/>
    <s v="XIAOMI SCHELL"/>
  </r>
  <r>
    <n v="1023366"/>
    <s v="VA"/>
    <s v="A"/>
    <d v="2026-04-07T00:00:00"/>
    <d v="2026-04-07T00:00:00"/>
    <m/>
    <n v="354"/>
    <s v="PS0005"/>
    <n v="7177"/>
    <n v="403975"/>
    <m/>
    <s v="491257******8593"/>
    <s v="Nac"/>
    <s v="COM"/>
    <x v="6"/>
    <n v="105"/>
    <x v="0"/>
    <n v="3.03"/>
    <n v="1.35"/>
    <n v="0.24"/>
    <n v="101.73"/>
    <n v="0"/>
    <m/>
    <n v="20260408"/>
    <m/>
    <s v="DEBITO"/>
    <n v="3974527"/>
    <s v="BCP"/>
    <m/>
    <m/>
    <d v="1899-12-30T20:09:41"/>
    <s v="XIAOMI SCHELL"/>
  </r>
  <r>
    <n v="1023366"/>
    <s v="VA"/>
    <s v="A"/>
    <d v="2026-04-07T00:00:00"/>
    <d v="2026-04-07T00:00:00"/>
    <m/>
    <n v="354"/>
    <n v="65656565"/>
    <n v="7179"/>
    <n v="814150"/>
    <m/>
    <s v="455170******8929"/>
    <s v="Nac"/>
    <s v="COM"/>
    <x v="6"/>
    <n v="37.25"/>
    <x v="0"/>
    <n v="1.07"/>
    <n v="0.47"/>
    <n v="0.08"/>
    <n v="36.1"/>
    <n v="0"/>
    <m/>
    <n v="20260408"/>
    <m/>
    <s v="DEBITO"/>
    <n v="3974527"/>
    <s v="BBVA"/>
    <m/>
    <s v="BBVA Plin"/>
    <d v="1899-12-30T20:17:17"/>
    <s v="XIAOMI SCHELL"/>
  </r>
  <r>
    <n v="1023366"/>
    <s v="VA"/>
    <s v="A"/>
    <d v="2026-04-07T00:00:00"/>
    <d v="2026-04-07T00:00:00"/>
    <m/>
    <n v="354"/>
    <s v="PS0005"/>
    <n v="7186"/>
    <n v="6621"/>
    <m/>
    <s v="445330******3886"/>
    <s v="Nac"/>
    <s v="COM"/>
    <x v="6"/>
    <n v="67.25"/>
    <x v="0"/>
    <n v="1.94"/>
    <n v="0.53"/>
    <n v="0.1"/>
    <n v="65.209999999999994"/>
    <n v="0"/>
    <m/>
    <n v="20260408"/>
    <m/>
    <s v="CREDITO"/>
    <n v="3974527"/>
    <s v="BCP"/>
    <m/>
    <m/>
    <d v="1899-12-30T20:35:47"/>
    <s v="XIAOMI SCHELL"/>
  </r>
  <r>
    <n v="1023366"/>
    <s v="VA"/>
    <s v="A"/>
    <d v="2026-04-07T00:00:00"/>
    <d v="2026-04-07T00:00:00"/>
    <m/>
    <n v="354"/>
    <s v="PS0005"/>
    <n v="7188"/>
    <n v="456522"/>
    <m/>
    <s v="491257******6687"/>
    <s v="Nac"/>
    <s v="COM"/>
    <x v="6"/>
    <n v="99.9"/>
    <x v="0"/>
    <n v="2.89"/>
    <n v="1.29"/>
    <n v="0.23"/>
    <n v="96.78"/>
    <n v="0"/>
    <m/>
    <n v="20260408"/>
    <m/>
    <s v="DEBITO"/>
    <n v="3974527"/>
    <s v="BCP"/>
    <m/>
    <m/>
    <d v="1899-12-30T20:39:01"/>
    <s v="XIAOMI SCHELL"/>
  </r>
  <r>
    <n v="1023366"/>
    <s v="VA"/>
    <s v="A"/>
    <d v="2026-04-07T00:00:00"/>
    <d v="2026-04-07T00:00:00"/>
    <m/>
    <n v="354"/>
    <s v="PS0005"/>
    <n v="7192"/>
    <n v="945956"/>
    <m/>
    <s v="428597******4149"/>
    <s v="Nac"/>
    <s v="COM"/>
    <x v="6"/>
    <n v="1999"/>
    <x v="0"/>
    <n v="57.77"/>
    <n v="15.79"/>
    <n v="2.84"/>
    <n v="1938.39"/>
    <n v="18246.3"/>
    <d v="2026-04-08T00:00:00"/>
    <n v="20260408"/>
    <m/>
    <s v="DEBITO"/>
    <n v="3974527"/>
    <s v="BBVA"/>
    <m/>
    <m/>
    <d v="1899-12-30T20:56:17"/>
    <s v="XIAOMI SCHELL"/>
  </r>
  <r>
    <n v="1023366"/>
    <s v="MC"/>
    <s v="A"/>
    <d v="2026-04-08T00:00:00"/>
    <d v="2026-04-08T00:00:00"/>
    <m/>
    <n v="355"/>
    <s v="PS0005"/>
    <n v="7214"/>
    <n v="107516"/>
    <n v="3"/>
    <s v="553650******3449"/>
    <s v="Nac"/>
    <s v="COM"/>
    <x v="7"/>
    <n v="1001"/>
    <x v="0"/>
    <n v="46.45"/>
    <n v="3.4"/>
    <n v="0.61"/>
    <n v="953.94"/>
    <n v="0"/>
    <m/>
    <n v="20260409"/>
    <m/>
    <s v="CREDITO"/>
    <n v="3974527"/>
    <s v="BBVA"/>
    <s v="SI"/>
    <m/>
    <d v="1899-12-30T11:19:13"/>
    <s v="XIAOMI SCHELL"/>
  </r>
  <r>
    <n v="1023366"/>
    <s v="MC"/>
    <s v="A"/>
    <d v="2026-04-08T00:00:00"/>
    <d v="2026-04-08T00:00:00"/>
    <m/>
    <n v="355"/>
    <s v="PS0005"/>
    <n v="7247"/>
    <s v="55086Z"/>
    <m/>
    <s v="559538******9703"/>
    <s v="Ext"/>
    <s v="COM"/>
    <x v="7"/>
    <n v="199"/>
    <x v="0"/>
    <n v="7.76"/>
    <n v="3.82"/>
    <n v="0.69"/>
    <n v="190.55"/>
    <n v="1144.49"/>
    <d v="2026-04-09T00:00:00"/>
    <n v="20260409"/>
    <m/>
    <s v="CREDITO"/>
    <n v="3974527"/>
    <s v="MCI C. INTER"/>
    <m/>
    <m/>
    <d v="1899-12-30T16:26:46"/>
    <s v="XIAOMI SCHELL"/>
  </r>
  <r>
    <n v="1023366"/>
    <s v="VA"/>
    <s v="A"/>
    <d v="2026-04-08T00:00:00"/>
    <d v="2026-04-08T00:00:00"/>
    <m/>
    <n v="355"/>
    <s v="PS0005"/>
    <n v="7208"/>
    <n v="942030"/>
    <m/>
    <s v="455788******1182"/>
    <s v="Nac"/>
    <s v="COM"/>
    <x v="7"/>
    <n v="2199"/>
    <x v="0"/>
    <n v="63.55"/>
    <n v="28.37"/>
    <n v="5.1100000000000003"/>
    <n v="2130.34"/>
    <n v="0"/>
    <m/>
    <n v="20260409"/>
    <m/>
    <s v="DEBITO"/>
    <n v="3974527"/>
    <s v="BCP"/>
    <m/>
    <m/>
    <d v="1899-12-30T10:19:51"/>
    <s v="XIAOMI SCHELL"/>
  </r>
  <r>
    <n v="1023366"/>
    <s v="VA"/>
    <s v="A"/>
    <d v="2026-04-08T00:00:00"/>
    <d v="2026-04-08T00:00:00"/>
    <m/>
    <n v="355"/>
    <s v="PS0005"/>
    <n v="7212"/>
    <n v="68905"/>
    <m/>
    <s v="455103******2494"/>
    <s v="Nac"/>
    <s v="COM"/>
    <x v="7"/>
    <n v="149"/>
    <x v="0"/>
    <n v="4.3099999999999996"/>
    <n v="1.93"/>
    <n v="0.35"/>
    <n v="144.34"/>
    <n v="0"/>
    <m/>
    <n v="20260409"/>
    <m/>
    <s v="DEBITO"/>
    <n v="3974527"/>
    <s v="BBVA"/>
    <m/>
    <m/>
    <d v="1899-12-30T11:06:34"/>
    <s v="XIAOMI SCHELL"/>
  </r>
  <r>
    <n v="1023366"/>
    <s v="VA"/>
    <s v="A"/>
    <d v="2026-04-08T00:00:00"/>
    <d v="2026-04-08T00:00:00"/>
    <m/>
    <n v="355"/>
    <s v="PS0005"/>
    <n v="7218"/>
    <n v="107302"/>
    <m/>
    <s v="455788******8408"/>
    <s v="Nac"/>
    <s v="COM"/>
    <x v="7"/>
    <n v="159"/>
    <x v="0"/>
    <n v="4.5999999999999996"/>
    <n v="2.06"/>
    <n v="0.37"/>
    <n v="154.03"/>
    <n v="0"/>
    <m/>
    <n v="20260409"/>
    <m/>
    <s v="DEBITO"/>
    <n v="3974527"/>
    <s v="BCP"/>
    <m/>
    <m/>
    <d v="1899-12-30T12:07:31"/>
    <s v="XIAOMI SCHELL"/>
  </r>
  <r>
    <n v="1023366"/>
    <s v="VA"/>
    <s v="A"/>
    <d v="2026-04-08T00:00:00"/>
    <d v="2026-04-08T00:00:00"/>
    <m/>
    <n v="355"/>
    <s v="PS0005"/>
    <n v="7220"/>
    <n v="455911"/>
    <m/>
    <s v="455788******3854"/>
    <s v="Nac"/>
    <s v="COM"/>
    <x v="7"/>
    <n v="35"/>
    <x v="0"/>
    <n v="1.01"/>
    <n v="0.45"/>
    <n v="0.08"/>
    <n v="33.909999999999997"/>
    <n v="0"/>
    <m/>
    <n v="20260409"/>
    <m/>
    <s v="DEBITO"/>
    <n v="3974527"/>
    <s v="BCP"/>
    <m/>
    <m/>
    <d v="1899-12-30T12:48:50"/>
    <s v="XIAOMI SCHELL"/>
  </r>
  <r>
    <n v="1023366"/>
    <s v="VA"/>
    <s v="A"/>
    <d v="2026-04-08T00:00:00"/>
    <d v="2026-04-08T00:00:00"/>
    <m/>
    <n v="355"/>
    <s v="PS0005"/>
    <n v="7222"/>
    <n v="468109"/>
    <m/>
    <s v="414075******7414"/>
    <s v="Nac"/>
    <s v="COM"/>
    <x v="7"/>
    <n v="35"/>
    <x v="0"/>
    <n v="1.01"/>
    <n v="0.13"/>
    <n v="0.02"/>
    <n v="33.97"/>
    <n v="0"/>
    <m/>
    <n v="20260409"/>
    <m/>
    <s v="CREDITO"/>
    <n v="3974527"/>
    <s v="BBVA"/>
    <m/>
    <m/>
    <d v="1899-12-30T13:09:50"/>
    <s v="XIAOMI SCHELL"/>
  </r>
  <r>
    <n v="1023366"/>
    <s v="VA"/>
    <s v="A"/>
    <d v="2026-04-08T00:00:00"/>
    <d v="2026-04-08T00:00:00"/>
    <m/>
    <n v="355"/>
    <s v="PS0005"/>
    <n v="7224"/>
    <n v="606710"/>
    <m/>
    <s v="444355******8133"/>
    <s v="Nac"/>
    <s v="COM"/>
    <x v="7"/>
    <n v="179"/>
    <x v="0"/>
    <n v="5.17"/>
    <n v="1.05"/>
    <n v="0.19"/>
    <n v="173.64"/>
    <n v="0"/>
    <m/>
    <n v="20260409"/>
    <m/>
    <s v="CREDITO"/>
    <n v="3974527"/>
    <s v="BBVA"/>
    <m/>
    <m/>
    <d v="1899-12-30T13:48:14"/>
    <s v="XIAOMI SCHELL"/>
  </r>
  <r>
    <n v="1023366"/>
    <s v="VA"/>
    <s v="A"/>
    <d v="2026-04-08T00:00:00"/>
    <d v="2026-04-08T00:00:00"/>
    <m/>
    <n v="355"/>
    <s v="PS0005"/>
    <n v="7226"/>
    <n v="342892"/>
    <m/>
    <s v="455788******8248"/>
    <s v="Nac"/>
    <s v="COM"/>
    <x v="7"/>
    <n v="279"/>
    <x v="0"/>
    <n v="8.06"/>
    <n v="3.6"/>
    <n v="0.65"/>
    <n v="270.29000000000002"/>
    <n v="0"/>
    <m/>
    <n v="20260409"/>
    <m/>
    <s v="DEBITO"/>
    <n v="3974527"/>
    <s v="BCP"/>
    <m/>
    <m/>
    <d v="1899-12-30T14:02:00"/>
    <s v="XIAOMI SCHELL"/>
  </r>
  <r>
    <n v="1023366"/>
    <s v="VA"/>
    <s v="A"/>
    <d v="2026-04-08T00:00:00"/>
    <d v="2026-04-08T00:00:00"/>
    <m/>
    <n v="355"/>
    <s v="PS0005"/>
    <n v="7228"/>
    <n v="979385"/>
    <m/>
    <s v="455696******2075"/>
    <s v="Nac"/>
    <s v="COM"/>
    <x v="7"/>
    <n v="89"/>
    <x v="0"/>
    <n v="2.57"/>
    <n v="0.7"/>
    <n v="0.13"/>
    <n v="86.3"/>
    <n v="0"/>
    <m/>
    <n v="20260409"/>
    <m/>
    <s v="DEBITO"/>
    <n v="3974527"/>
    <s v="IBK PRIVADA"/>
    <m/>
    <m/>
    <d v="1899-12-30T14:03:59"/>
    <s v="XIAOMI SCHELL"/>
  </r>
  <r>
    <n v="1023366"/>
    <s v="VA"/>
    <s v="A"/>
    <d v="2026-04-08T00:00:00"/>
    <d v="2026-04-08T00:00:00"/>
    <m/>
    <n v="355"/>
    <s v="PS0005"/>
    <n v="7230"/>
    <n v="282874"/>
    <m/>
    <s v="454775******5458"/>
    <s v="Nac"/>
    <s v="COM"/>
    <x v="7"/>
    <n v="149"/>
    <x v="0"/>
    <n v="4.3099999999999996"/>
    <n v="1.18"/>
    <n v="0.21"/>
    <n v="144.47999999999999"/>
    <n v="0"/>
    <m/>
    <n v="20260409"/>
    <m/>
    <s v="CREDITO"/>
    <n v="3974527"/>
    <s v="IBK PRIVADA"/>
    <m/>
    <m/>
    <d v="1899-12-30T14:28:20"/>
    <s v="XIAOMI SCHELL"/>
  </r>
  <r>
    <n v="1023366"/>
    <s v="VA"/>
    <s v="A"/>
    <d v="2026-04-08T00:00:00"/>
    <d v="2026-04-08T00:00:00"/>
    <m/>
    <n v="355"/>
    <s v="PS0005"/>
    <n v="7232"/>
    <n v="678788"/>
    <m/>
    <s v="447411******8727"/>
    <s v="Nac"/>
    <s v="COM"/>
    <x v="7"/>
    <n v="319"/>
    <x v="0"/>
    <n v="9.2200000000000006"/>
    <n v="4.12"/>
    <n v="0.74"/>
    <n v="309.04000000000002"/>
    <n v="0"/>
    <m/>
    <n v="20260409"/>
    <m/>
    <s v="DEBITO"/>
    <n v="3974527"/>
    <s v="BFALABELLA"/>
    <m/>
    <m/>
    <d v="1899-12-30T14:53:18"/>
    <s v="XIAOMI SCHELL"/>
  </r>
  <r>
    <n v="1023366"/>
    <s v="VA"/>
    <s v="A"/>
    <d v="2026-04-08T00:00:00"/>
    <d v="2026-04-08T00:00:00"/>
    <m/>
    <n v="355"/>
    <s v="PS0005"/>
    <n v="7234"/>
    <n v="492520"/>
    <m/>
    <s v="455788******1288"/>
    <s v="Nac"/>
    <s v="COM"/>
    <x v="7"/>
    <n v="35.799999999999997"/>
    <x v="0"/>
    <n v="1.03"/>
    <n v="0.46"/>
    <n v="0.08"/>
    <n v="34.69"/>
    <n v="0"/>
    <m/>
    <n v="20260409"/>
    <m/>
    <s v="DEBITO"/>
    <n v="3974527"/>
    <s v="BCP"/>
    <m/>
    <m/>
    <d v="1899-12-30T15:20:20"/>
    <s v="XIAOMI SCHELL"/>
  </r>
  <r>
    <n v="1023366"/>
    <s v="VA"/>
    <s v="A"/>
    <d v="2026-04-08T00:00:00"/>
    <d v="2026-04-08T00:00:00"/>
    <m/>
    <n v="355"/>
    <s v="PS0005"/>
    <n v="7236"/>
    <n v="1150"/>
    <m/>
    <s v="445330******4624"/>
    <s v="Nac"/>
    <s v="COM"/>
    <x v="7"/>
    <n v="69"/>
    <x v="0"/>
    <n v="1.99"/>
    <n v="0.54"/>
    <n v="0.1"/>
    <n v="66.91"/>
    <n v="0"/>
    <m/>
    <n v="20260409"/>
    <m/>
    <s v="CREDITO"/>
    <n v="3974527"/>
    <s v="BCP"/>
    <m/>
    <m/>
    <d v="1899-12-30T15:25:14"/>
    <s v="XIAOMI SCHELL"/>
  </r>
  <r>
    <n v="1023366"/>
    <s v="VA"/>
    <s v="A"/>
    <d v="2026-04-08T00:00:00"/>
    <d v="2026-04-08T00:00:00"/>
    <m/>
    <n v="355"/>
    <s v="PS0005"/>
    <n v="7238"/>
    <n v="757195"/>
    <m/>
    <s v="447410******0265"/>
    <s v="Nac"/>
    <s v="COM"/>
    <x v="7"/>
    <n v="688"/>
    <x v="0"/>
    <n v="19.88"/>
    <n v="4.0599999999999996"/>
    <n v="0.73"/>
    <n v="667.39"/>
    <n v="0"/>
    <m/>
    <n v="20260409"/>
    <m/>
    <s v="CREDITO"/>
    <n v="3974527"/>
    <s v="BFALABELLA"/>
    <m/>
    <m/>
    <d v="1899-12-30T15:32:10"/>
    <s v="XIAOMI SCHELL"/>
  </r>
  <r>
    <n v="1023366"/>
    <s v="VA"/>
    <s v="A"/>
    <d v="2026-04-08T00:00:00"/>
    <d v="2026-04-08T00:00:00"/>
    <m/>
    <n v="355"/>
    <s v="PS0005"/>
    <n v="7240"/>
    <n v="334259"/>
    <m/>
    <s v="454775******3601"/>
    <s v="Nac"/>
    <s v="COM"/>
    <x v="7"/>
    <n v="89.9"/>
    <x v="0"/>
    <n v="2.6"/>
    <n v="0.71"/>
    <n v="0.13"/>
    <n v="87.17"/>
    <n v="0"/>
    <m/>
    <n v="20260409"/>
    <m/>
    <s v="CREDITO"/>
    <n v="3974527"/>
    <s v="IBK PRIVADA"/>
    <m/>
    <m/>
    <d v="1899-12-30T15:33:34"/>
    <s v="XIAOMI SCHELL"/>
  </r>
  <r>
    <n v="1023366"/>
    <s v="VA"/>
    <s v="A"/>
    <d v="2026-04-08T00:00:00"/>
    <d v="2026-04-08T00:00:00"/>
    <m/>
    <n v="355"/>
    <s v="PS0005"/>
    <n v="7242"/>
    <n v="498123"/>
    <m/>
    <s v="455788******0005"/>
    <s v="Nac"/>
    <s v="COM"/>
    <x v="7"/>
    <n v="549"/>
    <x v="0"/>
    <n v="15.87"/>
    <n v="7.09"/>
    <n v="1.28"/>
    <n v="531.85"/>
    <n v="0"/>
    <m/>
    <n v="20260409"/>
    <m/>
    <s v="DEBITO"/>
    <n v="3974527"/>
    <s v="BCP"/>
    <m/>
    <m/>
    <d v="1899-12-30T15:40:53"/>
    <s v="XIAOMI SCHELL"/>
  </r>
  <r>
    <n v="1023366"/>
    <s v="VA"/>
    <s v="A"/>
    <d v="2026-04-08T00:00:00"/>
    <d v="2026-04-08T00:00:00"/>
    <m/>
    <n v="355"/>
    <s v="PS0005"/>
    <n v="7244"/>
    <n v="588722"/>
    <m/>
    <s v="491257******2295"/>
    <s v="Nac"/>
    <s v="COM"/>
    <x v="7"/>
    <n v="149"/>
    <x v="0"/>
    <n v="4.3099999999999996"/>
    <n v="1.93"/>
    <n v="0.35"/>
    <n v="144.34"/>
    <n v="0"/>
    <m/>
    <n v="20260409"/>
    <m/>
    <s v="DEBITO"/>
    <n v="3974527"/>
    <s v="BCP"/>
    <m/>
    <m/>
    <d v="1899-12-30T16:23:08"/>
    <s v="XIAOMI SCHELL"/>
  </r>
  <r>
    <n v="1023366"/>
    <s v="VA"/>
    <s v="A"/>
    <d v="2026-04-08T00:00:00"/>
    <d v="2026-04-08T00:00:00"/>
    <m/>
    <n v="355"/>
    <s v="PS0005"/>
    <n v="7249"/>
    <n v="892041"/>
    <m/>
    <s v="455788******7732"/>
    <s v="Nac"/>
    <s v="COM"/>
    <x v="7"/>
    <n v="99"/>
    <x v="0"/>
    <n v="2.86"/>
    <n v="1.28"/>
    <n v="0.23"/>
    <n v="95.91"/>
    <n v="0"/>
    <m/>
    <n v="20260409"/>
    <m/>
    <s v="DEBITO"/>
    <n v="3974527"/>
    <s v="BCP"/>
    <m/>
    <m/>
    <d v="1899-12-30T17:03:40"/>
    <s v="XIAOMI SCHELL"/>
  </r>
  <r>
    <n v="1023366"/>
    <s v="VA"/>
    <s v="A"/>
    <d v="2026-04-08T00:00:00"/>
    <d v="2026-04-08T00:00:00"/>
    <m/>
    <n v="355"/>
    <s v="PS0005"/>
    <n v="7254"/>
    <n v="503567"/>
    <m/>
    <s v="439701******1079"/>
    <s v="Ext"/>
    <s v="COM"/>
    <x v="7"/>
    <n v="69"/>
    <x v="0"/>
    <n v="2.69"/>
    <n v="1.42"/>
    <n v="0.26"/>
    <n v="66.05"/>
    <n v="0"/>
    <m/>
    <n v="20260409"/>
    <m/>
    <s v="DEBITO"/>
    <n v="3974527"/>
    <s v="VISA INT"/>
    <m/>
    <m/>
    <d v="1899-12-30T17:57:36"/>
    <s v="XIAOMI SCHELL"/>
  </r>
  <r>
    <n v="1023366"/>
    <s v="VA"/>
    <s v="A"/>
    <d v="2026-04-08T00:00:00"/>
    <d v="2026-04-08T00:00:00"/>
    <m/>
    <n v="355"/>
    <n v="65656565"/>
    <n v="7256"/>
    <n v="44183"/>
    <m/>
    <s v="455788******9224"/>
    <s v="Nac"/>
    <s v="COM"/>
    <x v="7"/>
    <n v="55"/>
    <x v="0"/>
    <n v="1.58"/>
    <n v="0.7"/>
    <n v="0.13"/>
    <n v="53.29"/>
    <n v="0"/>
    <m/>
    <n v="20260409"/>
    <m/>
    <s v="DEBITO"/>
    <n v="3974527"/>
    <s v="BCP"/>
    <m/>
    <s v="Yape"/>
    <d v="1899-12-30T18:28:22"/>
    <s v="XIAOMI SCHELL"/>
  </r>
  <r>
    <n v="1023366"/>
    <s v="VA"/>
    <s v="A"/>
    <d v="2026-04-08T00:00:00"/>
    <d v="2026-04-08T00:00:00"/>
    <m/>
    <n v="355"/>
    <s v="PS0005"/>
    <n v="7259"/>
    <n v="43506"/>
    <m/>
    <s v="421355******5874"/>
    <s v="Nac"/>
    <s v="COM"/>
    <x v="7"/>
    <n v="14.9"/>
    <x v="0"/>
    <n v="0.43"/>
    <n v="0.19"/>
    <n v="0.03"/>
    <n v="14.44"/>
    <n v="0"/>
    <m/>
    <n v="20260409"/>
    <m/>
    <s v="DEBITO"/>
    <n v="3974527"/>
    <s v="IBK PRIVADA"/>
    <m/>
    <m/>
    <d v="1899-12-30T18:38:45"/>
    <s v="XIAOMI SCHELL"/>
  </r>
  <r>
    <n v="1023366"/>
    <s v="VA"/>
    <s v="A"/>
    <d v="2026-04-08T00:00:00"/>
    <d v="2026-04-08T00:00:00"/>
    <m/>
    <n v="355"/>
    <s v="PS0005"/>
    <n v="7261"/>
    <n v="215791"/>
    <m/>
    <s v="421355******5874"/>
    <s v="Nac"/>
    <s v="COM"/>
    <x v="7"/>
    <n v="105"/>
    <x v="0"/>
    <n v="3.03"/>
    <n v="1.35"/>
    <n v="0.24"/>
    <n v="101.73"/>
    <n v="0"/>
    <m/>
    <n v="20260409"/>
    <m/>
    <s v="DEBITO"/>
    <n v="3974527"/>
    <s v="IBK PRIVADA"/>
    <m/>
    <m/>
    <d v="1899-12-30T18:45:39"/>
    <s v="XIAOMI SCHELL"/>
  </r>
  <r>
    <n v="1023366"/>
    <s v="VA"/>
    <s v="A"/>
    <d v="2026-04-08T00:00:00"/>
    <d v="2026-04-08T00:00:00"/>
    <m/>
    <n v="355"/>
    <s v="PS0005"/>
    <n v="7263"/>
    <n v="703006"/>
    <m/>
    <s v="421355******0681"/>
    <s v="Nac"/>
    <s v="COM"/>
    <x v="7"/>
    <n v="35"/>
    <x v="0"/>
    <n v="1.01"/>
    <n v="0.45"/>
    <n v="0.08"/>
    <n v="33.909999999999997"/>
    <n v="0"/>
    <m/>
    <n v="20260409"/>
    <m/>
    <s v="DEBITO"/>
    <n v="3974527"/>
    <s v="IBK PRIVADA"/>
    <m/>
    <m/>
    <d v="1899-12-30T19:00:47"/>
    <s v="XIAOMI SCHELL"/>
  </r>
  <r>
    <n v="1023366"/>
    <s v="VA"/>
    <s v="A"/>
    <d v="2026-04-08T00:00:00"/>
    <d v="2026-04-08T00:00:00"/>
    <m/>
    <n v="355"/>
    <s v="PS0005"/>
    <n v="7265"/>
    <n v="743720"/>
    <m/>
    <s v="447411******2300"/>
    <s v="Nac"/>
    <s v="COM"/>
    <x v="7"/>
    <n v="1499"/>
    <x v="0"/>
    <n v="43.32"/>
    <n v="19.34"/>
    <n v="3.48"/>
    <n v="1452.2"/>
    <n v="0"/>
    <m/>
    <n v="20260409"/>
    <m/>
    <s v="DEBITO"/>
    <n v="3974527"/>
    <s v="BFALABELLA"/>
    <m/>
    <m/>
    <d v="1899-12-30T19:15:08"/>
    <s v="XIAOMI SCHELL"/>
  </r>
  <r>
    <n v="1023366"/>
    <s v="VA"/>
    <s v="A"/>
    <d v="2026-04-08T00:00:00"/>
    <d v="2026-04-08T00:00:00"/>
    <m/>
    <n v="355"/>
    <s v="PS0005"/>
    <n v="7267"/>
    <n v="8004"/>
    <m/>
    <s v="489068******0174"/>
    <s v="Nac"/>
    <s v="COM"/>
    <x v="7"/>
    <n v="69"/>
    <x v="0"/>
    <n v="1.99"/>
    <n v="0.54"/>
    <n v="0.1"/>
    <n v="66.91"/>
    <n v="0"/>
    <m/>
    <n v="20260409"/>
    <m/>
    <s v="CREDITO"/>
    <n v="3974527"/>
    <s v="CJ RURAL MC"/>
    <m/>
    <m/>
    <d v="1899-12-30T19:16:49"/>
    <s v="XIAOMI SCHELL"/>
  </r>
  <r>
    <n v="1023366"/>
    <s v="VA"/>
    <s v="A"/>
    <d v="2026-04-08T00:00:00"/>
    <d v="2026-04-08T00:00:00"/>
    <m/>
    <n v="355"/>
    <n v="65656565"/>
    <n v="7269"/>
    <n v="157205"/>
    <m/>
    <s v="455788******2863"/>
    <s v="Nac"/>
    <s v="COM"/>
    <x v="7"/>
    <n v="87.25"/>
    <x v="0"/>
    <n v="2.52"/>
    <n v="1.1200000000000001"/>
    <n v="0.2"/>
    <n v="84.53"/>
    <n v="0"/>
    <m/>
    <n v="20260409"/>
    <m/>
    <s v="DEBITO"/>
    <n v="3974527"/>
    <s v="VISA LOC"/>
    <m/>
    <s v="Yape"/>
    <d v="1899-12-30T19:24:19"/>
    <s v="XIAOMI SCHELL"/>
  </r>
  <r>
    <n v="1023366"/>
    <s v="VA"/>
    <s v="A"/>
    <d v="2026-04-08T00:00:00"/>
    <d v="2026-04-08T00:00:00"/>
    <m/>
    <n v="355"/>
    <s v="PS0005"/>
    <n v="7272"/>
    <n v="7572"/>
    <n v="2"/>
    <s v="445330******2629"/>
    <s v="Nac"/>
    <s v="COM"/>
    <x v="7"/>
    <n v="379"/>
    <x v="0"/>
    <n v="10.95"/>
    <n v="2.99"/>
    <n v="0.54"/>
    <n v="367.51"/>
    <n v="0"/>
    <m/>
    <n v="20260409"/>
    <m/>
    <s v="CREDITO"/>
    <n v="3974527"/>
    <s v="BCP"/>
    <s v="NO"/>
    <m/>
    <d v="1899-12-30T19:32:56"/>
    <s v="XIAOMI SCHELL"/>
  </r>
  <r>
    <n v="1023366"/>
    <s v="VA"/>
    <s v="A"/>
    <d v="2026-04-08T00:00:00"/>
    <d v="2026-04-08T00:00:00"/>
    <m/>
    <n v="355"/>
    <s v="PS0005"/>
    <n v="7274"/>
    <n v="737523"/>
    <m/>
    <s v="455103******2525"/>
    <s v="Nac"/>
    <s v="COM"/>
    <x v="7"/>
    <n v="159"/>
    <x v="0"/>
    <n v="4.5999999999999996"/>
    <n v="2.06"/>
    <n v="0.37"/>
    <n v="154.03"/>
    <n v="0"/>
    <m/>
    <n v="20260409"/>
    <m/>
    <s v="DEBITO"/>
    <n v="3974527"/>
    <s v="BBVA"/>
    <m/>
    <m/>
    <d v="1899-12-30T19:36:29"/>
    <s v="XIAOMI SCHELL"/>
  </r>
  <r>
    <n v="1023366"/>
    <s v="VA"/>
    <s v="A"/>
    <d v="2026-04-08T00:00:00"/>
    <d v="2026-04-08T00:00:00"/>
    <m/>
    <n v="355"/>
    <s v="PS0005"/>
    <n v="7276"/>
    <n v="2258"/>
    <m/>
    <s v="463402******4458"/>
    <s v="Nac"/>
    <s v="COM"/>
    <x v="7"/>
    <n v="248.9"/>
    <x v="0"/>
    <n v="7.19"/>
    <n v="1.96"/>
    <n v="0.35"/>
    <n v="241.36"/>
    <n v="0"/>
    <m/>
    <n v="20260409"/>
    <m/>
    <s v="CREDITO"/>
    <n v="3974527"/>
    <s v="BCP"/>
    <m/>
    <m/>
    <d v="1899-12-30T19:40:38"/>
    <s v="XIAOMI SCHELL"/>
  </r>
  <r>
    <n v="1023366"/>
    <s v="VA"/>
    <s v="A"/>
    <d v="2026-04-08T00:00:00"/>
    <d v="2026-04-08T00:00:00"/>
    <m/>
    <n v="355"/>
    <s v="PS0005"/>
    <n v="7278"/>
    <n v="967785"/>
    <m/>
    <s v="491246******8657"/>
    <s v="Nac"/>
    <s v="COM"/>
    <x v="7"/>
    <n v="269"/>
    <x v="0"/>
    <n v="7.77"/>
    <n v="2.12"/>
    <n v="0.38"/>
    <n v="260.85000000000002"/>
    <n v="0"/>
    <m/>
    <n v="20260409"/>
    <m/>
    <s v="DEBITO"/>
    <n v="3974527"/>
    <s v="BCP"/>
    <m/>
    <m/>
    <d v="1899-12-30T19:52:15"/>
    <s v="XIAOMI SCHELL"/>
  </r>
  <r>
    <n v="1023366"/>
    <s v="VA"/>
    <s v="A"/>
    <d v="2026-04-08T00:00:00"/>
    <d v="2026-04-08T00:00:00"/>
    <m/>
    <n v="355"/>
    <s v="PS0005"/>
    <n v="7281"/>
    <n v="561526"/>
    <m/>
    <s v="410755******3662"/>
    <s v="Ext"/>
    <s v="COM"/>
    <x v="7"/>
    <n v="69"/>
    <x v="0"/>
    <n v="2.69"/>
    <n v="1.31"/>
    <n v="0.24"/>
    <n v="66.069999999999993"/>
    <n v="0"/>
    <m/>
    <n v="20260409"/>
    <m/>
    <s v="CREDITO"/>
    <n v="3974527"/>
    <s v="VISA INT"/>
    <m/>
    <m/>
    <d v="1899-12-30T19:55:57"/>
    <s v="XIAOMI SCHELL"/>
  </r>
  <r>
    <n v="1023366"/>
    <s v="VA"/>
    <s v="A"/>
    <d v="2026-04-08T00:00:00"/>
    <d v="2026-04-08T00:00:00"/>
    <m/>
    <n v="355"/>
    <s v="PS0005"/>
    <n v="7283"/>
    <n v="978832"/>
    <m/>
    <s v="455788******0364"/>
    <s v="Nac"/>
    <s v="COM"/>
    <x v="7"/>
    <n v="588"/>
    <x v="0"/>
    <n v="16.989999999999998"/>
    <n v="7.58"/>
    <n v="1.36"/>
    <n v="569.65"/>
    <n v="0"/>
    <m/>
    <n v="20260409"/>
    <m/>
    <s v="DEBITO"/>
    <n v="3974527"/>
    <s v="VISA LOC"/>
    <m/>
    <m/>
    <d v="1899-12-30T19:58:09"/>
    <s v="XIAOMI SCHELL"/>
  </r>
  <r>
    <n v="1023366"/>
    <s v="VA"/>
    <s v="A"/>
    <d v="2026-04-08T00:00:00"/>
    <d v="2026-04-08T00:00:00"/>
    <m/>
    <n v="355"/>
    <s v="PS0005"/>
    <n v="7286"/>
    <n v="21783"/>
    <m/>
    <s v="432802******2727"/>
    <s v="Nac"/>
    <s v="COM"/>
    <x v="7"/>
    <n v="999"/>
    <x v="0"/>
    <n v="28.87"/>
    <n v="12.89"/>
    <n v="2.3199999999999998"/>
    <n v="967.81"/>
    <n v="0"/>
    <m/>
    <n v="20260409"/>
    <m/>
    <s v="DEBITO"/>
    <n v="3974527"/>
    <s v="VISA LOC"/>
    <m/>
    <m/>
    <d v="1899-12-30T20:21:43"/>
    <s v="XIAOMI SCHELL"/>
  </r>
  <r>
    <n v="1023366"/>
    <s v="VA"/>
    <s v="A"/>
    <d v="2026-04-08T00:00:00"/>
    <d v="2026-04-08T00:00:00"/>
    <m/>
    <n v="355"/>
    <s v="PS0005"/>
    <n v="7288"/>
    <n v="964982"/>
    <m/>
    <s v="491914******9811"/>
    <s v="Nac"/>
    <s v="COM"/>
    <x v="7"/>
    <n v="349"/>
    <x v="0"/>
    <n v="10.09"/>
    <n v="2.06"/>
    <n v="0.37"/>
    <n v="338.54"/>
    <n v="0"/>
    <m/>
    <n v="20260409"/>
    <m/>
    <s v="CREDITO"/>
    <n v="3974527"/>
    <s v="BBVA"/>
    <m/>
    <m/>
    <d v="1899-12-30T20:40:40"/>
    <s v="XIAOMI SCHELL"/>
  </r>
  <r>
    <n v="1023366"/>
    <s v="VA"/>
    <s v="A"/>
    <d v="2026-04-08T00:00:00"/>
    <d v="2026-04-08T00:00:00"/>
    <m/>
    <n v="355"/>
    <s v="PS0005"/>
    <n v="7290"/>
    <n v="114899"/>
    <m/>
    <s v="421410******3190"/>
    <s v="Nac"/>
    <s v="COM"/>
    <x v="7"/>
    <n v="2104"/>
    <x v="0"/>
    <n v="60.81"/>
    <n v="27.15"/>
    <n v="4.8899999999999997"/>
    <n v="2038.3"/>
    <n v="0"/>
    <m/>
    <n v="20260409"/>
    <m/>
    <s v="DEBITO"/>
    <n v="3974527"/>
    <s v="NACION"/>
    <m/>
    <m/>
    <d v="1899-12-30T20:56:16"/>
    <s v="XIAOMI SCHELL"/>
  </r>
  <r>
    <n v="1023366"/>
    <s v="VA"/>
    <s v="A"/>
    <d v="2026-04-08T00:00:00"/>
    <d v="2026-04-08T00:00:00"/>
    <m/>
    <n v="355"/>
    <s v="PS0005"/>
    <n v="7292"/>
    <n v="43555"/>
    <m/>
    <s v="491257******3318"/>
    <s v="Nac"/>
    <s v="COM"/>
    <x v="7"/>
    <n v="1999"/>
    <x v="0"/>
    <n v="57.77"/>
    <n v="25.79"/>
    <n v="4.6399999999999997"/>
    <n v="1936.59"/>
    <n v="13922.37"/>
    <d v="2026-04-09T00:00:00"/>
    <n v="20260409"/>
    <m/>
    <s v="DEBITO"/>
    <n v="3974527"/>
    <s v="BCP"/>
    <m/>
    <m/>
    <d v="1899-12-30T21:00:32"/>
    <s v="XIAOMI SCHELL"/>
  </r>
  <r>
    <n v="1023366"/>
    <s v="VK"/>
    <s v="A"/>
    <d v="2026-04-08T00:00:00"/>
    <d v="2026-04-08T00:00:00"/>
    <m/>
    <n v="355"/>
    <s v="PS0005"/>
    <n v="7216"/>
    <n v="23620"/>
    <m/>
    <s v="404071******6966"/>
    <s v="Nac"/>
    <s v="COM"/>
    <x v="7"/>
    <n v="55"/>
    <x v="0"/>
    <n v="1.59"/>
    <n v="0.43"/>
    <n v="0.08"/>
    <n v="53.33"/>
    <n v="53.33"/>
    <d v="2026-04-09T00:00:00"/>
    <n v="20260409"/>
    <m/>
    <s v="CREDITO"/>
    <n v="3974527"/>
    <s v="SIP MC"/>
    <m/>
    <m/>
    <d v="1899-12-30T11:49:37"/>
    <s v="XIAOMI SCHELL"/>
  </r>
  <r>
    <n v="1023366"/>
    <s v="MC"/>
    <s v="A"/>
    <d v="2026-04-09T00:00:00"/>
    <d v="2026-04-09T00:00:00"/>
    <m/>
    <n v="356"/>
    <s v="PS0005"/>
    <n v="7341"/>
    <n v="309646"/>
    <m/>
    <s v="530883******2559"/>
    <s v="Ext"/>
    <s v="COM"/>
    <x v="8"/>
    <n v="159"/>
    <x v="0"/>
    <n v="6.2"/>
    <n v="3.66"/>
    <n v="0.66"/>
    <n v="152.13999999999999"/>
    <n v="152.13999999999999"/>
    <d v="2026-04-10T00:00:00"/>
    <n v="20260410"/>
    <m/>
    <s v="CREDITO"/>
    <n v="3974527"/>
    <s v="MCI C. INTER"/>
    <m/>
    <m/>
    <d v="1899-12-30T17:09:51"/>
    <s v="XIAOMI SCHELL"/>
  </r>
  <r>
    <n v="1023366"/>
    <s v="VA"/>
    <s v="C"/>
    <d v="2026-04-09T00:00:00"/>
    <d v="2026-04-09T00:00:00"/>
    <m/>
    <n v="299"/>
    <s v="PS0005"/>
    <n v="1209"/>
    <n v="856106"/>
    <m/>
    <s v="455103******8825"/>
    <s v="Nac"/>
    <s v="EXT"/>
    <x v="8"/>
    <n v="-55"/>
    <x v="1"/>
    <n v="-1.59"/>
    <n v="-0.27"/>
    <n v="-0.05"/>
    <n v="-53.36"/>
    <n v="0"/>
    <m/>
    <m/>
    <s v="Descuento Pendiente"/>
    <s v="DEBITO"/>
    <n v="3974527"/>
    <s v="BBVA"/>
    <m/>
    <m/>
    <d v="1899-12-30T17:28:53"/>
    <s v="XIAOMI SCHELL"/>
  </r>
  <r>
    <n v="1023366"/>
    <s v="VA"/>
    <s v="A"/>
    <d v="2026-04-09T00:00:00"/>
    <d v="2026-04-09T00:00:00"/>
    <m/>
    <n v="356"/>
    <s v="PS0005"/>
    <n v="7307"/>
    <n v="579137"/>
    <m/>
    <s v="455788******6710"/>
    <s v="Nac"/>
    <s v="COM"/>
    <x v="8"/>
    <n v="84"/>
    <x v="0"/>
    <n v="2.4300000000000002"/>
    <n v="1.0900000000000001"/>
    <n v="0.2"/>
    <n v="81.37"/>
    <n v="0"/>
    <m/>
    <n v="20260410"/>
    <m/>
    <s v="DEBITO"/>
    <n v="3974527"/>
    <s v="BCP"/>
    <m/>
    <m/>
    <d v="1899-12-30T10:23:42"/>
    <s v="XIAOMI SCHELL"/>
  </r>
  <r>
    <n v="1023366"/>
    <s v="VA"/>
    <s v="A"/>
    <d v="2026-04-09T00:00:00"/>
    <d v="2026-04-09T00:00:00"/>
    <m/>
    <n v="356"/>
    <s v="PS0005"/>
    <n v="7309"/>
    <n v="674298"/>
    <m/>
    <s v="491246******4873"/>
    <s v="Nac"/>
    <s v="COM"/>
    <x v="8"/>
    <n v="6695"/>
    <x v="0"/>
    <n v="193.49"/>
    <n v="52.89"/>
    <n v="9.52"/>
    <n v="6491.99"/>
    <n v="0"/>
    <m/>
    <n v="20260410"/>
    <m/>
    <s v="DEBITO"/>
    <n v="3974527"/>
    <s v="BCP"/>
    <m/>
    <m/>
    <d v="1899-12-30T11:29:33"/>
    <s v="XIAOMI SCHELL"/>
  </r>
  <r>
    <n v="1023366"/>
    <s v="VA"/>
    <s v="A"/>
    <d v="2026-04-09T00:00:00"/>
    <d v="2026-04-09T00:00:00"/>
    <m/>
    <n v="356"/>
    <s v="PS0005"/>
    <n v="7311"/>
    <n v="342752"/>
    <m/>
    <s v="477289******4005"/>
    <s v="Nac"/>
    <s v="COM"/>
    <x v="8"/>
    <n v="250"/>
    <x v="0"/>
    <n v="7.23"/>
    <n v="0.98"/>
    <n v="0.18"/>
    <n v="242.59"/>
    <n v="0"/>
    <m/>
    <n v="20260410"/>
    <m/>
    <s v="CREDITO"/>
    <n v="3974527"/>
    <s v="IBK PRIVADA"/>
    <m/>
    <m/>
    <d v="1899-12-30T11:34:18"/>
    <s v="XIAOMI SCHELL"/>
  </r>
  <r>
    <n v="1023366"/>
    <s v="VA"/>
    <s v="A"/>
    <d v="2026-04-09T00:00:00"/>
    <d v="2026-04-09T00:00:00"/>
    <m/>
    <n v="356"/>
    <s v="PS0005"/>
    <n v="7313"/>
    <n v="631569"/>
    <m/>
    <s v="455788******8118"/>
    <s v="Nac"/>
    <s v="COM"/>
    <x v="8"/>
    <n v="349"/>
    <x v="0"/>
    <n v="10.09"/>
    <n v="4.51"/>
    <n v="0.81"/>
    <n v="338.1"/>
    <n v="0"/>
    <m/>
    <n v="20260410"/>
    <m/>
    <s v="DEBITO"/>
    <n v="3974527"/>
    <s v="BCP"/>
    <m/>
    <m/>
    <d v="1899-12-30T11:48:46"/>
    <s v="XIAOMI SCHELL"/>
  </r>
  <r>
    <n v="1023366"/>
    <s v="VA"/>
    <s v="A"/>
    <d v="2026-04-09T00:00:00"/>
    <d v="2026-04-09T00:00:00"/>
    <m/>
    <n v="356"/>
    <n v="65656565"/>
    <n v="7315"/>
    <n v="721186"/>
    <m/>
    <s v="455788******5711"/>
    <s v="Nac"/>
    <s v="COM"/>
    <x v="8"/>
    <n v="107"/>
    <x v="0"/>
    <n v="3.09"/>
    <n v="1.38"/>
    <n v="0.25"/>
    <n v="103.66"/>
    <n v="0"/>
    <m/>
    <n v="20260410"/>
    <m/>
    <s v="DEBITO"/>
    <n v="3974527"/>
    <s v="BCP"/>
    <m/>
    <s v="Yape"/>
    <d v="1899-12-30T12:16:52"/>
    <s v="XIAOMI SCHELL"/>
  </r>
  <r>
    <n v="1023366"/>
    <s v="VA"/>
    <s v="A"/>
    <d v="2026-04-09T00:00:00"/>
    <d v="2026-04-09T00:00:00"/>
    <m/>
    <n v="356"/>
    <s v="PS0005"/>
    <n v="7318"/>
    <n v="117561"/>
    <m/>
    <s v="455788******6001"/>
    <s v="Nac"/>
    <s v="COM"/>
    <x v="8"/>
    <n v="674"/>
    <x v="0"/>
    <n v="19.48"/>
    <n v="8.6999999999999993"/>
    <n v="1.57"/>
    <n v="652.95000000000005"/>
    <n v="0"/>
    <m/>
    <n v="20260410"/>
    <m/>
    <s v="DEBITO"/>
    <n v="3974527"/>
    <s v="BCP"/>
    <m/>
    <m/>
    <d v="1899-12-30T13:18:53"/>
    <s v="XIAOMI SCHELL"/>
  </r>
  <r>
    <n v="1023366"/>
    <s v="VA"/>
    <s v="A"/>
    <d v="2026-04-09T00:00:00"/>
    <d v="2026-04-09T00:00:00"/>
    <m/>
    <n v="356"/>
    <s v="PS0005"/>
    <n v="7322"/>
    <n v="908647"/>
    <m/>
    <s v="455788******4679"/>
    <s v="Nac"/>
    <s v="COM"/>
    <x v="8"/>
    <n v="269"/>
    <x v="0"/>
    <n v="7.77"/>
    <n v="3.47"/>
    <n v="0.62"/>
    <n v="260.61"/>
    <n v="0"/>
    <m/>
    <n v="20260410"/>
    <m/>
    <s v="DEBITO"/>
    <n v="3974527"/>
    <s v="BCP"/>
    <m/>
    <m/>
    <d v="1899-12-30T14:07:27"/>
    <s v="XIAOMI SCHELL"/>
  </r>
  <r>
    <n v="1023366"/>
    <s v="VA"/>
    <s v="A"/>
    <d v="2026-04-09T00:00:00"/>
    <d v="2026-04-09T00:00:00"/>
    <m/>
    <n v="356"/>
    <s v="PS0005"/>
    <n v="7324"/>
    <n v="279419"/>
    <m/>
    <s v="455788******1831"/>
    <s v="Nac"/>
    <s v="COM"/>
    <x v="8"/>
    <n v="65"/>
    <x v="0"/>
    <n v="1.88"/>
    <n v="0.84"/>
    <n v="0.15"/>
    <n v="62.97"/>
    <n v="0"/>
    <m/>
    <n v="20260410"/>
    <m/>
    <s v="DEBITO"/>
    <n v="3974527"/>
    <s v="BCP"/>
    <m/>
    <m/>
    <d v="1899-12-30T14:57:17"/>
    <s v="XIAOMI SCHELL"/>
  </r>
  <r>
    <n v="1023366"/>
    <s v="VA"/>
    <s v="A"/>
    <d v="2026-04-09T00:00:00"/>
    <d v="2026-04-09T00:00:00"/>
    <m/>
    <n v="356"/>
    <s v="PS0005"/>
    <n v="7326"/>
    <n v="906558"/>
    <m/>
    <s v="444355******4718"/>
    <s v="Nac"/>
    <s v="COM"/>
    <x v="8"/>
    <n v="149"/>
    <x v="0"/>
    <n v="4.3099999999999996"/>
    <n v="1.93"/>
    <n v="0.35"/>
    <n v="144.34"/>
    <n v="0"/>
    <m/>
    <n v="20260410"/>
    <m/>
    <s v="DEBITO"/>
    <n v="3974527"/>
    <s v="BBVA"/>
    <m/>
    <m/>
    <d v="1899-12-30T15:04:18"/>
    <s v="XIAOMI SCHELL"/>
  </r>
  <r>
    <n v="1023366"/>
    <s v="VA"/>
    <s v="A"/>
    <d v="2026-04-09T00:00:00"/>
    <d v="2026-04-09T00:00:00"/>
    <m/>
    <n v="356"/>
    <s v="PS0005"/>
    <n v="7328"/>
    <n v="48223"/>
    <m/>
    <s v="447409******3906"/>
    <s v="Nac"/>
    <s v="COM"/>
    <x v="8"/>
    <n v="149"/>
    <x v="0"/>
    <n v="4.3099999999999996"/>
    <n v="1.18"/>
    <n v="0.21"/>
    <n v="144.47999999999999"/>
    <n v="0"/>
    <m/>
    <n v="20260410"/>
    <m/>
    <s v="CREDITO"/>
    <n v="3974527"/>
    <s v="BFALABELLA"/>
    <m/>
    <m/>
    <d v="1899-12-30T15:06:55"/>
    <s v="XIAOMI SCHELL"/>
  </r>
  <r>
    <n v="1023366"/>
    <s v="VA"/>
    <s v="A"/>
    <d v="2026-04-09T00:00:00"/>
    <d v="2026-04-09T00:00:00"/>
    <m/>
    <n v="356"/>
    <s v="PS0005"/>
    <n v="7330"/>
    <n v="131560"/>
    <m/>
    <s v="455696******4724"/>
    <s v="Nac"/>
    <s v="COM"/>
    <x v="8"/>
    <n v="247"/>
    <x v="0"/>
    <n v="7.14"/>
    <n v="1.46"/>
    <n v="0.26"/>
    <n v="239.6"/>
    <n v="0"/>
    <m/>
    <n v="20260410"/>
    <m/>
    <s v="CREDITO"/>
    <n v="3974527"/>
    <s v="IBK PRIVADA"/>
    <m/>
    <m/>
    <d v="1899-12-30T15:13:07"/>
    <s v="XIAOMI SCHELL"/>
  </r>
  <r>
    <n v="1023366"/>
    <s v="VA"/>
    <s v="A"/>
    <d v="2026-04-09T00:00:00"/>
    <d v="2026-04-09T00:00:00"/>
    <m/>
    <n v="356"/>
    <s v="PS0005"/>
    <n v="7332"/>
    <n v="956767"/>
    <m/>
    <s v="414791******9601"/>
    <s v="Nac"/>
    <s v="COM"/>
    <x v="8"/>
    <n v="344"/>
    <x v="0"/>
    <n v="9.94"/>
    <n v="2.0299999999999998"/>
    <n v="0.37"/>
    <n v="333.69"/>
    <n v="0"/>
    <m/>
    <n v="20260410"/>
    <m/>
    <s v="CREDITO"/>
    <n v="3974527"/>
    <s v="BBVA"/>
    <m/>
    <m/>
    <d v="1899-12-30T15:22:17"/>
    <s v="XIAOMI SCHELL"/>
  </r>
  <r>
    <n v="1023366"/>
    <s v="VA"/>
    <s v="A"/>
    <d v="2026-04-09T00:00:00"/>
    <d v="2026-04-09T00:00:00"/>
    <m/>
    <n v="356"/>
    <s v="PS0005"/>
    <n v="7334"/>
    <n v="245966"/>
    <m/>
    <s v="454775******6611"/>
    <s v="Nac"/>
    <s v="COM"/>
    <x v="8"/>
    <n v="159"/>
    <x v="0"/>
    <n v="4.5999999999999996"/>
    <n v="1.26"/>
    <n v="0.23"/>
    <n v="154.16999999999999"/>
    <n v="0"/>
    <m/>
    <n v="20260410"/>
    <m/>
    <s v="CREDITO"/>
    <n v="3974527"/>
    <s v="IBK PRIVADA"/>
    <m/>
    <m/>
    <d v="1899-12-30T15:24:51"/>
    <s v="XIAOMI SCHELL"/>
  </r>
  <r>
    <n v="1023366"/>
    <s v="VA"/>
    <s v="A"/>
    <d v="2026-04-09T00:00:00"/>
    <d v="2026-04-09T00:00:00"/>
    <m/>
    <n v="356"/>
    <s v="PS0005"/>
    <n v="7336"/>
    <n v="76263"/>
    <m/>
    <s v="477765******7741"/>
    <s v="Nac"/>
    <s v="COM"/>
    <x v="8"/>
    <n v="34.9"/>
    <x v="0"/>
    <n v="1.01"/>
    <n v="0.45"/>
    <n v="0.08"/>
    <n v="33.81"/>
    <n v="0"/>
    <m/>
    <n v="20260410"/>
    <m/>
    <s v="DEBITO"/>
    <n v="3974527"/>
    <s v="SCOTIABANK"/>
    <m/>
    <m/>
    <d v="1899-12-30T16:38:41"/>
    <s v="XIAOMI SCHELL"/>
  </r>
  <r>
    <n v="1023366"/>
    <s v="VA"/>
    <s v="A"/>
    <d v="2026-04-09T00:00:00"/>
    <d v="2026-04-09T00:00:00"/>
    <m/>
    <n v="356"/>
    <s v="PS0005"/>
    <n v="7338"/>
    <n v="158199"/>
    <m/>
    <s v="444697******4878"/>
    <s v="Nac"/>
    <s v="COM"/>
    <x v="8"/>
    <n v="69"/>
    <x v="0"/>
    <n v="1.99"/>
    <n v="0.89"/>
    <n v="0.16"/>
    <n v="66.849999999999994"/>
    <n v="0"/>
    <m/>
    <n v="20260410"/>
    <m/>
    <s v="DEBITO"/>
    <n v="3974527"/>
    <s v="BCP"/>
    <m/>
    <m/>
    <d v="1899-12-30T16:44:26"/>
    <s v="XIAOMI SCHELL"/>
  </r>
  <r>
    <n v="1023366"/>
    <s v="VA"/>
    <s v="A"/>
    <d v="2026-04-09T00:00:00"/>
    <d v="2026-04-09T00:00:00"/>
    <m/>
    <n v="356"/>
    <s v="PS0005"/>
    <n v="7344"/>
    <n v="200648"/>
    <m/>
    <s v="493807******9528"/>
    <s v="Ext"/>
    <s v="COM"/>
    <x v="8"/>
    <n v="55"/>
    <x v="0"/>
    <n v="2.15"/>
    <n v="1.07"/>
    <n v="0.19"/>
    <n v="52.66"/>
    <n v="0"/>
    <m/>
    <n v="20260410"/>
    <m/>
    <s v="CREDITO"/>
    <n v="3974527"/>
    <s v="VISA INT"/>
    <m/>
    <m/>
    <d v="1899-12-30T17:40:56"/>
    <s v="XIAOMI SCHELL"/>
  </r>
  <r>
    <n v="1023366"/>
    <s v="VA"/>
    <s v="A"/>
    <d v="2026-04-09T00:00:00"/>
    <d v="2026-04-09T00:00:00"/>
    <m/>
    <n v="356"/>
    <s v="PS0005"/>
    <n v="7346"/>
    <n v="260674"/>
    <m/>
    <s v="491257******9319"/>
    <s v="Nac"/>
    <s v="COM"/>
    <x v="8"/>
    <n v="78.3"/>
    <x v="0"/>
    <n v="2.2599999999999998"/>
    <n v="1.01"/>
    <n v="0.18"/>
    <n v="75.86"/>
    <n v="0"/>
    <m/>
    <n v="20260410"/>
    <m/>
    <s v="DEBITO"/>
    <n v="3974527"/>
    <s v="BCP"/>
    <m/>
    <m/>
    <d v="1899-12-30T17:47:04"/>
    <s v="XIAOMI SCHELL"/>
  </r>
  <r>
    <n v="1023366"/>
    <s v="VA"/>
    <s v="A"/>
    <d v="2026-04-09T00:00:00"/>
    <d v="2026-04-09T00:00:00"/>
    <m/>
    <n v="356"/>
    <n v="65656565"/>
    <n v="7348"/>
    <n v="255627"/>
    <m/>
    <s v="455788******9224"/>
    <s v="Nac"/>
    <s v="COM"/>
    <x v="8"/>
    <n v="55"/>
    <x v="0"/>
    <n v="1.58"/>
    <n v="0.7"/>
    <n v="0.13"/>
    <n v="53.29"/>
    <n v="0"/>
    <m/>
    <n v="20260410"/>
    <m/>
    <s v="DEBITO"/>
    <n v="3974527"/>
    <s v="BCP"/>
    <m/>
    <s v="Yape"/>
    <d v="1899-12-30T18:24:03"/>
    <s v="XIAOMI SCHELL"/>
  </r>
  <r>
    <n v="1023366"/>
    <s v="VA"/>
    <s v="A"/>
    <d v="2026-04-09T00:00:00"/>
    <d v="2026-04-09T00:00:00"/>
    <m/>
    <n v="356"/>
    <s v="PS0005"/>
    <n v="7351"/>
    <n v="707938"/>
    <m/>
    <s v="455788******9321"/>
    <s v="Nac"/>
    <s v="COM"/>
    <x v="8"/>
    <n v="150"/>
    <x v="0"/>
    <n v="4.34"/>
    <n v="1.94"/>
    <n v="0.35"/>
    <n v="145.31"/>
    <n v="0"/>
    <m/>
    <n v="20260410"/>
    <m/>
    <s v="DEBITO"/>
    <n v="3974527"/>
    <s v="BCP"/>
    <m/>
    <m/>
    <d v="1899-12-30T19:18:49"/>
    <s v="XIAOMI SCHELL"/>
  </r>
  <r>
    <n v="1023366"/>
    <s v="VA"/>
    <s v="A"/>
    <d v="2026-04-09T00:00:00"/>
    <d v="2026-04-09T00:00:00"/>
    <m/>
    <n v="356"/>
    <n v="65656565"/>
    <n v="7353"/>
    <n v="424857"/>
    <m/>
    <s v="455788******3086"/>
    <s v="Nac"/>
    <s v="COM"/>
    <x v="8"/>
    <n v="144"/>
    <x v="0"/>
    <n v="4.16"/>
    <n v="1.86"/>
    <n v="0.33"/>
    <n v="139.51"/>
    <n v="0"/>
    <m/>
    <n v="20260410"/>
    <m/>
    <s v="DEBITO"/>
    <n v="3974527"/>
    <s v="BCP"/>
    <m/>
    <s v="Yape"/>
    <d v="1899-12-30T19:29:05"/>
    <s v="XIAOMI SCHELL"/>
  </r>
  <r>
    <n v="1023366"/>
    <s v="VA"/>
    <s v="A"/>
    <d v="2026-04-09T00:00:00"/>
    <d v="2026-04-09T00:00:00"/>
    <m/>
    <n v="356"/>
    <s v="PS0005"/>
    <n v="7356"/>
    <n v="106120"/>
    <m/>
    <s v="428582******0410"/>
    <s v="Nac"/>
    <s v="COM"/>
    <x v="8"/>
    <n v="65"/>
    <x v="0"/>
    <n v="1.88"/>
    <n v="0.84"/>
    <n v="0.15"/>
    <n v="62.97"/>
    <n v="0"/>
    <m/>
    <n v="20260410"/>
    <m/>
    <s v="DEBITO"/>
    <n v="3974527"/>
    <s v="SCOTIABANK"/>
    <m/>
    <m/>
    <d v="1899-12-30T19:33:27"/>
    <s v="XIAOMI SCHELL"/>
  </r>
  <r>
    <n v="1023366"/>
    <s v="VA"/>
    <s v="A"/>
    <d v="2026-04-09T00:00:00"/>
    <d v="2026-04-09T00:00:00"/>
    <m/>
    <n v="356"/>
    <s v="PS0005"/>
    <n v="7358"/>
    <n v="374043"/>
    <m/>
    <s v="411090******6350"/>
    <s v="Nac"/>
    <s v="COM"/>
    <x v="8"/>
    <n v="79"/>
    <x v="0"/>
    <n v="2.2799999999999998"/>
    <n v="0.46"/>
    <n v="0.08"/>
    <n v="76.64"/>
    <n v="0"/>
    <m/>
    <n v="20260410"/>
    <m/>
    <s v="CREDITO"/>
    <n v="3974527"/>
    <s v="IBK PRIVADA"/>
    <m/>
    <m/>
    <d v="1899-12-30T19:37:32"/>
    <s v="XIAOMI SCHELL"/>
  </r>
  <r>
    <n v="1023366"/>
    <s v="VA"/>
    <s v="A"/>
    <d v="2026-04-09T00:00:00"/>
    <d v="2026-04-09T00:00:00"/>
    <m/>
    <n v="356"/>
    <s v="PS0005"/>
    <n v="7360"/>
    <n v="47679"/>
    <m/>
    <s v="494386******0659"/>
    <s v="Nac"/>
    <s v="COM"/>
    <x v="8"/>
    <n v="44.75"/>
    <x v="0"/>
    <n v="1.29"/>
    <n v="0.35"/>
    <n v="0.06"/>
    <n v="43.4"/>
    <n v="0"/>
    <m/>
    <n v="20260410"/>
    <m/>
    <s v="CREDITO"/>
    <n v="3974527"/>
    <s v="SCOTIABANK"/>
    <m/>
    <m/>
    <d v="1899-12-30T19:51:45"/>
    <s v="XIAOMI SCHELL"/>
  </r>
  <r>
    <n v="1023366"/>
    <s v="VA"/>
    <s v="A"/>
    <d v="2026-04-09T00:00:00"/>
    <d v="2026-04-09T00:00:00"/>
    <m/>
    <n v="356"/>
    <n v="65656565"/>
    <n v="7362"/>
    <n v="512996"/>
    <m/>
    <s v="455788******2758"/>
    <s v="Nac"/>
    <s v="COM"/>
    <x v="8"/>
    <n v="49.9"/>
    <x v="0"/>
    <n v="1.44"/>
    <n v="0.64"/>
    <n v="0.12"/>
    <n v="48.34"/>
    <n v="0"/>
    <m/>
    <n v="20260410"/>
    <m/>
    <s v="DEBITO"/>
    <n v="3974527"/>
    <s v="VISA LOC"/>
    <m/>
    <s v="Yape"/>
    <d v="1899-12-30T20:01:27"/>
    <s v="XIAOMI SCHELL"/>
  </r>
  <r>
    <n v="1023366"/>
    <s v="VA"/>
    <s v="A"/>
    <d v="2026-04-09T00:00:00"/>
    <d v="2026-04-09T00:00:00"/>
    <m/>
    <n v="356"/>
    <s v="PS0005"/>
    <n v="7366"/>
    <n v="980606"/>
    <m/>
    <s v="438466******6753"/>
    <s v="Nac"/>
    <s v="COM"/>
    <x v="8"/>
    <n v="89.9"/>
    <x v="0"/>
    <n v="2.6"/>
    <n v="1.1599999999999999"/>
    <n v="0.21"/>
    <n v="87.09"/>
    <n v="0"/>
    <m/>
    <n v="20260410"/>
    <m/>
    <s v="DEBITO"/>
    <n v="3974527"/>
    <s v="VISA LOC"/>
    <m/>
    <m/>
    <d v="1899-12-30T20:27:23"/>
    <s v="XIAOMI SCHELL"/>
  </r>
  <r>
    <n v="1023366"/>
    <s v="VA"/>
    <s v="A"/>
    <d v="2026-04-09T00:00:00"/>
    <m/>
    <m/>
    <m/>
    <m/>
    <m/>
    <m/>
    <m/>
    <m/>
    <m/>
    <m/>
    <x v="9"/>
    <n v="0"/>
    <x v="2"/>
    <n v="0"/>
    <n v="0"/>
    <n v="0"/>
    <n v="-53.36"/>
    <n v="10082.89"/>
    <d v="2026-04-10T00:00:00"/>
    <n v="20260410"/>
    <s v="Descuentos Aplicados"/>
    <m/>
    <m/>
    <m/>
    <m/>
    <m/>
    <m/>
    <s v="XIAOMI SCHELL"/>
  </r>
  <r>
    <n v="1023366"/>
    <s v="VA"/>
    <s v="D"/>
    <d v="2026-04-09T00:00:00"/>
    <d v="2026-04-09T00:00:00"/>
    <m/>
    <n v="356"/>
    <s v="PS0005"/>
    <n v="1209"/>
    <n v="856106"/>
    <m/>
    <s v="455103******8825"/>
    <s v="Nac"/>
    <s v="EXT"/>
    <x v="8"/>
    <n v="-55"/>
    <x v="1"/>
    <n v="-1.59"/>
    <n v="-0.27"/>
    <n v="-0.05"/>
    <n v="-53.36"/>
    <n v="0"/>
    <m/>
    <n v="20260410"/>
    <s v="Detalle Descuento"/>
    <s v="DEBITO"/>
    <n v="3974527"/>
    <s v="BCP"/>
    <m/>
    <m/>
    <d v="1899-12-30T10:23:42"/>
    <s v="XIAOMI SCHELL"/>
  </r>
  <r>
    <n v="1023366"/>
    <s v="MC"/>
    <s v="A"/>
    <n v="46122"/>
    <n v="46122"/>
    <m/>
    <n v="357"/>
    <s v="PS0005"/>
    <n v="7387"/>
    <n v="393070"/>
    <n v="2"/>
    <s v="525435******7371"/>
    <s v="Nac"/>
    <s v="COM"/>
    <x v="10"/>
    <n v="269"/>
    <x v="0"/>
    <n v="7.77"/>
    <n v="2.12"/>
    <n v="0.38"/>
    <n v="260.85000000000002"/>
    <n v="0"/>
    <m/>
    <n v="20260413"/>
    <m/>
    <s v="CREDITO"/>
    <n v="3974527"/>
    <s v="BRIPLEY"/>
    <s v="NO"/>
    <m/>
    <n v="0.51037037037037036"/>
    <s v="XIAOMI SCHELL"/>
  </r>
  <r>
    <n v="1023366"/>
    <s v="MC"/>
    <s v="A"/>
    <n v="46122"/>
    <n v="46122"/>
    <m/>
    <n v="357"/>
    <s v="PS0005"/>
    <n v="7415"/>
    <n v="70624"/>
    <m/>
    <s v="518053******1900"/>
    <s v="Ext"/>
    <s v="COM"/>
    <x v="10"/>
    <n v="89.9"/>
    <x v="0"/>
    <n v="3.51"/>
    <n v="1.73"/>
    <n v="0.31"/>
    <n v="86.08"/>
    <n v="0"/>
    <m/>
    <n v="20260413"/>
    <m/>
    <s v="CREDITO"/>
    <n v="3974527"/>
    <s v="MCI C. INTER"/>
    <m/>
    <m/>
    <n v="0.74672453703703701"/>
    <s v="XIAOMI SCHELL"/>
  </r>
  <r>
    <n v="1023366"/>
    <s v="MC"/>
    <s v="A"/>
    <n v="46122"/>
    <n v="46122"/>
    <m/>
    <n v="357"/>
    <s v="PS0005"/>
    <n v="7421"/>
    <n v="183035"/>
    <m/>
    <s v="530691******2897"/>
    <s v="Ext"/>
    <s v="COM"/>
    <x v="10"/>
    <n v="17.899999999999999"/>
    <x v="0"/>
    <n v="0.7"/>
    <n v="0.41"/>
    <n v="7.0000000000000007E-2"/>
    <n v="17.13"/>
    <n v="364.06"/>
    <n v="46125"/>
    <n v="20260413"/>
    <m/>
    <s v="CREDITO"/>
    <n v="3974527"/>
    <s v="MCI C. INTER"/>
    <m/>
    <m/>
    <n v="0.7712268518518518"/>
    <s v="XIAOMI SCHELL"/>
  </r>
  <r>
    <n v="1023366"/>
    <s v="VA"/>
    <s v="C"/>
    <n v="46122"/>
    <n v="46122"/>
    <m/>
    <n v="349"/>
    <s v="PS0005"/>
    <n v="6655"/>
    <n v="8454"/>
    <m/>
    <s v="445330******0512"/>
    <s v="Nac"/>
    <s v="EXT"/>
    <x v="10"/>
    <n v="-189"/>
    <x v="1"/>
    <n v="-5.46"/>
    <n v="-1.1100000000000001"/>
    <n v="-0.2"/>
    <n v="-183.34"/>
    <n v="0"/>
    <m/>
    <m/>
    <s v="Descuento Pendiente"/>
    <s v="CREDITO"/>
    <n v="3974527"/>
    <s v="BCP"/>
    <m/>
    <m/>
    <n v="0.83964120370370365"/>
    <s v="XIAOMI SCHELL"/>
  </r>
  <r>
    <n v="1023366"/>
    <s v="VA"/>
    <s v="A"/>
    <n v="46122"/>
    <n v="46122"/>
    <m/>
    <n v="662"/>
    <s v="PS0003"/>
    <n v="9153"/>
    <n v="427441"/>
    <m/>
    <s v="407876******1888"/>
    <s v="Nac"/>
    <s v="COM"/>
    <x v="10"/>
    <n v="1399"/>
    <x v="0"/>
    <n v="40.43"/>
    <n v="8.25"/>
    <n v="1.49"/>
    <n v="1357.08"/>
    <n v="0"/>
    <m/>
    <n v="20260413"/>
    <m/>
    <s v="CREDITO"/>
    <s v="FD8B1962"/>
    <s v="BFALABELLA"/>
    <m/>
    <m/>
    <n v="0.79364583333333338"/>
    <s v="XIAOMI SCHELL"/>
  </r>
  <r>
    <n v="1023366"/>
    <s v="VA"/>
    <s v="A"/>
    <n v="46122"/>
    <n v="46122"/>
    <m/>
    <n v="357"/>
    <s v="PS0005"/>
    <n v="7381"/>
    <n v="174879"/>
    <m/>
    <s v="444355******5755"/>
    <s v="Nac"/>
    <s v="COM"/>
    <x v="10"/>
    <n v="2998"/>
    <x v="0"/>
    <n v="86.64"/>
    <n v="17.690000000000001"/>
    <n v="3.18"/>
    <n v="2908.18"/>
    <n v="0"/>
    <m/>
    <n v="20260413"/>
    <m/>
    <s v="CREDITO"/>
    <n v="3974527"/>
    <s v="BBVA"/>
    <m/>
    <m/>
    <n v="0.45740740740740743"/>
    <s v="XIAOMI SCHELL"/>
  </r>
  <r>
    <n v="1023366"/>
    <s v="VA"/>
    <s v="A"/>
    <n v="46122"/>
    <n v="46122"/>
    <m/>
    <n v="357"/>
    <s v="PS0005"/>
    <n v="7383"/>
    <n v="341124"/>
    <m/>
    <s v="444355******9306"/>
    <s v="Nac"/>
    <s v="COM"/>
    <x v="10"/>
    <n v="189"/>
    <x v="0"/>
    <n v="5.46"/>
    <n v="2.44"/>
    <n v="0.44"/>
    <n v="183.1"/>
    <n v="0"/>
    <m/>
    <n v="20260413"/>
    <m/>
    <s v="DEBITO"/>
    <n v="3974527"/>
    <s v="BBVA"/>
    <m/>
    <m/>
    <n v="0.49479166666666669"/>
    <s v="XIAOMI SCHELL"/>
  </r>
  <r>
    <n v="1023366"/>
    <s v="VA"/>
    <s v="A"/>
    <n v="46122"/>
    <n v="46122"/>
    <m/>
    <n v="357"/>
    <s v="PS0005"/>
    <n v="7385"/>
    <n v="589837"/>
    <m/>
    <s v="455788******3877"/>
    <s v="Nac"/>
    <s v="COM"/>
    <x v="10"/>
    <n v="2267.9"/>
    <x v="0"/>
    <n v="65.540000000000006"/>
    <n v="29.25"/>
    <n v="5.27"/>
    <n v="2197.09"/>
    <n v="0"/>
    <m/>
    <n v="20260413"/>
    <m/>
    <s v="DEBITO"/>
    <n v="3974527"/>
    <s v="BCP"/>
    <m/>
    <m/>
    <n v="0.5012847222222222"/>
    <s v="XIAOMI SCHELL"/>
  </r>
  <r>
    <n v="1023366"/>
    <s v="VA"/>
    <s v="A"/>
    <n v="46122"/>
    <n v="46122"/>
    <m/>
    <n v="357"/>
    <s v="PS0005"/>
    <n v="7389"/>
    <n v="4316"/>
    <m/>
    <s v="444437******5535"/>
    <s v="Nac"/>
    <s v="COM"/>
    <x v="10"/>
    <n v="79"/>
    <x v="0"/>
    <n v="2.2799999999999998"/>
    <n v="0.3"/>
    <n v="0.05"/>
    <n v="76.67"/>
    <n v="0"/>
    <m/>
    <n v="20260413"/>
    <m/>
    <s v="CREDITO"/>
    <n v="3974527"/>
    <s v="BCP"/>
    <m/>
    <m/>
    <n v="0.52431712962962962"/>
    <s v="XIAOMI SCHELL"/>
  </r>
  <r>
    <n v="1023366"/>
    <s v="VA"/>
    <s v="A"/>
    <n v="46122"/>
    <n v="46122"/>
    <m/>
    <n v="357"/>
    <s v="PS0005"/>
    <n v="7391"/>
    <n v="376909"/>
    <m/>
    <s v="455788******0151"/>
    <s v="Nac"/>
    <s v="COM"/>
    <x v="10"/>
    <n v="35"/>
    <x v="0"/>
    <n v="1.01"/>
    <n v="0.45"/>
    <n v="0.08"/>
    <n v="33.909999999999997"/>
    <n v="0"/>
    <m/>
    <n v="20260413"/>
    <m/>
    <s v="DEBITO"/>
    <n v="3974527"/>
    <s v="BCP"/>
    <m/>
    <m/>
    <n v="0.54835648148148153"/>
    <s v="XIAOMI SCHELL"/>
  </r>
  <r>
    <n v="1023366"/>
    <s v="VA"/>
    <s v="A"/>
    <n v="46122"/>
    <n v="46122"/>
    <m/>
    <n v="357"/>
    <s v="PS0005"/>
    <n v="7393"/>
    <n v="251394"/>
    <m/>
    <s v="433466******1618"/>
    <s v="Nac"/>
    <s v="COM"/>
    <x v="10"/>
    <n v="34.9"/>
    <x v="0"/>
    <n v="1.01"/>
    <n v="0.28000000000000003"/>
    <n v="0.05"/>
    <n v="33.840000000000003"/>
    <n v="0"/>
    <m/>
    <n v="20260413"/>
    <m/>
    <s v="DEBITO"/>
    <n v="3974527"/>
    <s v="MIBANCO"/>
    <m/>
    <m/>
    <n v="0.54997685185185186"/>
    <s v="XIAOMI SCHELL"/>
  </r>
  <r>
    <n v="1023366"/>
    <s v="VA"/>
    <s v="A"/>
    <n v="46122"/>
    <n v="46122"/>
    <m/>
    <n v="357"/>
    <s v="PS0005"/>
    <n v="7395"/>
    <n v="152069"/>
    <m/>
    <s v="455696******4941"/>
    <s v="Nac"/>
    <s v="COM"/>
    <x v="10"/>
    <n v="89.9"/>
    <x v="0"/>
    <n v="2.6"/>
    <n v="0.71"/>
    <n v="0.13"/>
    <n v="87.17"/>
    <n v="0"/>
    <m/>
    <n v="20260413"/>
    <m/>
    <s v="CREDITO"/>
    <n v="3974527"/>
    <s v="IBK PRIVADA"/>
    <m/>
    <m/>
    <n v="0.5521759259259259"/>
    <s v="XIAOMI SCHELL"/>
  </r>
  <r>
    <n v="1023366"/>
    <s v="VA"/>
    <s v="A"/>
    <n v="46122"/>
    <n v="46122"/>
    <m/>
    <n v="357"/>
    <s v="PS0005"/>
    <n v="7397"/>
    <n v="108234"/>
    <m/>
    <s v="421355******7224"/>
    <s v="Nac"/>
    <s v="COM"/>
    <x v="10"/>
    <n v="55"/>
    <x v="0"/>
    <n v="1.59"/>
    <n v="0.71"/>
    <n v="0.13"/>
    <n v="53.28"/>
    <n v="0"/>
    <m/>
    <n v="20260413"/>
    <m/>
    <s v="DEBITO"/>
    <n v="3974527"/>
    <s v="IBK PRIVADA"/>
    <m/>
    <m/>
    <n v="0.57946759259259262"/>
    <s v="XIAOMI SCHELL"/>
  </r>
  <r>
    <n v="1023366"/>
    <s v="VA"/>
    <s v="A"/>
    <n v="46122"/>
    <n v="46122"/>
    <m/>
    <n v="357"/>
    <s v="PS0005"/>
    <n v="7399"/>
    <n v="60750"/>
    <m/>
    <s v="455696******2679"/>
    <s v="Nac"/>
    <s v="COM"/>
    <x v="10"/>
    <n v="89.9"/>
    <x v="0"/>
    <n v="2.6"/>
    <n v="0.53"/>
    <n v="0.1"/>
    <n v="87.2"/>
    <n v="0"/>
    <m/>
    <n v="20260413"/>
    <m/>
    <s v="CREDITO"/>
    <n v="3974527"/>
    <s v="IBK PRIVADA"/>
    <m/>
    <m/>
    <n v="0.58748842592592587"/>
    <s v="XIAOMI SCHELL"/>
  </r>
  <r>
    <n v="1023366"/>
    <s v="VA"/>
    <s v="A"/>
    <n v="46122"/>
    <n v="46122"/>
    <m/>
    <n v="357"/>
    <s v="PS0005"/>
    <n v="7401"/>
    <n v="890189"/>
    <m/>
    <s v="455788******2741"/>
    <s v="Nac"/>
    <s v="COM"/>
    <x v="10"/>
    <n v="105"/>
    <x v="0"/>
    <n v="3.03"/>
    <n v="1.35"/>
    <n v="0.24"/>
    <n v="101.73"/>
    <n v="0"/>
    <m/>
    <n v="20260413"/>
    <m/>
    <s v="DEBITO"/>
    <n v="3974527"/>
    <s v="BCP"/>
    <m/>
    <m/>
    <n v="0.62035879629629631"/>
    <s v="XIAOMI SCHELL"/>
  </r>
  <r>
    <n v="1023366"/>
    <s v="VA"/>
    <s v="A"/>
    <n v="46122"/>
    <n v="46122"/>
    <m/>
    <n v="357"/>
    <s v="PS0005"/>
    <n v="7403"/>
    <n v="994206"/>
    <n v="3"/>
    <s v="414791******6099"/>
    <s v="Nac"/>
    <s v="COM"/>
    <x v="10"/>
    <n v="269"/>
    <x v="0"/>
    <n v="12.48"/>
    <n v="1.58"/>
    <n v="0.28000000000000003"/>
    <n v="256.24"/>
    <n v="0"/>
    <m/>
    <n v="20260413"/>
    <m/>
    <s v="CREDITO"/>
    <n v="3974527"/>
    <s v="BBVA"/>
    <s v="SI"/>
    <m/>
    <n v="0.6283333333333333"/>
    <s v="XIAOMI SCHELL"/>
  </r>
  <r>
    <n v="1023366"/>
    <s v="VA"/>
    <s v="A"/>
    <n v="46122"/>
    <n v="46122"/>
    <m/>
    <n v="357"/>
    <s v="PS0005"/>
    <n v="7406"/>
    <n v="681142"/>
    <m/>
    <s v="432802******5243"/>
    <s v="Nac"/>
    <s v="COM"/>
    <x v="10"/>
    <n v="159"/>
    <x v="0"/>
    <n v="4.5999999999999996"/>
    <n v="2.06"/>
    <n v="0.37"/>
    <n v="154.03"/>
    <n v="0"/>
    <m/>
    <n v="20260413"/>
    <m/>
    <s v="DEBITO"/>
    <n v="3974527"/>
    <s v="VISA LOC"/>
    <m/>
    <m/>
    <n v="0.67598379629629635"/>
    <s v="XIAOMI SCHELL"/>
  </r>
  <r>
    <n v="1023366"/>
    <s v="VA"/>
    <s v="A"/>
    <n v="46122"/>
    <n v="46122"/>
    <m/>
    <n v="357"/>
    <s v="PS0005"/>
    <n v="7408"/>
    <n v="8020"/>
    <m/>
    <s v="445330******4047"/>
    <s v="Nac"/>
    <s v="COM"/>
    <x v="10"/>
    <n v="349"/>
    <x v="0"/>
    <n v="10.09"/>
    <n v="2.06"/>
    <n v="0.37"/>
    <n v="338.54"/>
    <n v="0"/>
    <m/>
    <n v="20260413"/>
    <m/>
    <s v="CREDITO"/>
    <n v="3974527"/>
    <s v="BCP"/>
    <m/>
    <m/>
    <n v="0.67783564814814812"/>
    <s v="XIAOMI SCHELL"/>
  </r>
  <r>
    <n v="1023366"/>
    <s v="VA"/>
    <s v="A"/>
    <n v="46122"/>
    <n v="46122"/>
    <m/>
    <n v="357"/>
    <s v="PS0005"/>
    <n v="7410"/>
    <n v="753966"/>
    <m/>
    <s v="491257******1137"/>
    <s v="Nac"/>
    <s v="COM"/>
    <x v="10"/>
    <n v="387.9"/>
    <x v="0"/>
    <n v="11.21"/>
    <n v="5"/>
    <n v="0.9"/>
    <n v="375.79"/>
    <n v="0"/>
    <m/>
    <n v="20260413"/>
    <m/>
    <s v="DEBITO"/>
    <n v="3974527"/>
    <s v="BCP"/>
    <m/>
    <m/>
    <n v="0.69392361111111112"/>
    <s v="XIAOMI SCHELL"/>
  </r>
  <r>
    <n v="1023366"/>
    <s v="VA"/>
    <s v="A"/>
    <n v="46122"/>
    <n v="46122"/>
    <m/>
    <n v="357"/>
    <s v="PS0005"/>
    <n v="7412"/>
    <n v="2430"/>
    <m/>
    <s v="428078******5180"/>
    <s v="Nac"/>
    <s v="COM"/>
    <x v="10"/>
    <n v="89.9"/>
    <x v="0"/>
    <n v="2.6"/>
    <n v="0.71"/>
    <n v="0.13"/>
    <n v="87.17"/>
    <n v="0"/>
    <m/>
    <n v="20260413"/>
    <m/>
    <s v="CREDITO"/>
    <n v="3974527"/>
    <s v="BCP"/>
    <m/>
    <m/>
    <n v="0.72856481481481483"/>
    <s v="XIAOMI SCHELL"/>
  </r>
  <r>
    <n v="1023366"/>
    <s v="VA"/>
    <s v="A"/>
    <n v="46122"/>
    <n v="46122"/>
    <m/>
    <n v="357"/>
    <s v="PS0005"/>
    <n v="7418"/>
    <n v="206447"/>
    <m/>
    <s v="493098******1488"/>
    <s v="Ext"/>
    <s v="COM"/>
    <x v="10"/>
    <n v="55"/>
    <x v="0"/>
    <n v="2.15"/>
    <n v="1.1399999999999999"/>
    <n v="0.21"/>
    <n v="52.64"/>
    <n v="0"/>
    <m/>
    <n v="20260413"/>
    <m/>
    <s v="DEBITO"/>
    <n v="3974527"/>
    <s v="VISA INT"/>
    <m/>
    <m/>
    <n v="0.75031250000000005"/>
    <s v="XIAOMI SCHELL"/>
  </r>
  <r>
    <n v="1023366"/>
    <s v="VA"/>
    <s v="A"/>
    <n v="46122"/>
    <n v="46122"/>
    <m/>
    <n v="357"/>
    <s v="PS0005"/>
    <n v="7423"/>
    <n v="781127"/>
    <n v="3"/>
    <s v="414791******4613"/>
    <s v="Nac"/>
    <s v="COM"/>
    <x v="10"/>
    <n v="589"/>
    <x v="0"/>
    <n v="27.33"/>
    <n v="3.47"/>
    <n v="0.62"/>
    <n v="561.04999999999995"/>
    <n v="0"/>
    <m/>
    <n v="20260413"/>
    <m/>
    <s v="CREDITO"/>
    <n v="3974527"/>
    <s v="BBVA"/>
    <s v="SI"/>
    <m/>
    <n v="0.7914930555555556"/>
    <s v="XIAOMI SCHELL"/>
  </r>
  <r>
    <n v="1023366"/>
    <s v="VA"/>
    <s v="A"/>
    <n v="46122"/>
    <n v="46122"/>
    <m/>
    <n v="357"/>
    <s v="PS0005"/>
    <n v="7425"/>
    <n v="804053"/>
    <m/>
    <s v="414791******1607"/>
    <s v="Nac"/>
    <s v="COM"/>
    <x v="10"/>
    <n v="1057"/>
    <x v="0"/>
    <n v="30.55"/>
    <n v="6.24"/>
    <n v="1.1200000000000001"/>
    <n v="1025.33"/>
    <n v="0"/>
    <m/>
    <n v="20260413"/>
    <m/>
    <s v="CREDITO"/>
    <n v="3974527"/>
    <s v="BBVA"/>
    <m/>
    <m/>
    <n v="0.79556712962962961"/>
    <s v="XIAOMI SCHELL"/>
  </r>
  <r>
    <n v="1023366"/>
    <s v="VA"/>
    <s v="A"/>
    <n v="46122"/>
    <n v="46122"/>
    <m/>
    <n v="357"/>
    <n v="65656565"/>
    <n v="7427"/>
    <n v="28204"/>
    <m/>
    <s v="455788******9466"/>
    <s v="Nac"/>
    <s v="COM"/>
    <x v="10"/>
    <n v="89.9"/>
    <x v="0"/>
    <n v="2.59"/>
    <n v="1.1499999999999999"/>
    <n v="0.21"/>
    <n v="87.1"/>
    <n v="0"/>
    <m/>
    <n v="20260413"/>
    <m/>
    <s v="DEBITO"/>
    <n v="3974527"/>
    <s v="BCP"/>
    <m/>
    <s v="Yape"/>
    <n v="0.80839120370370365"/>
    <s v="XIAOMI SCHELL"/>
  </r>
  <r>
    <n v="1023366"/>
    <s v="VA"/>
    <s v="A"/>
    <n v="46122"/>
    <n v="46122"/>
    <m/>
    <n v="357"/>
    <s v="PS0005"/>
    <n v="7432"/>
    <n v="945520"/>
    <m/>
    <s v="444355******4611"/>
    <s v="Nac"/>
    <s v="COM"/>
    <x v="10"/>
    <n v="1199"/>
    <x v="0"/>
    <n v="34.65"/>
    <n v="7.07"/>
    <n v="1.27"/>
    <n v="1163.08"/>
    <n v="0"/>
    <m/>
    <n v="20260413"/>
    <m/>
    <s v="CREDITO"/>
    <n v="3974527"/>
    <s v="BBVA"/>
    <m/>
    <m/>
    <n v="0.82012731481481482"/>
    <s v="XIAOMI SCHELL"/>
  </r>
  <r>
    <n v="1023366"/>
    <s v="VA"/>
    <s v="A"/>
    <n v="46122"/>
    <n v="46122"/>
    <m/>
    <n v="357"/>
    <s v="PS0005"/>
    <n v="7437"/>
    <s v="336EL6"/>
    <m/>
    <s v="491793******7451"/>
    <s v="Ext"/>
    <s v="COM"/>
    <x v="10"/>
    <n v="278"/>
    <x v="0"/>
    <n v="10.84"/>
    <n v="5.28"/>
    <n v="0.95"/>
    <n v="266.20999999999998"/>
    <n v="0"/>
    <m/>
    <n v="20260413"/>
    <m/>
    <s v="DEBITO"/>
    <n v="3974527"/>
    <s v="VISA INT"/>
    <m/>
    <m/>
    <n v="0.82886574074074071"/>
    <s v="XIAOMI SCHELL"/>
  </r>
  <r>
    <n v="1023366"/>
    <s v="VA"/>
    <s v="A"/>
    <n v="46122"/>
    <m/>
    <m/>
    <m/>
    <m/>
    <m/>
    <m/>
    <m/>
    <m/>
    <m/>
    <m/>
    <x v="9"/>
    <n v="0"/>
    <x v="2"/>
    <n v="0"/>
    <n v="0"/>
    <n v="0"/>
    <n v="-183.34"/>
    <n v="11303.09"/>
    <n v="46125"/>
    <n v="20260413"/>
    <s v="Descuentos Aplicados"/>
    <m/>
    <m/>
    <m/>
    <m/>
    <m/>
    <m/>
    <s v="XIAOMI SCHELL"/>
  </r>
  <r>
    <n v="1023366"/>
    <s v="VA"/>
    <s v="D"/>
    <n v="46122"/>
    <n v="46122"/>
    <m/>
    <n v="662"/>
    <s v="PS0003"/>
    <n v="6655"/>
    <n v="8454"/>
    <m/>
    <s v="445330******0512"/>
    <s v="Nac"/>
    <s v="EXT"/>
    <x v="10"/>
    <n v="-189"/>
    <x v="1"/>
    <n v="-5.46"/>
    <n v="-1.1100000000000001"/>
    <n v="-0.2"/>
    <n v="-183.34"/>
    <n v="0"/>
    <m/>
    <n v="20260413"/>
    <s v="Detalle Descuento"/>
    <s v="CREDITO"/>
    <n v="3974527"/>
    <s v="BFALABELLA"/>
    <m/>
    <m/>
    <n v="0.79364583333333338"/>
    <s v="XIAOMI SCHELL"/>
  </r>
  <r>
    <n v="1023366"/>
    <s v="VK"/>
    <s v="A"/>
    <n v="46122"/>
    <n v="46122"/>
    <m/>
    <n v="357"/>
    <s v="PS0005"/>
    <n v="7430"/>
    <n v="96181"/>
    <m/>
    <s v="404071******4809"/>
    <s v="Nac"/>
    <s v="COM"/>
    <x v="10"/>
    <n v="149"/>
    <x v="0"/>
    <n v="4.3099999999999996"/>
    <n v="1.18"/>
    <n v="0.21"/>
    <n v="144.47999999999999"/>
    <n v="144.47999999999999"/>
    <n v="46125"/>
    <n v="20260413"/>
    <m/>
    <s v="CREDITO"/>
    <n v="3974527"/>
    <s v="SIP MC"/>
    <m/>
    <m/>
    <n v="0.81376157407407412"/>
    <s v="XIAOMI SCHELL"/>
  </r>
  <r>
    <n v="1023366"/>
    <s v="MC"/>
    <s v="A"/>
    <n v="46123"/>
    <n v="46123"/>
    <m/>
    <n v="358"/>
    <s v="PS0005"/>
    <n v="7480"/>
    <n v="843152"/>
    <n v="3"/>
    <s v="545931******2327"/>
    <s v="Nac"/>
    <s v="COM"/>
    <x v="11"/>
    <n v="2499"/>
    <x v="0"/>
    <n v="115.95"/>
    <n v="8.5"/>
    <n v="1.53"/>
    <n v="2381.52"/>
    <n v="0"/>
    <m/>
    <n v="20260413"/>
    <m/>
    <s v="CREDITO"/>
    <n v="3974527"/>
    <s v="BBVA"/>
    <s v="SI"/>
    <m/>
    <n v="0.52653935185185186"/>
    <s v="XIAOMI SCHELL"/>
  </r>
  <r>
    <n v="1023366"/>
    <s v="MC"/>
    <s v="A"/>
    <n v="46123"/>
    <n v="46123"/>
    <m/>
    <n v="358"/>
    <s v="PS0005"/>
    <n v="7498"/>
    <n v="56770"/>
    <m/>
    <s v="525435******5495"/>
    <s v="Nac"/>
    <s v="COM"/>
    <x v="11"/>
    <n v="99.9"/>
    <x v="0"/>
    <n v="2.89"/>
    <n v="0.79"/>
    <n v="0.14000000000000001"/>
    <n v="96.87"/>
    <n v="0"/>
    <m/>
    <n v="20260413"/>
    <m/>
    <s v="CREDITO"/>
    <n v="3974527"/>
    <s v="BRIPLEY"/>
    <m/>
    <m/>
    <n v="0.59471064814814811"/>
    <s v="XIAOMI SCHELL"/>
  </r>
  <r>
    <n v="1023366"/>
    <s v="MC"/>
    <s v="A"/>
    <n v="46123"/>
    <n v="46123"/>
    <m/>
    <n v="358"/>
    <s v="PS0005"/>
    <n v="7511"/>
    <n v="96921"/>
    <m/>
    <s v="545369******8602"/>
    <s v="Ext"/>
    <s v="COM"/>
    <x v="11"/>
    <n v="169.9"/>
    <x v="0"/>
    <n v="6.63"/>
    <n v="3.23"/>
    <n v="0.57999999999999996"/>
    <n v="162.69"/>
    <n v="0"/>
    <m/>
    <n v="20260413"/>
    <m/>
    <s v="CREDITO"/>
    <n v="3974527"/>
    <s v="MCI C. INTER"/>
    <m/>
    <m/>
    <n v="0.65468749999999998"/>
    <s v="XIAOMI SCHELL"/>
  </r>
  <r>
    <n v="1023366"/>
    <s v="MC"/>
    <s v="A"/>
    <n v="46123"/>
    <n v="46123"/>
    <m/>
    <n v="358"/>
    <s v="PS0005"/>
    <n v="7531"/>
    <s v="R06973"/>
    <m/>
    <s v="544756******6182"/>
    <s v="Nac"/>
    <s v="COM"/>
    <x v="11"/>
    <n v="288"/>
    <x v="0"/>
    <n v="8.32"/>
    <n v="0.98"/>
    <n v="0.18"/>
    <n v="279.5"/>
    <n v="0"/>
    <m/>
    <n v="20260413"/>
    <m/>
    <s v="CREDITO"/>
    <n v="3974527"/>
    <s v="SBP"/>
    <m/>
    <m/>
    <n v="0.75027777777777782"/>
    <s v="XIAOMI SCHELL"/>
  </r>
  <r>
    <n v="1023366"/>
    <s v="MC"/>
    <s v="A"/>
    <n v="46123"/>
    <n v="46123"/>
    <m/>
    <n v="358"/>
    <s v="PS0005"/>
    <n v="7545"/>
    <n v="259349"/>
    <m/>
    <s v="553650******8907"/>
    <s v="Nac"/>
    <s v="COM"/>
    <x v="11"/>
    <n v="229"/>
    <x v="0"/>
    <n v="6.62"/>
    <n v="0.78"/>
    <n v="0.14000000000000001"/>
    <n v="222.24"/>
    <n v="3142.82"/>
    <n v="46125"/>
    <n v="20260413"/>
    <m/>
    <s v="CREDITO"/>
    <n v="3974527"/>
    <s v="BBVA"/>
    <m/>
    <m/>
    <n v="0.7908101851851852"/>
    <s v="XIAOMI SCHELL"/>
  </r>
  <r>
    <n v="1023366"/>
    <s v="VA"/>
    <s v="A"/>
    <n v="46123"/>
    <n v="46123"/>
    <m/>
    <n v="663"/>
    <s v="PS0003"/>
    <n v="9159"/>
    <n v="813294"/>
    <m/>
    <s v="438466******0796"/>
    <s v="Nac"/>
    <s v="COM"/>
    <x v="11"/>
    <n v="1099"/>
    <x v="0"/>
    <n v="31.76"/>
    <n v="6.48"/>
    <n v="1.17"/>
    <n v="1066.07"/>
    <n v="0"/>
    <m/>
    <n v="20260413"/>
    <m/>
    <s v="CREDITO"/>
    <s v="FD8B1962"/>
    <s v="VISA LOC"/>
    <m/>
    <m/>
    <n v="0.52149305555555558"/>
    <s v="XIAOMI SCHELL"/>
  </r>
  <r>
    <n v="1023366"/>
    <s v="VA"/>
    <s v="A"/>
    <n v="46123"/>
    <n v="46123"/>
    <m/>
    <n v="663"/>
    <s v="PS0003"/>
    <n v="9161"/>
    <n v="4914"/>
    <m/>
    <s v="445330******5706"/>
    <s v="Nac"/>
    <s v="COM"/>
    <x v="11"/>
    <n v="249"/>
    <x v="0"/>
    <n v="7.2"/>
    <n v="1.97"/>
    <n v="0.35"/>
    <n v="241.45"/>
    <n v="0"/>
    <m/>
    <n v="20260413"/>
    <m/>
    <s v="CREDITO"/>
    <s v="FD8B1962"/>
    <s v="BCP"/>
    <m/>
    <m/>
    <n v="0.59887731481481477"/>
    <s v="XIAOMI SCHELL"/>
  </r>
  <r>
    <n v="1023366"/>
    <s v="VA"/>
    <s v="A"/>
    <n v="46123"/>
    <n v="46123"/>
    <m/>
    <n v="358"/>
    <s v="PS0005"/>
    <n v="7456"/>
    <n v="114751"/>
    <m/>
    <s v="455788******5554"/>
    <s v="Nac"/>
    <s v="COM"/>
    <x v="11"/>
    <n v="3998"/>
    <x v="0"/>
    <n v="115.54"/>
    <n v="51.57"/>
    <n v="9.2799999999999994"/>
    <n v="3873.18"/>
    <n v="0"/>
    <m/>
    <n v="20260413"/>
    <m/>
    <s v="DEBITO"/>
    <n v="3974527"/>
    <s v="BCP"/>
    <m/>
    <m/>
    <n v="0.42519675925925926"/>
    <s v="XIAOMI SCHELL"/>
  </r>
  <r>
    <n v="1023366"/>
    <s v="VA"/>
    <s v="A"/>
    <n v="46123"/>
    <n v="46123"/>
    <m/>
    <n v="358"/>
    <s v="PS0005"/>
    <n v="7458"/>
    <n v="2077"/>
    <m/>
    <s v="428082******3019"/>
    <s v="Nac"/>
    <s v="COM"/>
    <x v="11"/>
    <n v="149"/>
    <x v="0"/>
    <n v="4.3099999999999996"/>
    <n v="0.88"/>
    <n v="0.16"/>
    <n v="144.53"/>
    <n v="0"/>
    <m/>
    <n v="20260413"/>
    <m/>
    <s v="CREDITO"/>
    <n v="3974527"/>
    <s v="BCP"/>
    <m/>
    <m/>
    <n v="0.43635416666666665"/>
    <s v="XIAOMI SCHELL"/>
  </r>
  <r>
    <n v="1023366"/>
    <s v="VA"/>
    <s v="A"/>
    <n v="46123"/>
    <n v="46123"/>
    <m/>
    <n v="358"/>
    <s v="PS0005"/>
    <n v="7461"/>
    <n v="812810"/>
    <m/>
    <s v="432699******9022"/>
    <s v="Nac"/>
    <s v="COM"/>
    <x v="11"/>
    <n v="179"/>
    <x v="0"/>
    <n v="5.17"/>
    <n v="2.31"/>
    <n v="0.42"/>
    <n v="173.41"/>
    <n v="0"/>
    <m/>
    <n v="20260413"/>
    <m/>
    <s v="DEBITO"/>
    <n v="3974527"/>
    <s v="VISA LOC"/>
    <m/>
    <m/>
    <n v="0.43890046296296298"/>
    <s v="XIAOMI SCHELL"/>
  </r>
  <r>
    <n v="1023366"/>
    <s v="VA"/>
    <s v="A"/>
    <n v="46123"/>
    <n v="46123"/>
    <m/>
    <n v="358"/>
    <s v="PS0005"/>
    <n v="7463"/>
    <n v="9356"/>
    <m/>
    <s v="428083******4432"/>
    <s v="Nac"/>
    <s v="COM"/>
    <x v="11"/>
    <n v="1499"/>
    <x v="0"/>
    <n v="43.32"/>
    <n v="5.84"/>
    <n v="1.05"/>
    <n v="1454.63"/>
    <n v="0"/>
    <m/>
    <n v="20260413"/>
    <m/>
    <s v="CREDITO"/>
    <n v="3974527"/>
    <s v="BCP"/>
    <m/>
    <m/>
    <n v="0.46809027777777779"/>
    <s v="XIAOMI SCHELL"/>
  </r>
  <r>
    <n v="1023366"/>
    <s v="VA"/>
    <s v="A"/>
    <n v="46123"/>
    <n v="46123"/>
    <m/>
    <n v="358"/>
    <s v="PS0005"/>
    <n v="7465"/>
    <n v="525785"/>
    <m/>
    <s v="414791******8132"/>
    <s v="Nac"/>
    <s v="COM"/>
    <x v="11"/>
    <n v="149"/>
    <x v="0"/>
    <n v="4.3099999999999996"/>
    <n v="0.88"/>
    <n v="0.16"/>
    <n v="144.53"/>
    <n v="0"/>
    <m/>
    <n v="20260413"/>
    <m/>
    <s v="CREDITO"/>
    <n v="3974527"/>
    <s v="BBVA"/>
    <m/>
    <m/>
    <n v="0.46962962962962962"/>
    <s v="XIAOMI SCHELL"/>
  </r>
  <r>
    <n v="1023366"/>
    <s v="VA"/>
    <s v="A"/>
    <n v="46123"/>
    <n v="46123"/>
    <m/>
    <n v="358"/>
    <n v="65656565"/>
    <n v="7467"/>
    <n v="795703"/>
    <m/>
    <s v="455788******1618"/>
    <s v="Nac"/>
    <s v="COM"/>
    <x v="11"/>
    <n v="99"/>
    <x v="0"/>
    <n v="2.86"/>
    <n v="1.28"/>
    <n v="0.23"/>
    <n v="95.91"/>
    <n v="0"/>
    <m/>
    <n v="20260413"/>
    <m/>
    <s v="DEBITO"/>
    <n v="3974527"/>
    <s v="BCP"/>
    <m/>
    <s v="Yape"/>
    <n v="0.47243055555555558"/>
    <s v="XIAOMI SCHELL"/>
  </r>
  <r>
    <n v="1023366"/>
    <s v="VA"/>
    <s v="A"/>
    <n v="46123"/>
    <n v="46123"/>
    <m/>
    <n v="358"/>
    <s v="PS0005"/>
    <n v="7471"/>
    <n v="586829"/>
    <m/>
    <s v="438466******2793"/>
    <s v="Nac"/>
    <s v="COM"/>
    <x v="11"/>
    <n v="1299"/>
    <x v="0"/>
    <n v="37.54"/>
    <n v="16.760000000000002"/>
    <n v="3.02"/>
    <n v="1258.44"/>
    <n v="0"/>
    <m/>
    <n v="20260413"/>
    <m/>
    <s v="DEBITO"/>
    <n v="3974527"/>
    <s v="VISA LOC"/>
    <m/>
    <m/>
    <n v="0.48105324074074074"/>
    <s v="XIAOMI SCHELL"/>
  </r>
  <r>
    <n v="1023366"/>
    <s v="VA"/>
    <s v="A"/>
    <n v="46123"/>
    <n v="46123"/>
    <m/>
    <n v="358"/>
    <s v="PS0005"/>
    <n v="7473"/>
    <n v="827382"/>
    <m/>
    <s v="444697******5446"/>
    <s v="Nac"/>
    <s v="COM"/>
    <x v="11"/>
    <n v="109"/>
    <x v="0"/>
    <n v="3.15"/>
    <n v="1.41"/>
    <n v="0.25"/>
    <n v="105.6"/>
    <n v="0"/>
    <m/>
    <n v="20260413"/>
    <m/>
    <s v="DEBITO"/>
    <n v="3974527"/>
    <s v="BCP"/>
    <m/>
    <m/>
    <n v="0.4854398148148148"/>
    <s v="XIAOMI SCHELL"/>
  </r>
  <r>
    <n v="1023366"/>
    <s v="VA"/>
    <s v="A"/>
    <n v="46123"/>
    <n v="46123"/>
    <m/>
    <n v="358"/>
    <s v="PS0005"/>
    <n v="7475"/>
    <n v="616200"/>
    <m/>
    <s v="447409******1916"/>
    <s v="Nac"/>
    <s v="COM"/>
    <x v="11"/>
    <n v="49"/>
    <x v="0"/>
    <n v="1.42"/>
    <n v="0.39"/>
    <n v="7.0000000000000007E-2"/>
    <n v="47.51"/>
    <n v="0"/>
    <m/>
    <n v="20260413"/>
    <m/>
    <s v="CREDITO"/>
    <n v="3974527"/>
    <s v="BFALABELLA"/>
    <m/>
    <m/>
    <n v="0.51607638888888885"/>
    <s v="XIAOMI SCHELL"/>
  </r>
  <r>
    <n v="1023366"/>
    <s v="VA"/>
    <s v="A"/>
    <n v="46123"/>
    <n v="46123"/>
    <m/>
    <n v="358"/>
    <s v="PS0005"/>
    <n v="7478"/>
    <s v="X1IHEQ"/>
    <m/>
    <s v="438877******1451"/>
    <s v="Ext"/>
    <s v="COM"/>
    <x v="11"/>
    <n v="2199"/>
    <x v="0"/>
    <n v="85.76"/>
    <n v="42.22"/>
    <n v="7.6"/>
    <n v="2105.64"/>
    <n v="0"/>
    <m/>
    <n v="20260413"/>
    <m/>
    <s v="DEBITO"/>
    <n v="3974527"/>
    <s v="VISA INT"/>
    <m/>
    <m/>
    <n v="0.52495370370370376"/>
    <s v="XIAOMI SCHELL"/>
  </r>
  <r>
    <n v="1023366"/>
    <s v="VA"/>
    <s v="A"/>
    <n v="46123"/>
    <n v="46123"/>
    <m/>
    <n v="358"/>
    <s v="PS0005"/>
    <n v="7482"/>
    <n v="414460"/>
    <m/>
    <s v="454775******3163"/>
    <s v="Nac"/>
    <s v="COM"/>
    <x v="11"/>
    <n v="89.9"/>
    <x v="0"/>
    <n v="2.6"/>
    <n v="0.71"/>
    <n v="0.13"/>
    <n v="87.17"/>
    <n v="0"/>
    <m/>
    <n v="20260413"/>
    <m/>
    <s v="CREDITO"/>
    <n v="3974527"/>
    <s v="IBK PRIVADA"/>
    <m/>
    <m/>
    <n v="0.52888888888888885"/>
    <s v="XIAOMI SCHELL"/>
  </r>
  <r>
    <n v="1023366"/>
    <s v="VA"/>
    <s v="A"/>
    <n v="46123"/>
    <n v="46123"/>
    <m/>
    <n v="358"/>
    <s v="PS0005"/>
    <n v="7484"/>
    <n v="3879"/>
    <m/>
    <s v="428076******3150"/>
    <s v="Nac"/>
    <s v="COM"/>
    <x v="11"/>
    <n v="105"/>
    <x v="0"/>
    <n v="3.03"/>
    <n v="0.4"/>
    <n v="7.0000000000000007E-2"/>
    <n v="101.9"/>
    <n v="0"/>
    <m/>
    <n v="20260413"/>
    <m/>
    <s v="CREDITO"/>
    <n v="3974527"/>
    <s v="BCP"/>
    <m/>
    <m/>
    <n v="0.54100694444444442"/>
    <s v="XIAOMI SCHELL"/>
  </r>
  <r>
    <n v="1023366"/>
    <s v="VA"/>
    <s v="A"/>
    <n v="46123"/>
    <n v="46123"/>
    <m/>
    <n v="358"/>
    <s v="PS0005"/>
    <n v="7486"/>
    <n v="46933"/>
    <m/>
    <s v="421355******2822"/>
    <s v="Nac"/>
    <s v="COM"/>
    <x v="11"/>
    <n v="269"/>
    <x v="0"/>
    <n v="7.77"/>
    <n v="3.47"/>
    <n v="0.62"/>
    <n v="260.61"/>
    <n v="0"/>
    <m/>
    <n v="20260413"/>
    <m/>
    <s v="DEBITO"/>
    <n v="3974527"/>
    <s v="IBK PRIVADA"/>
    <m/>
    <m/>
    <n v="0.55151620370370369"/>
    <s v="XIAOMI SCHELL"/>
  </r>
  <r>
    <n v="1023366"/>
    <s v="VA"/>
    <s v="A"/>
    <n v="46123"/>
    <n v="46123"/>
    <m/>
    <n v="358"/>
    <s v="PS0005"/>
    <n v="7488"/>
    <n v="94893"/>
    <m/>
    <s v="444697******3881"/>
    <s v="Nac"/>
    <s v="COM"/>
    <x v="11"/>
    <n v="55"/>
    <x v="0"/>
    <n v="1.59"/>
    <n v="0.71"/>
    <n v="0.13"/>
    <n v="53.28"/>
    <n v="0"/>
    <m/>
    <n v="20260413"/>
    <m/>
    <s v="DEBITO"/>
    <n v="3974527"/>
    <s v="BCP"/>
    <m/>
    <m/>
    <n v="0.55344907407407407"/>
    <s v="XIAOMI SCHELL"/>
  </r>
  <r>
    <n v="1023366"/>
    <s v="VA"/>
    <s v="A"/>
    <n v="46123"/>
    <n v="46123"/>
    <m/>
    <n v="358"/>
    <s v="PS0005"/>
    <n v="7490"/>
    <n v="30756"/>
    <m/>
    <s v="414791******1532"/>
    <s v="Nac"/>
    <s v="COM"/>
    <x v="11"/>
    <n v="229"/>
    <x v="0"/>
    <n v="6.62"/>
    <n v="1.35"/>
    <n v="0.24"/>
    <n v="222.14"/>
    <n v="0"/>
    <m/>
    <n v="20260413"/>
    <m/>
    <s v="CREDITO"/>
    <n v="3974527"/>
    <s v="BBVA"/>
    <m/>
    <m/>
    <n v="0.55797453703703703"/>
    <s v="XIAOMI SCHELL"/>
  </r>
  <r>
    <n v="1023366"/>
    <s v="VA"/>
    <s v="A"/>
    <n v="46123"/>
    <n v="46123"/>
    <m/>
    <n v="358"/>
    <s v="PS0005"/>
    <n v="7492"/>
    <n v="46243"/>
    <n v="3"/>
    <s v="491914******8366"/>
    <s v="Nac"/>
    <s v="COM"/>
    <x v="11"/>
    <n v="269"/>
    <x v="0"/>
    <n v="12.48"/>
    <n v="1.58"/>
    <n v="0.28000000000000003"/>
    <n v="256.24"/>
    <n v="0"/>
    <m/>
    <n v="20260413"/>
    <m/>
    <s v="CREDITO"/>
    <n v="3974527"/>
    <s v="BBVA"/>
    <s v="SI"/>
    <m/>
    <n v="0.56049768518518517"/>
    <s v="XIAOMI SCHELL"/>
  </r>
  <r>
    <n v="1023366"/>
    <s v="VA"/>
    <s v="A"/>
    <n v="46123"/>
    <n v="46123"/>
    <m/>
    <n v="358"/>
    <s v="PS0005"/>
    <n v="7494"/>
    <n v="111371"/>
    <n v="3"/>
    <s v="414791******0711"/>
    <s v="Nac"/>
    <s v="COM"/>
    <x v="11"/>
    <n v="1499"/>
    <x v="0"/>
    <n v="69.55"/>
    <n v="8.84"/>
    <n v="1.59"/>
    <n v="1427.86"/>
    <n v="0"/>
    <m/>
    <n v="20260413"/>
    <m/>
    <s v="CREDITO"/>
    <n v="3974527"/>
    <s v="BBVA"/>
    <s v="SI"/>
    <m/>
    <n v="0.57131944444444449"/>
    <s v="XIAOMI SCHELL"/>
  </r>
  <r>
    <n v="1023366"/>
    <s v="VA"/>
    <s v="A"/>
    <n v="46123"/>
    <n v="46123"/>
    <m/>
    <n v="358"/>
    <s v="PS0005"/>
    <n v="7496"/>
    <n v="237523"/>
    <n v="3"/>
    <s v="444355******5327"/>
    <s v="Nac"/>
    <s v="COM"/>
    <x v="11"/>
    <n v="350"/>
    <x v="0"/>
    <n v="16.25"/>
    <n v="2.0699999999999998"/>
    <n v="0.37"/>
    <n v="333.38"/>
    <n v="0"/>
    <m/>
    <n v="20260413"/>
    <m/>
    <s v="CREDITO"/>
    <n v="3974527"/>
    <s v="BBVA"/>
    <s v="SI"/>
    <m/>
    <n v="0.59303240740740737"/>
    <s v="XIAOMI SCHELL"/>
  </r>
  <r>
    <n v="1023366"/>
    <s v="VA"/>
    <s v="A"/>
    <n v="46123"/>
    <n v="46123"/>
    <m/>
    <n v="358"/>
    <s v="PS0005"/>
    <n v="7500"/>
    <n v="254959"/>
    <m/>
    <s v="491931******2848"/>
    <s v="Nac"/>
    <s v="COM"/>
    <x v="11"/>
    <n v="98"/>
    <x v="0"/>
    <n v="2.83"/>
    <n v="0.77"/>
    <n v="0.14000000000000001"/>
    <n v="95.03"/>
    <n v="0"/>
    <m/>
    <n v="20260413"/>
    <m/>
    <s v="CREDITO"/>
    <n v="3974527"/>
    <s v="BBVA"/>
    <m/>
    <m/>
    <n v="0.59615740740740741"/>
    <s v="XIAOMI SCHELL"/>
  </r>
  <r>
    <n v="1023366"/>
    <s v="VA"/>
    <s v="A"/>
    <n v="46123"/>
    <n v="46123"/>
    <m/>
    <n v="358"/>
    <s v="PS0005"/>
    <n v="7502"/>
    <n v="260688"/>
    <m/>
    <s v="455170******3801"/>
    <s v="Nac"/>
    <s v="COM"/>
    <x v="11"/>
    <n v="349"/>
    <x v="0"/>
    <n v="10.09"/>
    <n v="4.51"/>
    <n v="0.81"/>
    <n v="338.1"/>
    <n v="0"/>
    <m/>
    <n v="20260413"/>
    <m/>
    <s v="DEBITO"/>
    <n v="3974527"/>
    <s v="BBVA"/>
    <m/>
    <m/>
    <n v="0.59718749999999998"/>
    <s v="XIAOMI SCHELL"/>
  </r>
  <r>
    <n v="1023366"/>
    <s v="VA"/>
    <s v="A"/>
    <n v="46123"/>
    <n v="46123"/>
    <m/>
    <n v="358"/>
    <s v="PS0005"/>
    <n v="7504"/>
    <n v="178684"/>
    <m/>
    <s v="455788******7063"/>
    <s v="Nac"/>
    <s v="COM"/>
    <x v="11"/>
    <n v="64.7"/>
    <x v="0"/>
    <n v="1.87"/>
    <n v="0.83"/>
    <n v="0.15"/>
    <n v="62.68"/>
    <n v="0"/>
    <m/>
    <n v="20260413"/>
    <m/>
    <s v="DEBITO"/>
    <n v="3974527"/>
    <s v="BCP"/>
    <m/>
    <m/>
    <n v="0.60072916666666665"/>
    <s v="XIAOMI SCHELL"/>
  </r>
  <r>
    <n v="1023366"/>
    <s v="VA"/>
    <s v="A"/>
    <n v="46123"/>
    <n v="46123"/>
    <m/>
    <n v="358"/>
    <s v="PS0005"/>
    <n v="7506"/>
    <n v="265061"/>
    <m/>
    <s v="455788******9017"/>
    <s v="Nac"/>
    <s v="COM"/>
    <x v="11"/>
    <n v="699"/>
    <x v="0"/>
    <n v="20.2"/>
    <n v="9.02"/>
    <n v="1.62"/>
    <n v="677.18"/>
    <n v="0"/>
    <m/>
    <n v="20260413"/>
    <m/>
    <s v="DEBITO"/>
    <n v="3974527"/>
    <s v="BCP"/>
    <m/>
    <m/>
    <n v="0.61907407407407411"/>
    <s v="XIAOMI SCHELL"/>
  </r>
  <r>
    <n v="1023366"/>
    <s v="VA"/>
    <s v="A"/>
    <n v="46123"/>
    <n v="46123"/>
    <m/>
    <n v="358"/>
    <s v="PS0005"/>
    <n v="7508"/>
    <n v="1487"/>
    <m/>
    <s v="463402******7458"/>
    <s v="Nac"/>
    <s v="COM"/>
    <x v="11"/>
    <n v="99.9"/>
    <x v="0"/>
    <n v="2.89"/>
    <n v="0.79"/>
    <n v="0.14000000000000001"/>
    <n v="96.87"/>
    <n v="0"/>
    <m/>
    <n v="20260413"/>
    <m/>
    <s v="CREDITO"/>
    <n v="3974527"/>
    <s v="BCP"/>
    <m/>
    <m/>
    <n v="0.62526620370370367"/>
    <s v="XIAOMI SCHELL"/>
  </r>
  <r>
    <n v="1023366"/>
    <s v="VA"/>
    <s v="A"/>
    <n v="46123"/>
    <n v="46123"/>
    <m/>
    <n v="358"/>
    <s v="PS0005"/>
    <n v="7513"/>
    <n v="291908"/>
    <m/>
    <s v="455788******4063"/>
    <s v="Nac"/>
    <s v="COM"/>
    <x v="11"/>
    <n v="99"/>
    <x v="0"/>
    <n v="2.86"/>
    <n v="1.28"/>
    <n v="0.23"/>
    <n v="95.91"/>
    <n v="0"/>
    <m/>
    <n v="20260413"/>
    <m/>
    <s v="DEBITO"/>
    <n v="3974527"/>
    <s v="BCP"/>
    <m/>
    <m/>
    <n v="0.67009259259259257"/>
    <s v="XIAOMI SCHELL"/>
  </r>
  <r>
    <n v="1023366"/>
    <s v="VA"/>
    <s v="A"/>
    <n v="46123"/>
    <n v="46123"/>
    <m/>
    <n v="358"/>
    <s v="PS0005"/>
    <n v="7515"/>
    <n v="125472"/>
    <m/>
    <s v="477289******5378"/>
    <s v="Nac"/>
    <s v="COM"/>
    <x v="11"/>
    <n v="269"/>
    <x v="0"/>
    <n v="7.77"/>
    <n v="1.04"/>
    <n v="0.19"/>
    <n v="261.04000000000002"/>
    <n v="0"/>
    <m/>
    <n v="20260413"/>
    <m/>
    <s v="CREDITO"/>
    <n v="3974527"/>
    <s v="IBK PRIVADA"/>
    <m/>
    <m/>
    <n v="0.67553240740740739"/>
    <s v="XIAOMI SCHELL"/>
  </r>
  <r>
    <n v="1023366"/>
    <s v="VA"/>
    <s v="A"/>
    <n v="46123"/>
    <n v="46123"/>
    <m/>
    <n v="358"/>
    <s v="PS0005"/>
    <n v="7517"/>
    <n v="321998"/>
    <m/>
    <s v="491257******1755"/>
    <s v="Nac"/>
    <s v="COM"/>
    <x v="11"/>
    <n v="109"/>
    <x v="0"/>
    <n v="3.15"/>
    <n v="1.41"/>
    <n v="0.25"/>
    <n v="105.6"/>
    <n v="0"/>
    <m/>
    <n v="20260413"/>
    <m/>
    <s v="DEBITO"/>
    <n v="3974527"/>
    <s v="BCP"/>
    <m/>
    <m/>
    <n v="0.68256944444444445"/>
    <s v="XIAOMI SCHELL"/>
  </r>
  <r>
    <n v="1023366"/>
    <s v="VA"/>
    <s v="A"/>
    <n v="46123"/>
    <n v="46123"/>
    <m/>
    <n v="358"/>
    <n v="65656565"/>
    <n v="7519"/>
    <n v="719632"/>
    <m/>
    <s v="455170******0802"/>
    <s v="Nac"/>
    <s v="COM"/>
    <x v="11"/>
    <n v="279"/>
    <x v="0"/>
    <n v="8.06"/>
    <n v="3.6"/>
    <n v="0.65"/>
    <n v="270.29000000000002"/>
    <n v="0"/>
    <m/>
    <n v="20260413"/>
    <m/>
    <s v="DEBITO"/>
    <n v="3974527"/>
    <s v="BBVA"/>
    <m/>
    <s v="BBVA Plin"/>
    <n v="0.68745370370370373"/>
    <s v="XIAOMI SCHELL"/>
  </r>
  <r>
    <n v="1023366"/>
    <s v="VA"/>
    <s v="A"/>
    <n v="46123"/>
    <n v="46123"/>
    <m/>
    <n v="358"/>
    <s v="PS0005"/>
    <n v="7522"/>
    <n v="404907"/>
    <m/>
    <s v="455788******4778"/>
    <s v="Nac"/>
    <s v="COM"/>
    <x v="11"/>
    <n v="35"/>
    <x v="0"/>
    <n v="1.01"/>
    <n v="0.45"/>
    <n v="0.08"/>
    <n v="33.909999999999997"/>
    <n v="0"/>
    <m/>
    <n v="20260413"/>
    <m/>
    <s v="DEBITO"/>
    <n v="3974527"/>
    <s v="BCP"/>
    <m/>
    <m/>
    <n v="0.69478009259259255"/>
    <s v="XIAOMI SCHELL"/>
  </r>
  <r>
    <n v="1023366"/>
    <s v="VA"/>
    <s v="A"/>
    <n v="46123"/>
    <n v="46123"/>
    <m/>
    <n v="358"/>
    <s v="PS0005"/>
    <n v="7524"/>
    <n v="818588"/>
    <m/>
    <s v="491909******8335"/>
    <s v="Nac"/>
    <s v="COM"/>
    <x v="11"/>
    <n v="149"/>
    <x v="0"/>
    <n v="4.3099999999999996"/>
    <n v="1.18"/>
    <n v="0.21"/>
    <n v="144.47999999999999"/>
    <n v="0"/>
    <m/>
    <n v="20260413"/>
    <m/>
    <s v="CREDITO"/>
    <n v="3974527"/>
    <s v="BBVA"/>
    <m/>
    <m/>
    <n v="0.70741898148148152"/>
    <s v="XIAOMI SCHELL"/>
  </r>
  <r>
    <n v="1023366"/>
    <s v="VA"/>
    <s v="A"/>
    <n v="46123"/>
    <n v="46123"/>
    <m/>
    <n v="358"/>
    <s v="PS0005"/>
    <n v="7526"/>
    <n v="981947"/>
    <m/>
    <s v="491914******3151"/>
    <s v="Nac"/>
    <s v="COM"/>
    <x v="11"/>
    <n v="69"/>
    <x v="0"/>
    <n v="1.99"/>
    <n v="0.4"/>
    <n v="7.0000000000000007E-2"/>
    <n v="66.94"/>
    <n v="0"/>
    <m/>
    <n v="20260413"/>
    <m/>
    <s v="CREDITO"/>
    <n v="3974527"/>
    <s v="BBVA"/>
    <m/>
    <m/>
    <n v="0.73965277777777783"/>
    <s v="XIAOMI SCHELL"/>
  </r>
  <r>
    <n v="1023366"/>
    <s v="VA"/>
    <s v="A"/>
    <n v="46123"/>
    <n v="46123"/>
    <m/>
    <n v="358"/>
    <s v="PS0005"/>
    <n v="7528"/>
    <n v="573241"/>
    <m/>
    <s v="492124******0096"/>
    <s v="Nac"/>
    <s v="COM"/>
    <x v="11"/>
    <n v="209"/>
    <x v="0"/>
    <n v="6.04"/>
    <n v="2.7"/>
    <n v="0.49"/>
    <n v="202.47"/>
    <n v="0"/>
    <m/>
    <n v="20260413"/>
    <m/>
    <s v="DEBITO"/>
    <n v="3974527"/>
    <s v="BCP"/>
    <m/>
    <m/>
    <n v="0.74600694444444449"/>
    <s v="XIAOMI SCHELL"/>
  </r>
  <r>
    <n v="1023366"/>
    <s v="VA"/>
    <s v="A"/>
    <n v="46123"/>
    <n v="46123"/>
    <m/>
    <n v="358"/>
    <s v="PS0005"/>
    <n v="7536"/>
    <n v="936752"/>
    <m/>
    <s v="411539******1014"/>
    <s v="Nac"/>
    <s v="COM"/>
    <x v="11"/>
    <n v="69"/>
    <x v="0"/>
    <n v="1.99"/>
    <n v="0.89"/>
    <n v="0.16"/>
    <n v="66.849999999999994"/>
    <n v="0"/>
    <m/>
    <n v="20260413"/>
    <m/>
    <s v="DEBITO"/>
    <n v="3974527"/>
    <s v="VISA LOC"/>
    <m/>
    <m/>
    <n v="0.75305555555555559"/>
    <s v="XIAOMI SCHELL"/>
  </r>
  <r>
    <n v="1023366"/>
    <s v="VA"/>
    <s v="A"/>
    <n v="46123"/>
    <n v="46123"/>
    <m/>
    <n v="358"/>
    <s v="PS0005"/>
    <n v="7538"/>
    <n v="540400"/>
    <m/>
    <s v="455788******7687"/>
    <s v="Nac"/>
    <s v="COM"/>
    <x v="11"/>
    <n v="79"/>
    <x v="0"/>
    <n v="2.2799999999999998"/>
    <n v="0.62"/>
    <n v="0.11"/>
    <n v="76.61"/>
    <n v="0"/>
    <m/>
    <n v="20260413"/>
    <m/>
    <s v="DEBITO"/>
    <n v="3974527"/>
    <s v="BCP"/>
    <m/>
    <m/>
    <n v="0.76973379629629635"/>
    <s v="XIAOMI SCHELL"/>
  </r>
  <r>
    <n v="1023366"/>
    <s v="VA"/>
    <s v="A"/>
    <n v="46123"/>
    <n v="46123"/>
    <m/>
    <n v="358"/>
    <s v="PS0005"/>
    <n v="7541"/>
    <n v="40634"/>
    <m/>
    <s v="411513******0615"/>
    <s v="Nac"/>
    <s v="COM"/>
    <x v="11"/>
    <n v="99"/>
    <x v="0"/>
    <n v="2.86"/>
    <n v="1.28"/>
    <n v="0.23"/>
    <n v="95.91"/>
    <n v="0"/>
    <m/>
    <n v="20260413"/>
    <m/>
    <s v="DEBITO"/>
    <n v="3974527"/>
    <s v="VISA LOC"/>
    <m/>
    <m/>
    <n v="0.77105324074074078"/>
    <s v="XIAOMI SCHELL"/>
  </r>
  <r>
    <n v="1023366"/>
    <s v="VA"/>
    <s v="A"/>
    <n v="46123"/>
    <n v="46123"/>
    <m/>
    <n v="358"/>
    <s v="PS0005"/>
    <n v="7543"/>
    <n v="116325"/>
    <m/>
    <s v="491257******7054"/>
    <s v="Nac"/>
    <s v="COM"/>
    <x v="11"/>
    <n v="55"/>
    <x v="0"/>
    <n v="1.59"/>
    <n v="0.71"/>
    <n v="0.13"/>
    <n v="53.28"/>
    <n v="0"/>
    <m/>
    <n v="20260413"/>
    <m/>
    <s v="DEBITO"/>
    <n v="3974527"/>
    <s v="IBK PRIVADA"/>
    <m/>
    <m/>
    <n v="0.77995370370370365"/>
    <s v="XIAOMI SCHELL"/>
  </r>
  <r>
    <n v="1023366"/>
    <s v="VA"/>
    <s v="A"/>
    <n v="46123"/>
    <n v="46123"/>
    <m/>
    <n v="358"/>
    <s v="PS0005"/>
    <n v="7547"/>
    <n v="8143"/>
    <m/>
    <s v="445330******4957"/>
    <s v="Nac"/>
    <s v="COM"/>
    <x v="11"/>
    <n v="1124.0999999999999"/>
    <x v="0"/>
    <n v="32.49"/>
    <n v="6.64"/>
    <n v="1.2"/>
    <n v="1090.4100000000001"/>
    <n v="0"/>
    <m/>
    <n v="20260413"/>
    <m/>
    <s v="CREDITO"/>
    <n v="3974527"/>
    <s v="BCP"/>
    <m/>
    <m/>
    <n v="0.79623842592592597"/>
    <s v="XIAOMI SCHELL"/>
  </r>
  <r>
    <n v="1023366"/>
    <s v="VA"/>
    <s v="A"/>
    <n v="46123"/>
    <n v="46123"/>
    <m/>
    <n v="358"/>
    <n v="65656565"/>
    <n v="7549"/>
    <n v="634727"/>
    <m/>
    <s v="455788******1269"/>
    <s v="Nac"/>
    <s v="COM"/>
    <x v="11"/>
    <n v="159"/>
    <x v="0"/>
    <n v="4.59"/>
    <n v="2.0499999999999998"/>
    <n v="0.37"/>
    <n v="154.04"/>
    <n v="0"/>
    <m/>
    <n v="20260413"/>
    <m/>
    <s v="DEBITO"/>
    <n v="3974527"/>
    <s v="VISA LOC"/>
    <m/>
    <s v="Yape"/>
    <n v="0.80387731481481484"/>
    <s v="XIAOMI SCHELL"/>
  </r>
  <r>
    <n v="1023366"/>
    <s v="VA"/>
    <s v="A"/>
    <n v="46123"/>
    <n v="46123"/>
    <m/>
    <n v="358"/>
    <s v="PS0005"/>
    <n v="7552"/>
    <n v="7395"/>
    <n v="7"/>
    <s v="445330******6055"/>
    <s v="Nac"/>
    <s v="COM"/>
    <x v="11"/>
    <n v="2199"/>
    <x v="0"/>
    <n v="63.55"/>
    <n v="17.37"/>
    <n v="3.13"/>
    <n v="2132.3200000000002"/>
    <n v="0"/>
    <m/>
    <n v="20260413"/>
    <m/>
    <s v="CREDITO"/>
    <n v="3974527"/>
    <s v="BCP"/>
    <s v="NO"/>
    <m/>
    <n v="0.80554398148148143"/>
    <s v="XIAOMI SCHELL"/>
  </r>
  <r>
    <n v="1023366"/>
    <s v="VA"/>
    <s v="A"/>
    <n v="46123"/>
    <n v="46123"/>
    <m/>
    <n v="358"/>
    <s v="PS0005"/>
    <n v="7554"/>
    <n v="378590"/>
    <m/>
    <s v="455103******3916"/>
    <s v="Nac"/>
    <s v="COM"/>
    <x v="11"/>
    <n v="149"/>
    <x v="0"/>
    <n v="4.3099999999999996"/>
    <n v="1.93"/>
    <n v="0.35"/>
    <n v="144.34"/>
    <n v="0"/>
    <m/>
    <n v="20260413"/>
    <m/>
    <s v="DEBITO"/>
    <n v="3974527"/>
    <s v="BBVA"/>
    <m/>
    <m/>
    <n v="0.81208333333333338"/>
    <s v="XIAOMI SCHELL"/>
  </r>
  <r>
    <n v="1023366"/>
    <s v="VA"/>
    <s v="A"/>
    <n v="46123"/>
    <n v="46123"/>
    <m/>
    <n v="358"/>
    <s v="PS0005"/>
    <n v="7556"/>
    <n v="8486"/>
    <m/>
    <s v="428076******4335"/>
    <s v="Nac"/>
    <s v="COM"/>
    <x v="11"/>
    <n v="149"/>
    <x v="0"/>
    <n v="4.3099999999999996"/>
    <n v="0.57999999999999996"/>
    <n v="0.1"/>
    <n v="144.59"/>
    <n v="0"/>
    <m/>
    <n v="20260413"/>
    <m/>
    <s v="CREDITO"/>
    <n v="3974527"/>
    <s v="BCP"/>
    <m/>
    <m/>
    <n v="0.81663194444444442"/>
    <s v="XIAOMI SCHELL"/>
  </r>
  <r>
    <n v="1023366"/>
    <s v="VA"/>
    <s v="A"/>
    <n v="46123"/>
    <n v="46123"/>
    <m/>
    <n v="358"/>
    <s v="PS0005"/>
    <n v="7558"/>
    <n v="3905"/>
    <m/>
    <s v="445330******7695"/>
    <s v="Nac"/>
    <s v="COM"/>
    <x v="11"/>
    <n v="69"/>
    <x v="0"/>
    <n v="1.99"/>
    <n v="0.54"/>
    <n v="0.1"/>
    <n v="66.91"/>
    <n v="0"/>
    <m/>
    <n v="20260413"/>
    <m/>
    <s v="CREDITO"/>
    <n v="3974527"/>
    <s v="BCP"/>
    <m/>
    <m/>
    <n v="0.82192129629629629"/>
    <s v="XIAOMI SCHELL"/>
  </r>
  <r>
    <n v="1023366"/>
    <s v="VA"/>
    <s v="A"/>
    <n v="46123"/>
    <n v="46123"/>
    <m/>
    <n v="358"/>
    <s v="PS0005"/>
    <n v="7561"/>
    <n v="440349"/>
    <m/>
    <s v="438466******3236"/>
    <s v="Nac"/>
    <s v="COM"/>
    <x v="11"/>
    <n v="89.9"/>
    <x v="0"/>
    <n v="2.6"/>
    <n v="0.53"/>
    <n v="0.1"/>
    <n v="87.2"/>
    <n v="0"/>
    <m/>
    <n v="20260413"/>
    <m/>
    <s v="CREDITO"/>
    <n v="3974527"/>
    <s v="VISA LOC"/>
    <m/>
    <m/>
    <n v="0.82314814814814818"/>
    <s v="XIAOMI SCHELL"/>
  </r>
  <r>
    <n v="1023366"/>
    <s v="VA"/>
    <s v="A"/>
    <n v="46123"/>
    <n v="46123"/>
    <m/>
    <n v="358"/>
    <s v="PS0005"/>
    <n v="7563"/>
    <n v="822782"/>
    <m/>
    <s v="455788******4388"/>
    <s v="Nac"/>
    <s v="COM"/>
    <x v="11"/>
    <n v="849"/>
    <x v="0"/>
    <n v="24.54"/>
    <n v="10.96"/>
    <n v="1.97"/>
    <n v="822.49"/>
    <n v="0"/>
    <m/>
    <n v="20260413"/>
    <m/>
    <s v="DEBITO"/>
    <n v="3974527"/>
    <s v="BCP"/>
    <m/>
    <m/>
    <n v="0.8371643518518519"/>
    <s v="XIAOMI SCHELL"/>
  </r>
  <r>
    <n v="1023366"/>
    <s v="VA"/>
    <s v="A"/>
    <n v="46123"/>
    <n v="46123"/>
    <m/>
    <n v="358"/>
    <s v="PS0005"/>
    <n v="7567"/>
    <n v="536973"/>
    <m/>
    <s v="438466******0847"/>
    <s v="Nac"/>
    <s v="COM"/>
    <x v="11"/>
    <n v="349"/>
    <x v="0"/>
    <n v="10.09"/>
    <n v="2.06"/>
    <n v="0.37"/>
    <n v="338.54"/>
    <n v="0"/>
    <m/>
    <n v="20260413"/>
    <m/>
    <s v="CREDITO"/>
    <n v="3974527"/>
    <s v="VISA LOC"/>
    <m/>
    <m/>
    <n v="0.84090277777777778"/>
    <s v="XIAOMI SCHELL"/>
  </r>
  <r>
    <n v="1023366"/>
    <s v="VA"/>
    <s v="A"/>
    <n v="46123"/>
    <n v="46123"/>
    <m/>
    <n v="358"/>
    <s v="PS0005"/>
    <n v="7573"/>
    <n v="688"/>
    <m/>
    <s v="428076******4982"/>
    <s v="Nac"/>
    <s v="COM"/>
    <x v="11"/>
    <n v="349"/>
    <x v="0"/>
    <n v="10.09"/>
    <n v="1.36"/>
    <n v="0.24"/>
    <n v="338.67"/>
    <n v="0"/>
    <m/>
    <n v="20260413"/>
    <m/>
    <s v="CREDITO"/>
    <n v="3974527"/>
    <s v="BCP"/>
    <m/>
    <m/>
    <n v="0.85927083333333332"/>
    <s v="XIAOMI SCHELL"/>
  </r>
  <r>
    <n v="1023366"/>
    <s v="VA"/>
    <s v="A"/>
    <n v="46123"/>
    <n v="46123"/>
    <m/>
    <n v="358"/>
    <s v="PS0005"/>
    <n v="7579"/>
    <n v="53652"/>
    <m/>
    <s v="477289******4220"/>
    <s v="Nac"/>
    <s v="COM"/>
    <x v="11"/>
    <n v="66"/>
    <x v="0"/>
    <n v="1.91"/>
    <n v="0.26"/>
    <n v="0.05"/>
    <n v="64.040000000000006"/>
    <n v="21580.18"/>
    <n v="46125"/>
    <n v="20260413"/>
    <m/>
    <s v="CREDITO"/>
    <n v="3974527"/>
    <s v="IBK PRIVADA"/>
    <m/>
    <m/>
    <n v="0.8787962962962963"/>
    <s v="XIAOMI SCHELL"/>
  </r>
  <r>
    <n v="1023366"/>
    <s v="MC"/>
    <s v="A"/>
    <n v="46124"/>
    <n v="46124"/>
    <m/>
    <n v="359"/>
    <s v="PS0005"/>
    <n v="7606"/>
    <n v="55869"/>
    <m/>
    <s v="511842******6025"/>
    <s v="Nac"/>
    <s v="COM"/>
    <x v="12"/>
    <n v="1800"/>
    <x v="0"/>
    <n v="52.02"/>
    <n v="20.52"/>
    <n v="3.69"/>
    <n v="1744.29"/>
    <n v="0"/>
    <m/>
    <n v="20260413"/>
    <m/>
    <s v="DEBITO"/>
    <n v="3974527"/>
    <s v="SCOTIA DEBIT"/>
    <m/>
    <m/>
    <n v="0.60339120370370369"/>
    <s v="XIAOMI SCHELL"/>
  </r>
  <r>
    <n v="1023366"/>
    <s v="MC"/>
    <s v="A"/>
    <n v="46124"/>
    <n v="46124"/>
    <m/>
    <n v="359"/>
    <s v="PS0005"/>
    <n v="7627"/>
    <n v="723808"/>
    <n v="3"/>
    <s v="553650******6615"/>
    <s v="Nac"/>
    <s v="COM"/>
    <x v="12"/>
    <n v="3899"/>
    <x v="0"/>
    <n v="180.91"/>
    <n v="13.26"/>
    <n v="2.39"/>
    <n v="3715.7"/>
    <n v="5459.99"/>
    <n v="46125"/>
    <n v="20260413"/>
    <m/>
    <s v="CREDITO"/>
    <n v="3974527"/>
    <s v="BBVA"/>
    <s v="SI"/>
    <m/>
    <n v="0.66843750000000002"/>
    <s v="XIAOMI SCHELL"/>
  </r>
  <r>
    <n v="1023366"/>
    <s v="VA"/>
    <s v="A"/>
    <n v="46124"/>
    <n v="46124"/>
    <m/>
    <n v="359"/>
    <s v="PS0005"/>
    <n v="7595"/>
    <n v="24579"/>
    <m/>
    <s v="428581******7514"/>
    <s v="Nac"/>
    <s v="COM"/>
    <x v="12"/>
    <n v="89.9"/>
    <x v="0"/>
    <n v="2.6"/>
    <n v="1.1599999999999999"/>
    <n v="0.21"/>
    <n v="87.09"/>
    <n v="0"/>
    <m/>
    <n v="20260413"/>
    <m/>
    <s v="DEBITO"/>
    <n v="3974527"/>
    <s v="SCOTIABANK"/>
    <m/>
    <m/>
    <n v="0.47194444444444444"/>
    <s v="XIAOMI SCHELL"/>
  </r>
  <r>
    <n v="1023366"/>
    <s v="VA"/>
    <s v="A"/>
    <n v="46124"/>
    <n v="46124"/>
    <m/>
    <n v="359"/>
    <s v="PS0005"/>
    <n v="7597"/>
    <n v="531014"/>
    <m/>
    <s v="455788******7964"/>
    <s v="Nac"/>
    <s v="COM"/>
    <x v="12"/>
    <n v="269"/>
    <x v="0"/>
    <n v="7.77"/>
    <n v="3.47"/>
    <n v="0.62"/>
    <n v="260.61"/>
    <n v="0"/>
    <m/>
    <n v="20260413"/>
    <m/>
    <s v="DEBITO"/>
    <n v="3974527"/>
    <s v="BCP"/>
    <m/>
    <m/>
    <n v="0.49413194444444447"/>
    <s v="XIAOMI SCHELL"/>
  </r>
  <r>
    <n v="1023366"/>
    <s v="VA"/>
    <s v="A"/>
    <n v="46124"/>
    <n v="46124"/>
    <m/>
    <n v="359"/>
    <s v="PS0005"/>
    <n v="7599"/>
    <n v="574757"/>
    <m/>
    <s v="455788******2332"/>
    <s v="Nac"/>
    <s v="COM"/>
    <x v="12"/>
    <n v="149"/>
    <x v="0"/>
    <n v="4.3099999999999996"/>
    <n v="1.93"/>
    <n v="0.35"/>
    <n v="144.34"/>
    <n v="0"/>
    <m/>
    <n v="20260413"/>
    <m/>
    <s v="DEBITO"/>
    <n v="3974527"/>
    <s v="BCP"/>
    <m/>
    <m/>
    <n v="0.51416666666666666"/>
    <s v="XIAOMI SCHELL"/>
  </r>
  <r>
    <n v="1023366"/>
    <s v="VA"/>
    <s v="A"/>
    <n v="46124"/>
    <n v="46124"/>
    <m/>
    <n v="359"/>
    <n v="65656565"/>
    <n v="7601"/>
    <n v="521216"/>
    <m/>
    <s v="455788******6090"/>
    <s v="Nac"/>
    <s v="COM"/>
    <x v="12"/>
    <n v="14.9"/>
    <x v="0"/>
    <n v="0.43"/>
    <n v="0.19"/>
    <n v="0.03"/>
    <n v="14.44"/>
    <n v="0"/>
    <m/>
    <n v="20260413"/>
    <m/>
    <s v="DEBITO"/>
    <n v="3974527"/>
    <s v="BCP"/>
    <m/>
    <s v="Yape"/>
    <n v="0.53311342592592592"/>
    <s v="XIAOMI SCHELL"/>
  </r>
  <r>
    <n v="1023366"/>
    <s v="VA"/>
    <s v="A"/>
    <n v="46124"/>
    <n v="46124"/>
    <m/>
    <n v="359"/>
    <s v="PS0005"/>
    <n v="7604"/>
    <n v="317145"/>
    <m/>
    <s v="444355******5203"/>
    <s v="Nac"/>
    <s v="COM"/>
    <x v="12"/>
    <n v="6098"/>
    <x v="0"/>
    <n v="176.23"/>
    <n v="78.66"/>
    <n v="14.16"/>
    <n v="5907.61"/>
    <n v="0"/>
    <m/>
    <n v="20260413"/>
    <m/>
    <s v="DEBITO"/>
    <n v="3974527"/>
    <s v="BBVA"/>
    <m/>
    <m/>
    <n v="0.58030092592592597"/>
    <s v="XIAOMI SCHELL"/>
  </r>
  <r>
    <n v="1023366"/>
    <s v="VA"/>
    <s v="A"/>
    <n v="46124"/>
    <n v="46124"/>
    <m/>
    <n v="359"/>
    <n v="65656565"/>
    <n v="7608"/>
    <n v="689377"/>
    <m/>
    <s v="455788******1179"/>
    <s v="Nac"/>
    <s v="COM"/>
    <x v="12"/>
    <n v="99"/>
    <x v="0"/>
    <n v="2.86"/>
    <n v="1.28"/>
    <n v="0.23"/>
    <n v="95.91"/>
    <n v="0"/>
    <m/>
    <n v="20260413"/>
    <m/>
    <s v="DEBITO"/>
    <n v="3974527"/>
    <s v="BCP"/>
    <m/>
    <s v="Yape"/>
    <n v="0.60417824074074078"/>
    <s v="XIAOMI SCHELL"/>
  </r>
  <r>
    <n v="1023366"/>
    <s v="VA"/>
    <s v="A"/>
    <n v="46124"/>
    <n v="46124"/>
    <m/>
    <n v="359"/>
    <s v="PS0005"/>
    <n v="7611"/>
    <n v="764741"/>
    <m/>
    <s v="455788******3836"/>
    <s v="Nac"/>
    <s v="COM"/>
    <x v="12"/>
    <n v="55"/>
    <x v="0"/>
    <n v="1.59"/>
    <n v="0.71"/>
    <n v="0.13"/>
    <n v="53.28"/>
    <n v="0"/>
    <m/>
    <n v="20260413"/>
    <m/>
    <s v="DEBITO"/>
    <n v="3974527"/>
    <s v="BCP"/>
    <m/>
    <m/>
    <n v="0.61251157407407408"/>
    <s v="XIAOMI SCHELL"/>
  </r>
  <r>
    <n v="1023366"/>
    <s v="VA"/>
    <s v="A"/>
    <n v="46124"/>
    <n v="46124"/>
    <m/>
    <n v="359"/>
    <s v="PS0005"/>
    <n v="7613"/>
    <n v="488789"/>
    <n v="3"/>
    <s v="414075******7230"/>
    <s v="Nac"/>
    <s v="COM"/>
    <x v="12"/>
    <n v="746"/>
    <x v="0"/>
    <n v="34.619999999999997"/>
    <n v="2.91"/>
    <n v="0.52"/>
    <n v="710.86"/>
    <n v="0"/>
    <m/>
    <n v="20260413"/>
    <m/>
    <s v="CREDITO"/>
    <n v="3974527"/>
    <s v="BBVA"/>
    <s v="SI"/>
    <m/>
    <n v="0.61597222222222225"/>
    <s v="XIAOMI SCHELL"/>
  </r>
  <r>
    <n v="1023366"/>
    <s v="VA"/>
    <s v="A"/>
    <n v="46124"/>
    <n v="46124"/>
    <m/>
    <n v="359"/>
    <s v="PS0005"/>
    <n v="7616"/>
    <n v="376366"/>
    <m/>
    <s v="407980******3832"/>
    <s v="Ext"/>
    <s v="COM"/>
    <x v="12"/>
    <n v="99"/>
    <x v="0"/>
    <n v="3.86"/>
    <n v="1.9"/>
    <n v="0.34"/>
    <n v="94.8"/>
    <n v="0"/>
    <m/>
    <n v="20260413"/>
    <m/>
    <s v="DEBITO"/>
    <n v="3974527"/>
    <s v="VISA INT"/>
    <m/>
    <m/>
    <n v="0.62317129629629631"/>
    <s v="XIAOMI SCHELL"/>
  </r>
  <r>
    <n v="1023366"/>
    <s v="VA"/>
    <s v="A"/>
    <n v="46124"/>
    <n v="46124"/>
    <m/>
    <n v="359"/>
    <s v="PS0005"/>
    <n v="7619"/>
    <n v="534132"/>
    <n v="3"/>
    <s v="438466******4782"/>
    <s v="Nac"/>
    <s v="COM"/>
    <x v="12"/>
    <n v="179"/>
    <x v="0"/>
    <n v="8.3000000000000007"/>
    <n v="1.05"/>
    <n v="0.19"/>
    <n v="170.51"/>
    <n v="0"/>
    <m/>
    <n v="20260413"/>
    <m/>
    <s v="CREDITO"/>
    <n v="3974527"/>
    <s v="BBVA"/>
    <s v="SI"/>
    <m/>
    <n v="0.62578703703703709"/>
    <s v="XIAOMI SCHELL"/>
  </r>
  <r>
    <n v="1023366"/>
    <s v="VA"/>
    <s v="A"/>
    <n v="46124"/>
    <n v="46124"/>
    <m/>
    <n v="359"/>
    <s v="PS0005"/>
    <n v="7621"/>
    <n v="425"/>
    <m/>
    <s v="444437******3946"/>
    <s v="Nac"/>
    <s v="COM"/>
    <x v="12"/>
    <n v="89"/>
    <x v="0"/>
    <n v="2.57"/>
    <n v="0.34"/>
    <n v="0.06"/>
    <n v="86.37"/>
    <n v="0"/>
    <m/>
    <n v="20260413"/>
    <m/>
    <s v="CREDITO"/>
    <n v="3974527"/>
    <s v="BCP"/>
    <m/>
    <m/>
    <n v="0.64969907407407412"/>
    <s v="XIAOMI SCHELL"/>
  </r>
  <r>
    <n v="1023366"/>
    <s v="VA"/>
    <s v="A"/>
    <n v="46124"/>
    <n v="46124"/>
    <m/>
    <n v="359"/>
    <s v="PS0005"/>
    <n v="7623"/>
    <n v="898678"/>
    <m/>
    <s v="455788******1371"/>
    <s v="Nac"/>
    <s v="COM"/>
    <x v="12"/>
    <n v="629"/>
    <x v="0"/>
    <n v="18.18"/>
    <n v="8.1199999999999992"/>
    <n v="1.46"/>
    <n v="609.36"/>
    <n v="0"/>
    <m/>
    <n v="20260413"/>
    <m/>
    <s v="DEBITO"/>
    <n v="3974527"/>
    <s v="BCP"/>
    <m/>
    <m/>
    <n v="0.65342592592592597"/>
    <s v="XIAOMI SCHELL"/>
  </r>
  <r>
    <n v="1023366"/>
    <s v="VA"/>
    <s v="A"/>
    <n v="46124"/>
    <n v="46124"/>
    <m/>
    <n v="359"/>
    <s v="PS0005"/>
    <n v="7625"/>
    <n v="681593"/>
    <m/>
    <s v="491914******2827"/>
    <s v="Nac"/>
    <s v="COM"/>
    <x v="12"/>
    <n v="105"/>
    <x v="0"/>
    <n v="3.03"/>
    <n v="0.61"/>
    <n v="0.11"/>
    <n v="101.86"/>
    <n v="0"/>
    <m/>
    <n v="20260413"/>
    <m/>
    <s v="CREDITO"/>
    <n v="3974527"/>
    <s v="BBVA"/>
    <m/>
    <m/>
    <n v="0.65877314814814814"/>
    <s v="XIAOMI SCHELL"/>
  </r>
  <r>
    <n v="1023366"/>
    <s v="VA"/>
    <s v="A"/>
    <n v="46124"/>
    <n v="46124"/>
    <m/>
    <n v="359"/>
    <s v="PS0005"/>
    <n v="7629"/>
    <n v="86878"/>
    <m/>
    <s v="421410******7179"/>
    <s v="Nac"/>
    <s v="COM"/>
    <x v="12"/>
    <n v="2099"/>
    <x v="0"/>
    <n v="60.66"/>
    <n v="27.08"/>
    <n v="4.87"/>
    <n v="2033.47"/>
    <n v="0"/>
    <m/>
    <n v="20260413"/>
    <m/>
    <s v="DEBITO"/>
    <n v="3974527"/>
    <s v="NACION"/>
    <m/>
    <m/>
    <n v="0.68357638888888894"/>
    <s v="XIAOMI SCHELL"/>
  </r>
  <r>
    <n v="1023366"/>
    <s v="VA"/>
    <s v="A"/>
    <n v="46124"/>
    <n v="46124"/>
    <m/>
    <n v="359"/>
    <s v="PS0005"/>
    <n v="7633"/>
    <n v="8356"/>
    <m/>
    <s v="451787******0022"/>
    <s v="Nac"/>
    <s v="COM"/>
    <x v="12"/>
    <n v="65"/>
    <x v="0"/>
    <n v="1.88"/>
    <n v="0.51"/>
    <n v="0.09"/>
    <n v="63.03"/>
    <n v="0"/>
    <m/>
    <n v="20260413"/>
    <m/>
    <s v="CREDITO"/>
    <n v="3974527"/>
    <s v="BFALABELLA"/>
    <m/>
    <m/>
    <n v="0.69355324074074076"/>
    <s v="XIAOMI SCHELL"/>
  </r>
  <r>
    <n v="1023366"/>
    <s v="VA"/>
    <s v="A"/>
    <n v="46124"/>
    <n v="46124"/>
    <m/>
    <n v="359"/>
    <s v="PS0005"/>
    <n v="7635"/>
    <n v="859246"/>
    <m/>
    <s v="438168******5071"/>
    <s v="Nac"/>
    <s v="COM"/>
    <x v="12"/>
    <n v="749"/>
    <x v="0"/>
    <n v="21.65"/>
    <n v="9.67"/>
    <n v="1.74"/>
    <n v="725.61"/>
    <n v="0"/>
    <m/>
    <n v="20260413"/>
    <m/>
    <s v="DEBITO"/>
    <n v="3974527"/>
    <s v="BBVA"/>
    <m/>
    <m/>
    <n v="0.70012731481481483"/>
    <s v="XIAOMI SCHELL"/>
  </r>
  <r>
    <n v="1023366"/>
    <s v="VA"/>
    <s v="A"/>
    <n v="46124"/>
    <n v="46124"/>
    <m/>
    <n v="359"/>
    <s v="PS0005"/>
    <n v="7637"/>
    <n v="9671"/>
    <m/>
    <s v="445330******0340"/>
    <s v="Nac"/>
    <s v="COM"/>
    <x v="12"/>
    <n v="189"/>
    <x v="0"/>
    <n v="5.46"/>
    <n v="0.73"/>
    <n v="0.13"/>
    <n v="183.41"/>
    <n v="0"/>
    <m/>
    <n v="20260413"/>
    <m/>
    <s v="CREDITO"/>
    <n v="3974527"/>
    <s v="BCP"/>
    <m/>
    <m/>
    <n v="0.70425925925925925"/>
    <s v="XIAOMI SCHELL"/>
  </r>
  <r>
    <n v="1023366"/>
    <s v="VA"/>
    <s v="A"/>
    <n v="46124"/>
    <n v="46124"/>
    <m/>
    <n v="359"/>
    <s v="PS0005"/>
    <n v="7639"/>
    <n v="3123"/>
    <m/>
    <s v="428082******7624"/>
    <s v="Nac"/>
    <s v="COM"/>
    <x v="12"/>
    <n v="2948"/>
    <x v="0"/>
    <n v="85.2"/>
    <n v="17.399999999999999"/>
    <n v="3.13"/>
    <n v="2859.67"/>
    <n v="0"/>
    <m/>
    <n v="20260413"/>
    <m/>
    <s v="CREDITO"/>
    <n v="3974527"/>
    <s v="BCP"/>
    <m/>
    <m/>
    <n v="0.74326388888888884"/>
    <s v="XIAOMI SCHELL"/>
  </r>
  <r>
    <n v="1023366"/>
    <s v="VA"/>
    <s v="A"/>
    <n v="46124"/>
    <n v="46124"/>
    <m/>
    <n v="359"/>
    <s v="PS0005"/>
    <n v="7641"/>
    <n v="7689"/>
    <m/>
    <s v="444437******8470"/>
    <s v="Nac"/>
    <s v="COM"/>
    <x v="12"/>
    <n v="267"/>
    <x v="0"/>
    <n v="7.72"/>
    <n v="1.04"/>
    <n v="0.19"/>
    <n v="259.08999999999997"/>
    <n v="0"/>
    <m/>
    <n v="20260413"/>
    <m/>
    <s v="CREDITO"/>
    <n v="3974527"/>
    <s v="BCP"/>
    <m/>
    <m/>
    <n v="0.74921296296296291"/>
    <s v="XIAOMI SCHELL"/>
  </r>
  <r>
    <n v="1023366"/>
    <s v="VA"/>
    <s v="A"/>
    <n v="46124"/>
    <n v="46124"/>
    <m/>
    <n v="359"/>
    <s v="PS0005"/>
    <n v="7643"/>
    <n v="92836"/>
    <n v="3"/>
    <s v="491909******7043"/>
    <s v="Nac"/>
    <s v="COM"/>
    <x v="12"/>
    <n v="344"/>
    <x v="0"/>
    <n v="15.96"/>
    <n v="2.72"/>
    <n v="0.49"/>
    <n v="327.55"/>
    <n v="0"/>
    <m/>
    <n v="20260413"/>
    <m/>
    <s v="CREDITO"/>
    <n v="3974527"/>
    <s v="BBVA"/>
    <s v="SI"/>
    <m/>
    <n v="0.7584953703703704"/>
    <s v="XIAOMI SCHELL"/>
  </r>
  <r>
    <n v="1023366"/>
    <s v="VA"/>
    <s v="A"/>
    <n v="46124"/>
    <n v="46124"/>
    <m/>
    <n v="359"/>
    <s v="PS0005"/>
    <n v="7645"/>
    <n v="100624"/>
    <m/>
    <s v="477765******7079"/>
    <s v="Nac"/>
    <s v="COM"/>
    <x v="12"/>
    <n v="149"/>
    <x v="0"/>
    <n v="4.3099999999999996"/>
    <n v="1.93"/>
    <n v="0.35"/>
    <n v="144.34"/>
    <n v="14933.21"/>
    <n v="46125"/>
    <n v="20260413"/>
    <m/>
    <s v="DEBITO"/>
    <n v="3974527"/>
    <s v="SCOTIABANK"/>
    <m/>
    <m/>
    <n v="0.78461805555555553"/>
    <s v="XIAOMI SCHELL"/>
  </r>
  <r>
    <n v="1023366"/>
    <s v="MC"/>
    <s v="A"/>
    <n v="46125"/>
    <n v="46125"/>
    <m/>
    <n v="360"/>
    <s v="PS0005"/>
    <n v="7744"/>
    <n v="54434"/>
    <m/>
    <s v="531769******2328"/>
    <s v="Ext"/>
    <s v="COM"/>
    <x v="13"/>
    <n v="1797"/>
    <x v="0"/>
    <n v="70.08"/>
    <n v="34.14"/>
    <n v="6.15"/>
    <n v="1720.77"/>
    <n v="1720.77"/>
    <n v="46126"/>
    <n v="20260414"/>
    <m/>
    <s v="CREDITO"/>
    <n v="3974527"/>
    <s v="MCI C. INTER"/>
    <m/>
    <m/>
    <n v="0.85994212962962968"/>
    <s v="XIAOMI SCHELL"/>
  </r>
  <r>
    <n v="1023366"/>
    <s v="VA"/>
    <s v="A"/>
    <n v="46125"/>
    <n v="46125"/>
    <m/>
    <n v="360"/>
    <s v="PS0005"/>
    <n v="7660"/>
    <n v="949793"/>
    <m/>
    <s v="455788******5953"/>
    <s v="Nac"/>
    <s v="COM"/>
    <x v="13"/>
    <n v="89.9"/>
    <x v="0"/>
    <n v="2.6"/>
    <n v="1.1599999999999999"/>
    <n v="0.21"/>
    <n v="87.09"/>
    <n v="0"/>
    <m/>
    <n v="20260414"/>
    <m/>
    <s v="DEBITO"/>
    <n v="3974527"/>
    <s v="BCP"/>
    <m/>
    <m/>
    <n v="0.50726851851851851"/>
    <s v="XIAOMI SCHELL"/>
  </r>
  <r>
    <n v="1023366"/>
    <s v="VA"/>
    <s v="A"/>
    <n v="46125"/>
    <n v="46125"/>
    <m/>
    <n v="360"/>
    <n v="65656565"/>
    <n v="7662"/>
    <n v="945061"/>
    <m/>
    <s v="455788******9203"/>
    <s v="Nac"/>
    <s v="COM"/>
    <x v="13"/>
    <n v="30"/>
    <x v="0"/>
    <n v="0.86"/>
    <n v="0.38"/>
    <n v="7.0000000000000007E-2"/>
    <n v="29.07"/>
    <n v="0"/>
    <m/>
    <n v="20260414"/>
    <m/>
    <s v="DEBITO"/>
    <n v="3974527"/>
    <s v="BCP"/>
    <m/>
    <s v="Yape"/>
    <n v="0.53003472222222225"/>
    <s v="XIAOMI SCHELL"/>
  </r>
  <r>
    <n v="1023366"/>
    <s v="VA"/>
    <s v="A"/>
    <n v="46125"/>
    <n v="46125"/>
    <m/>
    <n v="360"/>
    <s v="PS0005"/>
    <n v="7665"/>
    <n v="69945"/>
    <m/>
    <s v="414165******2769"/>
    <s v="Nac"/>
    <s v="COM"/>
    <x v="13"/>
    <n v="949"/>
    <x v="0"/>
    <n v="27.43"/>
    <n v="5.6"/>
    <n v="1.01"/>
    <n v="920.56"/>
    <n v="0"/>
    <m/>
    <n v="20260414"/>
    <m/>
    <s v="CREDITO"/>
    <n v="3974527"/>
    <s v="SCOTIABANK"/>
    <m/>
    <m/>
    <n v="0.55019675925925926"/>
    <s v="XIAOMI SCHELL"/>
  </r>
  <r>
    <n v="1023366"/>
    <s v="VA"/>
    <s v="A"/>
    <n v="46125"/>
    <n v="46125"/>
    <m/>
    <n v="360"/>
    <s v="PS0005"/>
    <n v="7667"/>
    <n v="210151"/>
    <m/>
    <s v="422224******7218"/>
    <s v="Nac"/>
    <s v="COM"/>
    <x v="13"/>
    <n v="37.25"/>
    <x v="0"/>
    <n v="1.08"/>
    <n v="0.22"/>
    <n v="0.04"/>
    <n v="36.130000000000003"/>
    <n v="0"/>
    <m/>
    <n v="20260414"/>
    <m/>
    <s v="CREDITO"/>
    <n v="3974527"/>
    <s v="IBK PRIVADA"/>
    <m/>
    <m/>
    <n v="0.55615740740740738"/>
    <s v="XIAOMI SCHELL"/>
  </r>
  <r>
    <n v="1023366"/>
    <s v="VA"/>
    <s v="A"/>
    <n v="46125"/>
    <n v="46125"/>
    <m/>
    <n v="360"/>
    <s v="PS0005"/>
    <n v="7669"/>
    <n v="7931"/>
    <m/>
    <s v="414791******4932"/>
    <s v="Nac"/>
    <s v="COM"/>
    <x v="13"/>
    <n v="149"/>
    <x v="0"/>
    <n v="4.3099999999999996"/>
    <n v="0.88"/>
    <n v="0.16"/>
    <n v="144.53"/>
    <n v="0"/>
    <m/>
    <n v="20260414"/>
    <m/>
    <s v="CREDITO"/>
    <n v="3974527"/>
    <s v="BBVA"/>
    <m/>
    <m/>
    <n v="0.55782407407407408"/>
    <s v="XIAOMI SCHELL"/>
  </r>
  <r>
    <n v="1023366"/>
    <s v="VA"/>
    <s v="A"/>
    <n v="46125"/>
    <n v="46125"/>
    <m/>
    <n v="360"/>
    <s v="PS0005"/>
    <n v="7671"/>
    <n v="77384"/>
    <m/>
    <s v="455788******9954"/>
    <s v="Nac"/>
    <s v="COM"/>
    <x v="13"/>
    <n v="179"/>
    <x v="0"/>
    <n v="5.17"/>
    <n v="2.31"/>
    <n v="0.42"/>
    <n v="173.41"/>
    <n v="0"/>
    <m/>
    <n v="20260414"/>
    <m/>
    <s v="DEBITO"/>
    <n v="3974527"/>
    <s v="VISA LOC"/>
    <m/>
    <m/>
    <n v="0.56039351851851849"/>
    <s v="XIAOMI SCHELL"/>
  </r>
  <r>
    <n v="1023366"/>
    <s v="VA"/>
    <s v="A"/>
    <n v="46125"/>
    <n v="46125"/>
    <m/>
    <n v="360"/>
    <s v="PS0005"/>
    <n v="7673"/>
    <n v="181063"/>
    <m/>
    <s v="491909******3393"/>
    <s v="Nac"/>
    <s v="COM"/>
    <x v="13"/>
    <n v="129"/>
    <x v="0"/>
    <n v="3.73"/>
    <n v="1.02"/>
    <n v="0.18"/>
    <n v="125.09"/>
    <n v="0"/>
    <m/>
    <n v="20260414"/>
    <m/>
    <s v="CREDITO"/>
    <n v="3974527"/>
    <s v="BBVA"/>
    <m/>
    <m/>
    <n v="0.59436342592592595"/>
    <s v="XIAOMI SCHELL"/>
  </r>
  <r>
    <n v="1023366"/>
    <s v="VA"/>
    <s v="A"/>
    <n v="46125"/>
    <n v="46125"/>
    <m/>
    <n v="360"/>
    <s v="PS0005"/>
    <n v="7676"/>
    <n v="187644"/>
    <m/>
    <s v="438466******1144"/>
    <s v="Nac"/>
    <s v="COM"/>
    <x v="13"/>
    <n v="35"/>
    <x v="0"/>
    <n v="1.01"/>
    <n v="0.2"/>
    <n v="0.04"/>
    <n v="33.950000000000003"/>
    <n v="0"/>
    <m/>
    <n v="20260414"/>
    <m/>
    <s v="CREDITO"/>
    <n v="3974527"/>
    <s v="BBVA"/>
    <m/>
    <m/>
    <n v="0.59574074074074079"/>
    <s v="XIAOMI SCHELL"/>
  </r>
  <r>
    <n v="1023366"/>
    <s v="VA"/>
    <s v="A"/>
    <n v="46125"/>
    <n v="46125"/>
    <m/>
    <n v="360"/>
    <s v="PS0005"/>
    <n v="7678"/>
    <n v="122382"/>
    <m/>
    <s v="455788******4379"/>
    <s v="Nac"/>
    <s v="COM"/>
    <x v="13"/>
    <n v="35"/>
    <x v="0"/>
    <n v="1.01"/>
    <n v="0.45"/>
    <n v="0.08"/>
    <n v="33.909999999999997"/>
    <n v="0"/>
    <m/>
    <n v="20260414"/>
    <m/>
    <s v="DEBITO"/>
    <n v="3974527"/>
    <s v="BCP"/>
    <m/>
    <m/>
    <n v="0.60335648148148147"/>
    <s v="XIAOMI SCHELL"/>
  </r>
  <r>
    <n v="1023366"/>
    <s v="VA"/>
    <s v="A"/>
    <n v="46125"/>
    <n v="46125"/>
    <m/>
    <n v="360"/>
    <s v="PS0005"/>
    <n v="7680"/>
    <n v="2193"/>
    <m/>
    <s v="463402******9322"/>
    <s v="Nac"/>
    <s v="COM"/>
    <x v="13"/>
    <n v="89.9"/>
    <x v="0"/>
    <n v="2.6"/>
    <n v="0.71"/>
    <n v="0.13"/>
    <n v="87.17"/>
    <n v="0"/>
    <m/>
    <n v="20260414"/>
    <m/>
    <s v="CREDITO"/>
    <n v="3974527"/>
    <s v="BCP"/>
    <m/>
    <m/>
    <n v="0.62834490740740745"/>
    <s v="XIAOMI SCHELL"/>
  </r>
  <r>
    <n v="1023366"/>
    <s v="VA"/>
    <s v="A"/>
    <n v="46125"/>
    <n v="46125"/>
    <m/>
    <n v="360"/>
    <s v="PS0005"/>
    <n v="7682"/>
    <n v="271452"/>
    <m/>
    <s v="455788******5754"/>
    <s v="Nac"/>
    <s v="COM"/>
    <x v="13"/>
    <n v="229"/>
    <x v="0"/>
    <n v="6.62"/>
    <n v="2.96"/>
    <n v="0.53"/>
    <n v="221.85"/>
    <n v="0"/>
    <m/>
    <n v="20260414"/>
    <m/>
    <s v="DEBITO"/>
    <n v="3974527"/>
    <s v="BCP"/>
    <m/>
    <m/>
    <n v="0.64599537037037036"/>
    <s v="XIAOMI SCHELL"/>
  </r>
  <r>
    <n v="1023366"/>
    <s v="VA"/>
    <s v="A"/>
    <n v="46125"/>
    <n v="46125"/>
    <m/>
    <n v="360"/>
    <s v="PS0005"/>
    <n v="7685"/>
    <n v="3827"/>
    <m/>
    <s v="462080******0287"/>
    <s v="Ext"/>
    <s v="COM"/>
    <x v="13"/>
    <n v="5899"/>
    <x v="0"/>
    <n v="230.06"/>
    <n v="113.26"/>
    <n v="20.39"/>
    <n v="5648.55"/>
    <n v="0"/>
    <m/>
    <n v="20260414"/>
    <m/>
    <s v="CREDITO"/>
    <n v="3974527"/>
    <s v="VISA INT"/>
    <m/>
    <m/>
    <n v="0.64922453703703709"/>
    <s v="XIAOMI SCHELL"/>
  </r>
  <r>
    <n v="1023366"/>
    <s v="VA"/>
    <s v="A"/>
    <n v="46125"/>
    <n v="46125"/>
    <m/>
    <n v="360"/>
    <s v="PS0005"/>
    <n v="7691"/>
    <n v="435889"/>
    <m/>
    <s v="438466******4229"/>
    <s v="Nac"/>
    <s v="COM"/>
    <x v="13"/>
    <n v="89"/>
    <x v="0"/>
    <n v="2.57"/>
    <n v="0.7"/>
    <n v="0.13"/>
    <n v="86.3"/>
    <n v="0"/>
    <m/>
    <n v="20260414"/>
    <m/>
    <s v="CREDITO"/>
    <n v="3974527"/>
    <s v="BBVA"/>
    <m/>
    <m/>
    <n v="0.65666666666666662"/>
    <s v="XIAOMI SCHELL"/>
  </r>
  <r>
    <n v="1023366"/>
    <s v="VA"/>
    <s v="A"/>
    <n v="46125"/>
    <n v="46125"/>
    <m/>
    <n v="360"/>
    <s v="PS0005"/>
    <n v="7693"/>
    <n v="457924"/>
    <m/>
    <s v="455170******0558"/>
    <s v="Nac"/>
    <s v="COM"/>
    <x v="13"/>
    <n v="89.9"/>
    <x v="0"/>
    <n v="2.6"/>
    <n v="1.1599999999999999"/>
    <n v="0.21"/>
    <n v="87.09"/>
    <n v="0"/>
    <m/>
    <n v="20260414"/>
    <m/>
    <s v="DEBITO"/>
    <n v="3974527"/>
    <s v="BBVA"/>
    <m/>
    <m/>
    <n v="0.66200231481481486"/>
    <s v="XIAOMI SCHELL"/>
  </r>
  <r>
    <n v="1023366"/>
    <s v="VA"/>
    <s v="A"/>
    <n v="46125"/>
    <n v="46125"/>
    <m/>
    <n v="360"/>
    <s v="PS0005"/>
    <n v="7698"/>
    <n v="385655"/>
    <m/>
    <s v="455788******7825"/>
    <s v="Nac"/>
    <s v="COM"/>
    <x v="13"/>
    <n v="379"/>
    <x v="0"/>
    <n v="10.95"/>
    <n v="4.8899999999999997"/>
    <n v="0.88"/>
    <n v="367.17"/>
    <n v="0"/>
    <m/>
    <n v="20260414"/>
    <m/>
    <s v="DEBITO"/>
    <n v="3974527"/>
    <s v="BCP"/>
    <m/>
    <m/>
    <n v="0.67884259259259261"/>
    <s v="XIAOMI SCHELL"/>
  </r>
  <r>
    <n v="1023366"/>
    <s v="VA"/>
    <s v="A"/>
    <n v="46125"/>
    <n v="46125"/>
    <m/>
    <n v="360"/>
    <n v="65656565"/>
    <n v="7700"/>
    <n v="398340"/>
    <m/>
    <s v="455788******4975"/>
    <s v="Nac"/>
    <s v="COM"/>
    <x v="13"/>
    <n v="55"/>
    <x v="0"/>
    <n v="1.58"/>
    <n v="0.7"/>
    <n v="0.13"/>
    <n v="53.29"/>
    <n v="0"/>
    <m/>
    <n v="20260414"/>
    <m/>
    <s v="DEBITO"/>
    <n v="3974527"/>
    <s v="BCP"/>
    <m/>
    <s v="Yape"/>
    <n v="0.68467592592592597"/>
    <s v="XIAOMI SCHELL"/>
  </r>
  <r>
    <n v="1023366"/>
    <s v="VA"/>
    <s v="A"/>
    <n v="46125"/>
    <n v="46125"/>
    <m/>
    <n v="360"/>
    <s v="PS0005"/>
    <n v="7703"/>
    <n v="258947"/>
    <m/>
    <s v="447410******3225"/>
    <s v="Nac"/>
    <s v="COM"/>
    <x v="13"/>
    <n v="89.9"/>
    <x v="0"/>
    <n v="2.6"/>
    <n v="0.53"/>
    <n v="0.1"/>
    <n v="87.2"/>
    <n v="0"/>
    <m/>
    <n v="20260414"/>
    <m/>
    <s v="CREDITO"/>
    <n v="3974527"/>
    <s v="BFALABELLA"/>
    <m/>
    <m/>
    <n v="0.708587962962963"/>
    <s v="XIAOMI SCHELL"/>
  </r>
  <r>
    <n v="1023366"/>
    <s v="VA"/>
    <s v="A"/>
    <n v="46125"/>
    <n v="46125"/>
    <m/>
    <n v="360"/>
    <s v="PS0005"/>
    <n v="7706"/>
    <n v="813201"/>
    <m/>
    <s v="438466******3141"/>
    <s v="Nac"/>
    <s v="COM"/>
    <x v="13"/>
    <n v="89"/>
    <x v="0"/>
    <n v="2.57"/>
    <n v="0.34"/>
    <n v="0.06"/>
    <n v="86.37"/>
    <n v="0"/>
    <m/>
    <n v="20260414"/>
    <m/>
    <s v="CREDITO"/>
    <n v="3974527"/>
    <s v="VISA LOC"/>
    <m/>
    <m/>
    <n v="0.74010416666666667"/>
    <s v="XIAOMI SCHELL"/>
  </r>
  <r>
    <n v="1023366"/>
    <s v="VA"/>
    <s v="A"/>
    <n v="46125"/>
    <n v="46125"/>
    <m/>
    <n v="360"/>
    <s v="PS0005"/>
    <n v="7708"/>
    <n v="857331"/>
    <m/>
    <s v="491914******1531"/>
    <s v="Nac"/>
    <s v="COM"/>
    <x v="13"/>
    <n v="269"/>
    <x v="0"/>
    <n v="7.77"/>
    <n v="1.58"/>
    <n v="0.28000000000000003"/>
    <n v="260.95"/>
    <n v="0"/>
    <m/>
    <n v="20260414"/>
    <m/>
    <s v="CREDITO"/>
    <n v="3974527"/>
    <s v="BBVA"/>
    <m/>
    <m/>
    <n v="0.74857638888888889"/>
    <s v="XIAOMI SCHELL"/>
  </r>
  <r>
    <n v="1023366"/>
    <s v="VA"/>
    <s v="A"/>
    <n v="46125"/>
    <n v="46125"/>
    <m/>
    <n v="360"/>
    <s v="PS0005"/>
    <n v="7710"/>
    <n v="962378"/>
    <n v="3"/>
    <s v="414791******4325"/>
    <s v="Nac"/>
    <s v="COM"/>
    <x v="13"/>
    <n v="349"/>
    <x v="0"/>
    <n v="16.2"/>
    <n v="2.06"/>
    <n v="0.37"/>
    <n v="332.43"/>
    <n v="0"/>
    <m/>
    <n v="20260414"/>
    <m/>
    <s v="CREDITO"/>
    <n v="3974527"/>
    <s v="BBVA"/>
    <s v="SI"/>
    <m/>
    <n v="0.76751157407407411"/>
    <s v="XIAOMI SCHELL"/>
  </r>
  <r>
    <n v="1023366"/>
    <s v="VA"/>
    <s v="A"/>
    <n v="46125"/>
    <n v="46125"/>
    <m/>
    <n v="360"/>
    <s v="PS0005"/>
    <n v="7713"/>
    <n v="972849"/>
    <m/>
    <s v="438466******3198"/>
    <s v="Nac"/>
    <s v="COM"/>
    <x v="13"/>
    <n v="149"/>
    <x v="0"/>
    <n v="4.3099999999999996"/>
    <n v="1.93"/>
    <n v="0.35"/>
    <n v="144.34"/>
    <n v="0"/>
    <m/>
    <n v="20260414"/>
    <m/>
    <s v="DEBITO"/>
    <n v="3974527"/>
    <s v="VISA LOC"/>
    <m/>
    <m/>
    <n v="0.76936342592592588"/>
    <s v="XIAOMI SCHELL"/>
  </r>
  <r>
    <n v="1023366"/>
    <s v="VA"/>
    <s v="A"/>
    <n v="46125"/>
    <n v="46125"/>
    <m/>
    <n v="360"/>
    <s v="PS0005"/>
    <n v="7715"/>
    <n v="6494"/>
    <m/>
    <s v="463403******0822"/>
    <s v="Nac"/>
    <s v="COM"/>
    <x v="13"/>
    <n v="149"/>
    <x v="0"/>
    <n v="4.3099999999999996"/>
    <n v="0.88"/>
    <n v="0.16"/>
    <n v="144.53"/>
    <n v="0"/>
    <m/>
    <n v="20260414"/>
    <m/>
    <s v="CREDITO"/>
    <n v="3974527"/>
    <s v="BCP"/>
    <m/>
    <m/>
    <n v="0.77547453703703706"/>
    <s v="XIAOMI SCHELL"/>
  </r>
  <r>
    <n v="1023366"/>
    <s v="VA"/>
    <s v="A"/>
    <n v="46125"/>
    <n v="46125"/>
    <m/>
    <n v="360"/>
    <s v="PS0005"/>
    <n v="7717"/>
    <n v="621239"/>
    <m/>
    <s v="492124******3077"/>
    <s v="Nac"/>
    <s v="COM"/>
    <x v="13"/>
    <n v="35"/>
    <x v="0"/>
    <n v="1.01"/>
    <n v="0.45"/>
    <n v="0.08"/>
    <n v="33.909999999999997"/>
    <n v="0"/>
    <m/>
    <n v="20260414"/>
    <m/>
    <s v="DEBITO"/>
    <n v="3974527"/>
    <s v="BCP"/>
    <m/>
    <m/>
    <n v="0.78981481481481486"/>
    <s v="XIAOMI SCHELL"/>
  </r>
  <r>
    <n v="1023366"/>
    <s v="VA"/>
    <s v="A"/>
    <n v="46125"/>
    <n v="46125"/>
    <m/>
    <n v="360"/>
    <s v="PS0005"/>
    <n v="7722"/>
    <n v="596098"/>
    <m/>
    <s v="477376******8412"/>
    <s v="Ext"/>
    <s v="COM"/>
    <x v="13"/>
    <n v="69"/>
    <x v="0"/>
    <n v="2.69"/>
    <n v="1.42"/>
    <n v="0.26"/>
    <n v="66.05"/>
    <n v="0"/>
    <m/>
    <n v="20260414"/>
    <m/>
    <s v="CREDITO"/>
    <n v="3974527"/>
    <s v="VISA INT"/>
    <m/>
    <m/>
    <n v="0.81637731481481479"/>
    <s v="XIAOMI SCHELL"/>
  </r>
  <r>
    <n v="1023366"/>
    <s v="VA"/>
    <s v="A"/>
    <n v="46125"/>
    <n v="46125"/>
    <m/>
    <n v="360"/>
    <s v="PS0005"/>
    <n v="7724"/>
    <n v="468245"/>
    <m/>
    <s v="421355******9012"/>
    <s v="Nac"/>
    <s v="COM"/>
    <x v="13"/>
    <n v="89.9"/>
    <x v="0"/>
    <n v="2.6"/>
    <n v="1.1599999999999999"/>
    <n v="0.21"/>
    <n v="87.09"/>
    <n v="0"/>
    <m/>
    <n v="20260414"/>
    <m/>
    <s v="DEBITO"/>
    <n v="3974527"/>
    <s v="IBK PRIVADA"/>
    <m/>
    <m/>
    <n v="0.8185648148148148"/>
    <s v="XIAOMI SCHELL"/>
  </r>
  <r>
    <n v="1023366"/>
    <s v="VA"/>
    <s v="A"/>
    <n v="46125"/>
    <n v="46125"/>
    <m/>
    <n v="360"/>
    <s v="PS0005"/>
    <n v="7726"/>
    <n v="266601"/>
    <n v="3"/>
    <s v="414075******4203"/>
    <s v="Nac"/>
    <s v="COM"/>
    <x v="13"/>
    <n v="1823.79"/>
    <x v="0"/>
    <n v="84.63"/>
    <n v="7.12"/>
    <n v="1.28"/>
    <n v="1737.88"/>
    <n v="0"/>
    <m/>
    <n v="20260414"/>
    <m/>
    <s v="CREDITO"/>
    <n v="3974527"/>
    <s v="BBVA"/>
    <s v="SI"/>
    <m/>
    <n v="0.82098379629629625"/>
    <s v="XIAOMI SCHELL"/>
  </r>
  <r>
    <n v="1023366"/>
    <s v="VA"/>
    <s v="A"/>
    <n v="46125"/>
    <n v="46125"/>
    <m/>
    <n v="360"/>
    <s v="PS0005"/>
    <n v="7728"/>
    <n v="272960"/>
    <m/>
    <s v="414791******2172"/>
    <s v="Nac"/>
    <s v="COM"/>
    <x v="13"/>
    <n v="35"/>
    <x v="0"/>
    <n v="1.01"/>
    <n v="0.2"/>
    <n v="0.04"/>
    <n v="33.950000000000003"/>
    <n v="0"/>
    <m/>
    <n v="20260414"/>
    <m/>
    <s v="CREDITO"/>
    <n v="3974527"/>
    <s v="BBVA"/>
    <m/>
    <m/>
    <n v="0.82216435185185188"/>
    <s v="XIAOMI SCHELL"/>
  </r>
  <r>
    <n v="1023366"/>
    <s v="VA"/>
    <s v="A"/>
    <n v="46125"/>
    <n v="46125"/>
    <m/>
    <n v="360"/>
    <s v="PS0005"/>
    <n v="7730"/>
    <n v="320922"/>
    <m/>
    <s v="447410******2235"/>
    <s v="Nac"/>
    <s v="COM"/>
    <x v="13"/>
    <n v="229"/>
    <x v="0"/>
    <n v="6.62"/>
    <n v="1.35"/>
    <n v="0.24"/>
    <n v="222.14"/>
    <n v="0"/>
    <m/>
    <n v="20260414"/>
    <m/>
    <s v="CREDITO"/>
    <n v="3974527"/>
    <s v="BFALABELLA"/>
    <m/>
    <m/>
    <n v="0.82965277777777779"/>
    <s v="XIAOMI SCHELL"/>
  </r>
  <r>
    <n v="1023366"/>
    <s v="VA"/>
    <s v="A"/>
    <n v="46125"/>
    <n v="46125"/>
    <m/>
    <n v="360"/>
    <s v="PS0005"/>
    <n v="7732"/>
    <n v="8931"/>
    <m/>
    <s v="445330******4837"/>
    <s v="Nac"/>
    <s v="COM"/>
    <x v="13"/>
    <n v="129"/>
    <x v="0"/>
    <n v="3.73"/>
    <n v="0.76"/>
    <n v="0.14000000000000001"/>
    <n v="125.13"/>
    <n v="0"/>
    <m/>
    <n v="20260414"/>
    <m/>
    <s v="CREDITO"/>
    <n v="3974527"/>
    <s v="BCP"/>
    <m/>
    <m/>
    <n v="0.84697916666666662"/>
    <s v="XIAOMI SCHELL"/>
  </r>
  <r>
    <n v="1023366"/>
    <s v="VA"/>
    <s v="A"/>
    <n v="46125"/>
    <n v="46125"/>
    <m/>
    <n v="360"/>
    <s v="PS0005"/>
    <n v="7734"/>
    <n v="422351"/>
    <m/>
    <s v="414791******2678"/>
    <s v="Nac"/>
    <s v="COM"/>
    <x v="13"/>
    <n v="149"/>
    <x v="0"/>
    <n v="4.3099999999999996"/>
    <n v="0.88"/>
    <n v="0.16"/>
    <n v="144.53"/>
    <n v="0"/>
    <m/>
    <n v="20260414"/>
    <m/>
    <s v="CREDITO"/>
    <n v="3974527"/>
    <s v="BBVA"/>
    <m/>
    <m/>
    <n v="0.85105324074074074"/>
    <s v="XIAOMI SCHELL"/>
  </r>
  <r>
    <n v="1023366"/>
    <s v="VA"/>
    <s v="A"/>
    <n v="46125"/>
    <n v="46125"/>
    <m/>
    <n v="360"/>
    <s v="PS0005"/>
    <n v="7746"/>
    <n v="493052"/>
    <m/>
    <s v="455696******7277"/>
    <s v="Nac"/>
    <s v="COM"/>
    <x v="13"/>
    <n v="109"/>
    <x v="0"/>
    <n v="3.15"/>
    <n v="0.64"/>
    <n v="0.12"/>
    <n v="105.73"/>
    <n v="0"/>
    <m/>
    <n v="20260414"/>
    <m/>
    <s v="CREDITO"/>
    <n v="3974527"/>
    <s v="IBK PRIVADA"/>
    <m/>
    <m/>
    <n v="0.86760416666666662"/>
    <s v="XIAOMI SCHELL"/>
  </r>
  <r>
    <n v="1023366"/>
    <s v="VA"/>
    <s v="A"/>
    <n v="46125"/>
    <n v="46125"/>
    <m/>
    <n v="360"/>
    <s v="PS0005"/>
    <n v="7750"/>
    <n v="883643"/>
    <m/>
    <s v="455788******8917"/>
    <s v="Nac"/>
    <s v="COM"/>
    <x v="13"/>
    <n v="1799"/>
    <x v="0"/>
    <n v="51.99"/>
    <n v="23.21"/>
    <n v="4.18"/>
    <n v="1742.83"/>
    <n v="13490.22"/>
    <n v="46126"/>
    <n v="20260414"/>
    <m/>
    <s v="DEBITO"/>
    <n v="3974527"/>
    <s v="BCP"/>
    <m/>
    <m/>
    <n v="0.87723379629629628"/>
    <s v="XIAOMI SCHELL"/>
  </r>
  <r>
    <n v="1023366"/>
    <s v="MC"/>
    <s v="A"/>
    <n v="46126"/>
    <n v="46126"/>
    <m/>
    <n v="361"/>
    <s v="PS0005"/>
    <n v="7773"/>
    <s v="XH5RTW"/>
    <m/>
    <s v="559535******4669"/>
    <s v="Ext"/>
    <s v="COM"/>
    <x v="14"/>
    <n v="149"/>
    <x v="0"/>
    <n v="5.81"/>
    <n v="3.05"/>
    <n v="0.55000000000000004"/>
    <n v="142.63999999999999"/>
    <n v="0"/>
    <m/>
    <n v="20260415"/>
    <m/>
    <s v="CREDITO"/>
    <n v="3974527"/>
    <s v="MCI C. INTER"/>
    <m/>
    <m/>
    <n v="0.4974884259259259"/>
    <s v="XIAOMI SCHELL"/>
  </r>
  <r>
    <n v="1023366"/>
    <s v="MC"/>
    <s v="A"/>
    <n v="46126"/>
    <n v="46126"/>
    <m/>
    <n v="361"/>
    <s v="PS0005"/>
    <n v="7817"/>
    <s v="RF4FUA"/>
    <m/>
    <s v="516794******0919"/>
    <s v="Ext"/>
    <s v="COM"/>
    <x v="14"/>
    <n v="140"/>
    <x v="0"/>
    <n v="5.46"/>
    <n v="2.69"/>
    <n v="0.48"/>
    <n v="134.06"/>
    <n v="276.7"/>
    <n v="46127"/>
    <n v="20260415"/>
    <m/>
    <s v="DEBITO"/>
    <n v="3974527"/>
    <s v="MCI C. INTER"/>
    <m/>
    <m/>
    <n v="0.76828703703703705"/>
    <s v="XIAOMI SCHELL"/>
  </r>
  <r>
    <n v="1023366"/>
    <s v="UP"/>
    <s v="A"/>
    <n v="46126"/>
    <n v="46126"/>
    <m/>
    <n v="361"/>
    <s v="PS0005"/>
    <n v="7810"/>
    <n v="2721"/>
    <m/>
    <s v="526855******1635"/>
    <s v="Ext"/>
    <s v="COM"/>
    <x v="14"/>
    <n v="207"/>
    <x v="0"/>
    <n v="5.98"/>
    <n v="3.5"/>
    <n v="0.63"/>
    <n v="200.39"/>
    <n v="200.39"/>
    <n v="46127"/>
    <n v="20260415"/>
    <m/>
    <s v="CREDITO"/>
    <n v="3974527"/>
    <s v="CUP INTER"/>
    <m/>
    <m/>
    <n v="0.74925925925925929"/>
    <s v="XIAOMI SCHELL"/>
  </r>
  <r>
    <n v="1023366"/>
    <s v="VA"/>
    <s v="A"/>
    <n v="46126"/>
    <n v="46126"/>
    <m/>
    <n v="361"/>
    <s v="PS0005"/>
    <n v="7765"/>
    <n v="309715"/>
    <m/>
    <s v="421355******7398"/>
    <s v="Nac"/>
    <s v="COM"/>
    <x v="14"/>
    <n v="1499"/>
    <x v="0"/>
    <n v="43.32"/>
    <n v="19.34"/>
    <n v="3.48"/>
    <n v="1452.2"/>
    <n v="0"/>
    <m/>
    <n v="20260415"/>
    <m/>
    <s v="DEBITO"/>
    <n v="3974527"/>
    <s v="IBK PRIVADA"/>
    <m/>
    <m/>
    <n v="0.42574074074074075"/>
    <s v="XIAOMI SCHELL"/>
  </r>
  <r>
    <n v="1023366"/>
    <s v="VA"/>
    <s v="A"/>
    <n v="46126"/>
    <n v="46126"/>
    <m/>
    <n v="361"/>
    <s v="PS0005"/>
    <n v="7767"/>
    <n v="459355"/>
    <m/>
    <s v="414791******6962"/>
    <s v="Nac"/>
    <s v="COM"/>
    <x v="14"/>
    <n v="199"/>
    <x v="0"/>
    <n v="5.75"/>
    <n v="1.17"/>
    <n v="0.21"/>
    <n v="193.04"/>
    <n v="0"/>
    <m/>
    <n v="20260415"/>
    <m/>
    <s v="CREDITO"/>
    <n v="3974527"/>
    <s v="BBVA"/>
    <m/>
    <m/>
    <n v="0.43885416666666666"/>
    <s v="XIAOMI SCHELL"/>
  </r>
  <r>
    <n v="1023366"/>
    <s v="VA"/>
    <s v="A"/>
    <n v="46126"/>
    <n v="46126"/>
    <m/>
    <n v="361"/>
    <s v="PS0005"/>
    <n v="7770"/>
    <n v="803213"/>
    <m/>
    <s v="439436******3962"/>
    <s v="Nac"/>
    <s v="COM"/>
    <x v="14"/>
    <n v="69"/>
    <x v="0"/>
    <n v="1.99"/>
    <n v="0.54"/>
    <n v="0.1"/>
    <n v="66.91"/>
    <n v="0"/>
    <m/>
    <n v="20260415"/>
    <m/>
    <s v="DEBITO"/>
    <n v="3974527"/>
    <s v="VISA LOC"/>
    <m/>
    <m/>
    <n v="0.49018518518518517"/>
    <s v="XIAOMI SCHELL"/>
  </r>
  <r>
    <n v="1023366"/>
    <s v="VA"/>
    <s v="A"/>
    <n v="46126"/>
    <n v="46126"/>
    <m/>
    <n v="361"/>
    <s v="PS0005"/>
    <n v="7775"/>
    <n v="757152"/>
    <n v="3"/>
    <s v="414791******9714"/>
    <s v="Nac"/>
    <s v="COM"/>
    <x v="14"/>
    <n v="149"/>
    <x v="0"/>
    <n v="6.92"/>
    <n v="0.88"/>
    <n v="0.16"/>
    <n v="141.91999999999999"/>
    <n v="0"/>
    <m/>
    <n v="20260415"/>
    <m/>
    <s v="CREDITO"/>
    <n v="3974527"/>
    <s v="BBVA"/>
    <s v="SI"/>
    <m/>
    <n v="0.50670138888888894"/>
    <s v="XIAOMI SCHELL"/>
  </r>
  <r>
    <n v="1023366"/>
    <s v="VA"/>
    <s v="A"/>
    <n v="46126"/>
    <n v="46126"/>
    <m/>
    <n v="361"/>
    <s v="PS0005"/>
    <n v="7777"/>
    <n v="453884"/>
    <m/>
    <s v="455788******2092"/>
    <s v="Nac"/>
    <s v="COM"/>
    <x v="14"/>
    <n v="89.9"/>
    <x v="0"/>
    <n v="2.6"/>
    <n v="1.1599999999999999"/>
    <n v="0.21"/>
    <n v="87.09"/>
    <n v="0"/>
    <m/>
    <n v="20260415"/>
    <m/>
    <s v="DEBITO"/>
    <n v="3974527"/>
    <s v="BCP"/>
    <m/>
    <m/>
    <n v="0.51368055555555558"/>
    <s v="XIAOMI SCHELL"/>
  </r>
  <r>
    <n v="1023366"/>
    <s v="VA"/>
    <s v="A"/>
    <n v="46126"/>
    <n v="46126"/>
    <m/>
    <n v="361"/>
    <s v="PS0005"/>
    <n v="7779"/>
    <n v="65178"/>
    <m/>
    <s v="407067******9822"/>
    <s v="Nac"/>
    <s v="COM"/>
    <x v="14"/>
    <n v="89"/>
    <x v="0"/>
    <n v="2.57"/>
    <n v="0.34"/>
    <n v="0.06"/>
    <n v="86.37"/>
    <n v="0"/>
    <m/>
    <n v="20260415"/>
    <m/>
    <s v="CREDITO"/>
    <n v="3974527"/>
    <s v="SCOTIABANK"/>
    <m/>
    <m/>
    <n v="0.53733796296296299"/>
    <s v="XIAOMI SCHELL"/>
  </r>
  <r>
    <n v="1023366"/>
    <s v="VA"/>
    <s v="A"/>
    <n v="46126"/>
    <n v="46126"/>
    <m/>
    <n v="361"/>
    <s v="PS0005"/>
    <n v="7781"/>
    <n v="444950"/>
    <m/>
    <s v="455696******4788"/>
    <s v="Nac"/>
    <s v="COM"/>
    <x v="14"/>
    <n v="75"/>
    <x v="0"/>
    <n v="2.17"/>
    <n v="0.44"/>
    <n v="0.08"/>
    <n v="72.75"/>
    <n v="0"/>
    <m/>
    <n v="20260415"/>
    <m/>
    <s v="CREDITO"/>
    <n v="3974527"/>
    <s v="IBK PRIVADA"/>
    <m/>
    <m/>
    <n v="0.57269675925925922"/>
    <s v="XIAOMI SCHELL"/>
  </r>
  <r>
    <n v="1023366"/>
    <s v="VA"/>
    <s v="A"/>
    <n v="46126"/>
    <n v="46126"/>
    <m/>
    <n v="361"/>
    <s v="PS0005"/>
    <n v="7783"/>
    <n v="30478"/>
    <m/>
    <s v="421355******2050"/>
    <s v="Nac"/>
    <s v="COM"/>
    <x v="14"/>
    <n v="59.8"/>
    <x v="0"/>
    <n v="1.73"/>
    <n v="0.77"/>
    <n v="0.14000000000000001"/>
    <n v="57.93"/>
    <n v="0"/>
    <m/>
    <n v="20260415"/>
    <m/>
    <s v="DEBITO"/>
    <n v="3974527"/>
    <s v="IBK PRIVADA"/>
    <m/>
    <m/>
    <n v="0.58431712962962967"/>
    <s v="XIAOMI SCHELL"/>
  </r>
  <r>
    <n v="1023366"/>
    <s v="VA"/>
    <s v="A"/>
    <n v="46126"/>
    <n v="46126"/>
    <m/>
    <n v="361"/>
    <s v="PS0005"/>
    <n v="7785"/>
    <n v="768790"/>
    <m/>
    <s v="455788******0187"/>
    <s v="Nac"/>
    <s v="COM"/>
    <x v="14"/>
    <n v="138"/>
    <x v="0"/>
    <n v="3.99"/>
    <n v="1.78"/>
    <n v="0.32"/>
    <n v="133.69"/>
    <n v="0"/>
    <m/>
    <n v="20260415"/>
    <m/>
    <s v="DEBITO"/>
    <n v="3974527"/>
    <s v="BCP"/>
    <m/>
    <m/>
    <n v="0.64015046296296296"/>
    <s v="XIAOMI SCHELL"/>
  </r>
  <r>
    <n v="1023366"/>
    <s v="VA"/>
    <s v="A"/>
    <n v="46126"/>
    <n v="46126"/>
    <m/>
    <n v="361"/>
    <n v="65656565"/>
    <n v="7787"/>
    <n v="792750"/>
    <m/>
    <s v="455788******6185"/>
    <s v="Nac"/>
    <s v="COM"/>
    <x v="14"/>
    <n v="129"/>
    <x v="0"/>
    <n v="3.72"/>
    <n v="1.66"/>
    <n v="0.3"/>
    <n v="124.98"/>
    <n v="0"/>
    <m/>
    <n v="20260415"/>
    <m/>
    <s v="DEBITO"/>
    <n v="3974527"/>
    <s v="BCP"/>
    <m/>
    <s v="Yape"/>
    <n v="0.65194444444444444"/>
    <s v="XIAOMI SCHELL"/>
  </r>
  <r>
    <n v="1023366"/>
    <s v="VA"/>
    <s v="A"/>
    <n v="46126"/>
    <n v="46126"/>
    <m/>
    <n v="361"/>
    <s v="PS0005"/>
    <n v="7790"/>
    <n v="926000"/>
    <m/>
    <s v="455788******4306"/>
    <s v="Nac"/>
    <s v="COM"/>
    <x v="14"/>
    <n v="49"/>
    <x v="0"/>
    <n v="1.42"/>
    <n v="0.64"/>
    <n v="0.12"/>
    <n v="47.46"/>
    <n v="0"/>
    <m/>
    <n v="20260415"/>
    <m/>
    <s v="DEBITO"/>
    <n v="3974527"/>
    <s v="BCP"/>
    <m/>
    <m/>
    <n v="0.6664930555555556"/>
    <s v="XIAOMI SCHELL"/>
  </r>
  <r>
    <n v="1023366"/>
    <s v="VA"/>
    <s v="A"/>
    <n v="46126"/>
    <n v="46126"/>
    <m/>
    <n v="361"/>
    <n v="65656565"/>
    <n v="7792"/>
    <n v="844127"/>
    <m/>
    <s v="455788******7891"/>
    <s v="Nac"/>
    <s v="COM"/>
    <x v="14"/>
    <n v="448"/>
    <x v="0"/>
    <n v="12.94"/>
    <n v="5.77"/>
    <n v="1.04"/>
    <n v="434.02"/>
    <n v="0"/>
    <m/>
    <n v="20260415"/>
    <m/>
    <s v="DEBITO"/>
    <n v="3974527"/>
    <s v="BCP"/>
    <m/>
    <s v="Yape"/>
    <n v="0.67641203703703701"/>
    <s v="XIAOMI SCHELL"/>
  </r>
  <r>
    <n v="1023366"/>
    <s v="VA"/>
    <s v="A"/>
    <n v="46126"/>
    <n v="46126"/>
    <m/>
    <n v="361"/>
    <s v="PS0005"/>
    <n v="7795"/>
    <n v="9321"/>
    <m/>
    <s v="463402******8990"/>
    <s v="Nac"/>
    <s v="COM"/>
    <x v="14"/>
    <n v="169"/>
    <x v="0"/>
    <n v="4.88"/>
    <n v="1.33"/>
    <n v="0.24"/>
    <n v="163.88"/>
    <n v="0"/>
    <m/>
    <n v="20260415"/>
    <m/>
    <s v="CREDITO"/>
    <n v="3974527"/>
    <s v="BCP"/>
    <m/>
    <m/>
    <n v="0.68407407407407406"/>
    <s v="XIAOMI SCHELL"/>
  </r>
  <r>
    <n v="1023366"/>
    <s v="VA"/>
    <s v="A"/>
    <n v="46126"/>
    <n v="46126"/>
    <m/>
    <n v="361"/>
    <s v="PS0005"/>
    <n v="7797"/>
    <n v="393452"/>
    <m/>
    <s v="455696******5983"/>
    <s v="Nac"/>
    <s v="COM"/>
    <x v="14"/>
    <n v="39"/>
    <x v="0"/>
    <n v="1.1299999999999999"/>
    <n v="0.51"/>
    <n v="0.09"/>
    <n v="37.78"/>
    <n v="0"/>
    <m/>
    <n v="20260415"/>
    <m/>
    <s v="DEBITO"/>
    <n v="3974527"/>
    <s v="IBK PRIVADA"/>
    <m/>
    <m/>
    <n v="0.68583333333333329"/>
    <s v="XIAOMI SCHELL"/>
  </r>
  <r>
    <n v="1023366"/>
    <s v="VA"/>
    <s v="A"/>
    <n v="46126"/>
    <n v="46126"/>
    <m/>
    <n v="361"/>
    <s v="PS0005"/>
    <n v="7799"/>
    <n v="11262"/>
    <m/>
    <s v="424138******9058"/>
    <s v="Nac"/>
    <s v="COM"/>
    <x v="14"/>
    <n v="950"/>
    <x v="0"/>
    <n v="27.46"/>
    <n v="5.61"/>
    <n v="1.01"/>
    <n v="921.53"/>
    <n v="0"/>
    <m/>
    <n v="20260415"/>
    <m/>
    <s v="CREDITO"/>
    <n v="3974527"/>
    <s v="SCOTIABANK"/>
    <m/>
    <m/>
    <n v="0.69032407407407403"/>
    <s v="XIAOMI SCHELL"/>
  </r>
  <r>
    <n v="1023366"/>
    <s v="VA"/>
    <s v="A"/>
    <n v="46126"/>
    <n v="46126"/>
    <m/>
    <n v="361"/>
    <s v="PS0005"/>
    <n v="7801"/>
    <n v="706381"/>
    <m/>
    <s v="491914******0297"/>
    <s v="Nac"/>
    <s v="COM"/>
    <x v="14"/>
    <n v="99"/>
    <x v="0"/>
    <n v="2.86"/>
    <n v="0.57999999999999996"/>
    <n v="0.1"/>
    <n v="96.04"/>
    <n v="0"/>
    <m/>
    <n v="20260415"/>
    <m/>
    <s v="CREDITO"/>
    <n v="3974527"/>
    <s v="BBVA"/>
    <m/>
    <m/>
    <n v="0.71447916666666667"/>
    <s v="XIAOMI SCHELL"/>
  </r>
  <r>
    <n v="1023366"/>
    <s v="VA"/>
    <s v="A"/>
    <n v="46126"/>
    <n v="46126"/>
    <m/>
    <n v="361"/>
    <s v="PS0005"/>
    <n v="7803"/>
    <n v="826792"/>
    <m/>
    <s v="491909******8784"/>
    <s v="Nac"/>
    <s v="COM"/>
    <x v="14"/>
    <n v="89.9"/>
    <x v="0"/>
    <n v="2.6"/>
    <n v="0.71"/>
    <n v="0.13"/>
    <n v="87.17"/>
    <n v="0"/>
    <m/>
    <n v="20260415"/>
    <m/>
    <s v="CREDITO"/>
    <n v="3974527"/>
    <s v="BBVA"/>
    <m/>
    <m/>
    <n v="0.73907407407407411"/>
    <s v="XIAOMI SCHELL"/>
  </r>
  <r>
    <n v="1023366"/>
    <s v="VA"/>
    <s v="A"/>
    <n v="46126"/>
    <n v="46126"/>
    <m/>
    <n v="361"/>
    <s v="PS0005"/>
    <n v="7805"/>
    <n v="854380"/>
    <m/>
    <s v="438168******8262"/>
    <s v="Nac"/>
    <s v="COM"/>
    <x v="14"/>
    <n v="49"/>
    <x v="0"/>
    <n v="1.42"/>
    <n v="0.64"/>
    <n v="0.12"/>
    <n v="47.46"/>
    <n v="0"/>
    <m/>
    <n v="20260415"/>
    <m/>
    <s v="DEBITO"/>
    <n v="3974527"/>
    <s v="BBVA"/>
    <m/>
    <m/>
    <n v="0.74447916666666669"/>
    <s v="XIAOMI SCHELL"/>
  </r>
  <r>
    <n v="1023366"/>
    <s v="VA"/>
    <s v="A"/>
    <n v="46126"/>
    <n v="46126"/>
    <m/>
    <n v="361"/>
    <s v="PS0005"/>
    <n v="7807"/>
    <n v="538448"/>
    <n v="3"/>
    <s v="447410******7478"/>
    <s v="Nac"/>
    <s v="COM"/>
    <x v="14"/>
    <n v="1173"/>
    <x v="0"/>
    <n v="33.9"/>
    <n v="6.92"/>
    <n v="1.25"/>
    <n v="1137.8499999999999"/>
    <n v="0"/>
    <m/>
    <n v="20260415"/>
    <m/>
    <s v="CREDITO"/>
    <n v="3974527"/>
    <s v="BFALABELLA"/>
    <s v="NO"/>
    <m/>
    <n v="0.74722222222222223"/>
    <s v="XIAOMI SCHELL"/>
  </r>
  <r>
    <n v="1023366"/>
    <s v="VA"/>
    <s v="A"/>
    <n v="46126"/>
    <n v="46126"/>
    <m/>
    <n v="361"/>
    <s v="PS0005"/>
    <n v="7812"/>
    <n v="32188"/>
    <m/>
    <s v="414782******2418"/>
    <s v="Nac"/>
    <s v="COM"/>
    <x v="14"/>
    <n v="65"/>
    <x v="0"/>
    <n v="1.88"/>
    <n v="0.38"/>
    <n v="7.0000000000000007E-2"/>
    <n v="63.05"/>
    <n v="0"/>
    <m/>
    <n v="20260415"/>
    <m/>
    <s v="CREDITO"/>
    <n v="3974527"/>
    <s v="BIF"/>
    <m/>
    <m/>
    <n v="0.75815972222222228"/>
    <s v="XIAOMI SCHELL"/>
  </r>
  <r>
    <n v="1023366"/>
    <s v="VA"/>
    <s v="A"/>
    <n v="46126"/>
    <n v="46126"/>
    <m/>
    <n v="361"/>
    <s v="PS0005"/>
    <n v="7814"/>
    <n v="5235"/>
    <m/>
    <s v="428076******6679"/>
    <s v="Nac"/>
    <s v="COM"/>
    <x v="14"/>
    <n v="349"/>
    <x v="0"/>
    <n v="10.09"/>
    <n v="1.36"/>
    <n v="0.24"/>
    <n v="338.67"/>
    <n v="0"/>
    <m/>
    <n v="20260415"/>
    <m/>
    <s v="CREDITO"/>
    <n v="3974527"/>
    <s v="BCP"/>
    <m/>
    <m/>
    <n v="0.76657407407407407"/>
    <s v="XIAOMI SCHELL"/>
  </r>
  <r>
    <n v="1023366"/>
    <s v="VA"/>
    <s v="A"/>
    <n v="46126"/>
    <n v="46126"/>
    <m/>
    <n v="361"/>
    <s v="PS0005"/>
    <n v="7819"/>
    <n v="57144"/>
    <m/>
    <s v="491909******8850"/>
    <s v="Nac"/>
    <s v="COM"/>
    <x v="14"/>
    <n v="159"/>
    <x v="0"/>
    <n v="4.5999999999999996"/>
    <n v="1.26"/>
    <n v="0.23"/>
    <n v="154.16999999999999"/>
    <n v="0"/>
    <m/>
    <n v="20260415"/>
    <m/>
    <s v="CREDITO"/>
    <n v="3974527"/>
    <s v="BBVA"/>
    <m/>
    <m/>
    <n v="0.78135416666666668"/>
    <s v="XIAOMI SCHELL"/>
  </r>
  <r>
    <n v="1023366"/>
    <s v="VA"/>
    <s v="A"/>
    <n v="46126"/>
    <n v="46126"/>
    <m/>
    <n v="361"/>
    <s v="PS0005"/>
    <n v="7821"/>
    <n v="105567"/>
    <n v="3"/>
    <s v="404293******0415"/>
    <s v="Nac"/>
    <s v="COM"/>
    <x v="14"/>
    <n v="2199"/>
    <x v="0"/>
    <n v="102.03"/>
    <n v="17.37"/>
    <n v="3.13"/>
    <n v="2093.84"/>
    <n v="0"/>
    <m/>
    <n v="20260415"/>
    <m/>
    <s v="CREDITO"/>
    <n v="3974527"/>
    <s v="BBVA"/>
    <s v="SI"/>
    <m/>
    <n v="0.78994212962962962"/>
    <s v="XIAOMI SCHELL"/>
  </r>
  <r>
    <n v="1023366"/>
    <s v="VA"/>
    <s v="A"/>
    <n v="46126"/>
    <n v="46126"/>
    <m/>
    <n v="361"/>
    <s v="PS0005"/>
    <n v="7824"/>
    <n v="114417"/>
    <m/>
    <s v="438466******2016"/>
    <s v="Nac"/>
    <s v="COM"/>
    <x v="14"/>
    <n v="35"/>
    <x v="0"/>
    <n v="1.01"/>
    <n v="0.27"/>
    <n v="0.05"/>
    <n v="33.94"/>
    <n v="0"/>
    <m/>
    <n v="20260415"/>
    <m/>
    <s v="CREDITO"/>
    <n v="3974527"/>
    <s v="BBVA"/>
    <m/>
    <m/>
    <n v="0.7914930555555556"/>
    <s v="XIAOMI SCHELL"/>
  </r>
  <r>
    <n v="1023366"/>
    <s v="VA"/>
    <s v="A"/>
    <n v="46126"/>
    <n v="46126"/>
    <m/>
    <n v="361"/>
    <s v="PS0005"/>
    <n v="7826"/>
    <n v="753644"/>
    <m/>
    <s v="455788******7340"/>
    <s v="Nac"/>
    <s v="COM"/>
    <x v="14"/>
    <n v="109"/>
    <x v="0"/>
    <n v="3.15"/>
    <n v="1.41"/>
    <n v="0.25"/>
    <n v="105.6"/>
    <n v="0"/>
    <m/>
    <n v="20260415"/>
    <m/>
    <s v="DEBITO"/>
    <n v="3974527"/>
    <s v="BCP"/>
    <m/>
    <m/>
    <n v="0.8175"/>
    <s v="XIAOMI SCHELL"/>
  </r>
  <r>
    <n v="1023366"/>
    <s v="VA"/>
    <s v="A"/>
    <n v="46126"/>
    <n v="46126"/>
    <m/>
    <n v="361"/>
    <n v="65656565"/>
    <n v="7830"/>
    <n v="336628"/>
    <m/>
    <s v="455103******8508"/>
    <s v="Nac"/>
    <s v="COM"/>
    <x v="14"/>
    <n v="49"/>
    <x v="0"/>
    <n v="1.41"/>
    <n v="0.63"/>
    <n v="0.11"/>
    <n v="47.48"/>
    <n v="0"/>
    <m/>
    <n v="20260415"/>
    <m/>
    <s v="DEBITO"/>
    <n v="3974527"/>
    <s v="BBVA"/>
    <m/>
    <s v="BBVA Plin"/>
    <n v="0.83112268518518517"/>
    <s v="XIAOMI SCHELL"/>
  </r>
  <r>
    <n v="1023366"/>
    <s v="VA"/>
    <s v="A"/>
    <n v="46126"/>
    <n v="46126"/>
    <m/>
    <n v="361"/>
    <s v="PS0005"/>
    <n v="7833"/>
    <n v="912049"/>
    <m/>
    <s v="421355******9692"/>
    <s v="Nac"/>
    <s v="COM"/>
    <x v="14"/>
    <n v="949"/>
    <x v="0"/>
    <n v="27.43"/>
    <n v="12.25"/>
    <n v="2.21"/>
    <n v="919.36"/>
    <n v="0"/>
    <m/>
    <n v="20260415"/>
    <m/>
    <s v="DEBITO"/>
    <n v="3974527"/>
    <s v="IBK PRIVADA"/>
    <m/>
    <m/>
    <n v="0.85721064814814818"/>
    <s v="XIAOMI SCHELL"/>
  </r>
  <r>
    <n v="1023366"/>
    <s v="VA"/>
    <s v="A"/>
    <n v="46126"/>
    <n v="46126"/>
    <m/>
    <n v="361"/>
    <s v="PS0005"/>
    <n v="7835"/>
    <n v="445213"/>
    <m/>
    <s v="444697******4881"/>
    <s v="Nac"/>
    <s v="COM"/>
    <x v="14"/>
    <n v="1769"/>
    <x v="0"/>
    <n v="51.12"/>
    <n v="22.82"/>
    <n v="4.1100000000000003"/>
    <n v="1713.77"/>
    <n v="0"/>
    <m/>
    <n v="20260415"/>
    <m/>
    <s v="DEBITO"/>
    <n v="3974527"/>
    <s v="BCP"/>
    <m/>
    <m/>
    <n v="0.87135416666666665"/>
    <s v="XIAOMI SCHELL"/>
  </r>
  <r>
    <n v="1023366"/>
    <s v="VA"/>
    <s v="A"/>
    <n v="46126"/>
    <n v="46126"/>
    <m/>
    <n v="361"/>
    <s v="PS0005"/>
    <n v="7838"/>
    <n v="803064"/>
    <m/>
    <s v="455148******8138"/>
    <s v="Ext"/>
    <s v="COM"/>
    <x v="14"/>
    <n v="14.9"/>
    <x v="0"/>
    <n v="0.57999999999999996"/>
    <n v="0.28999999999999998"/>
    <n v="0.05"/>
    <n v="14.27"/>
    <n v="10874.22"/>
    <n v="46127"/>
    <n v="20260415"/>
    <m/>
    <s v="CREDITO"/>
    <n v="3974527"/>
    <s v="VISA INT"/>
    <m/>
    <m/>
    <n v="0.87285879629629626"/>
    <s v="XIAOMI SCHELL"/>
  </r>
  <r>
    <n v="1023366"/>
    <s v="MC"/>
    <s v="A"/>
    <n v="46127"/>
    <n v="46127"/>
    <m/>
    <n v="362"/>
    <s v="PS0005"/>
    <n v="7858"/>
    <n v="87167"/>
    <m/>
    <s v="525435******2647"/>
    <s v="Nac"/>
    <s v="COM"/>
    <x v="15"/>
    <n v="269"/>
    <x v="0"/>
    <n v="7.77"/>
    <n v="2.12"/>
    <n v="0.38"/>
    <n v="260.85000000000002"/>
    <n v="0"/>
    <m/>
    <n v="20260416"/>
    <m/>
    <s v="CREDITO"/>
    <n v="3974527"/>
    <s v="BRIPLEY"/>
    <m/>
    <m/>
    <n v="0.53991898148148143"/>
    <s v="XIAOMI SCHELL"/>
  </r>
  <r>
    <n v="1023366"/>
    <s v="MC"/>
    <s v="A"/>
    <n v="46127"/>
    <n v="46127"/>
    <m/>
    <n v="362"/>
    <s v="PS0005"/>
    <n v="7883"/>
    <s v="R08539"/>
    <m/>
    <s v="527603******0507"/>
    <s v="Nac"/>
    <s v="COM"/>
    <x v="15"/>
    <n v="65"/>
    <x v="0"/>
    <n v="1.88"/>
    <n v="0.22"/>
    <n v="0.04"/>
    <n v="63.08"/>
    <n v="0"/>
    <m/>
    <n v="20260416"/>
    <m/>
    <s v="CREDITO"/>
    <n v="3974527"/>
    <s v="SBP"/>
    <m/>
    <m/>
    <n v="0.69518518518518524"/>
    <s v="XIAOMI SCHELL"/>
  </r>
  <r>
    <n v="1023366"/>
    <s v="MC"/>
    <s v="A"/>
    <n v="46127"/>
    <n v="46127"/>
    <m/>
    <n v="362"/>
    <s v="PS0005"/>
    <n v="7885"/>
    <s v="R08648"/>
    <m/>
    <s v="527603******0507"/>
    <s v="Nac"/>
    <s v="COM"/>
    <x v="15"/>
    <n v="10"/>
    <x v="0"/>
    <n v="0.28999999999999998"/>
    <n v="0.03"/>
    <n v="0.01"/>
    <n v="9.6999999999999993"/>
    <n v="0"/>
    <m/>
    <n v="20260416"/>
    <m/>
    <s v="CREDITO"/>
    <n v="3974527"/>
    <s v="SBP"/>
    <m/>
    <m/>
    <n v="0.70006944444444441"/>
    <s v="XIAOMI SCHELL"/>
  </r>
  <r>
    <n v="1023366"/>
    <s v="MC"/>
    <s v="A"/>
    <n v="46127"/>
    <n v="46127"/>
    <m/>
    <n v="362"/>
    <s v="PS0005"/>
    <n v="7903"/>
    <n v="527993"/>
    <m/>
    <s v="532619******2337"/>
    <s v="Ext"/>
    <s v="COM"/>
    <x v="15"/>
    <n v="69"/>
    <x v="0"/>
    <n v="2.69"/>
    <n v="1.59"/>
    <n v="0.28999999999999998"/>
    <n v="66.02"/>
    <n v="399.65"/>
    <n v="46128"/>
    <n v="20260416"/>
    <m/>
    <s v="CREDITO"/>
    <n v="3974527"/>
    <s v="MCI C. INTER"/>
    <m/>
    <m/>
    <n v="0.77731481481481479"/>
    <s v="XIAOMI SCHELL"/>
  </r>
  <r>
    <n v="1023366"/>
    <s v="UP"/>
    <s v="A"/>
    <n v="46127"/>
    <n v="46127"/>
    <m/>
    <n v="362"/>
    <s v="PS0005"/>
    <n v="7896"/>
    <n v="175408"/>
    <m/>
    <s v="438126******1997"/>
    <s v="Ext"/>
    <s v="COM"/>
    <x v="15"/>
    <n v="1299"/>
    <x v="0"/>
    <n v="37.54"/>
    <n v="21.96"/>
    <n v="3.95"/>
    <n v="1257.51"/>
    <n v="1257.51"/>
    <n v="46128"/>
    <n v="20260416"/>
    <m/>
    <s v="CREDITO"/>
    <n v="3974527"/>
    <s v="CUP INTER"/>
    <m/>
    <m/>
    <n v="0.74591435185185184"/>
    <s v="XIAOMI SCHELL"/>
  </r>
  <r>
    <n v="1023366"/>
    <s v="VA"/>
    <s v="A"/>
    <n v="46127"/>
    <n v="46127"/>
    <m/>
    <n v="362"/>
    <s v="PS0005"/>
    <n v="7854"/>
    <n v="654356"/>
    <m/>
    <s v="457331******1298"/>
    <s v="Ext"/>
    <s v="COM"/>
    <x v="15"/>
    <n v="264"/>
    <x v="0"/>
    <n v="10.3"/>
    <n v="5.08"/>
    <n v="0.91"/>
    <n v="252.79"/>
    <n v="0"/>
    <m/>
    <n v="20260416"/>
    <m/>
    <s v="CREDITO"/>
    <n v="3974527"/>
    <s v="VISA INT"/>
    <m/>
    <m/>
    <n v="0.44097222222222221"/>
    <s v="XIAOMI SCHELL"/>
  </r>
  <r>
    <n v="1023366"/>
    <s v="VA"/>
    <s v="A"/>
    <n v="46127"/>
    <n v="46127"/>
    <m/>
    <n v="362"/>
    <s v="PS0005"/>
    <n v="7856"/>
    <n v="453745"/>
    <m/>
    <s v="422224******7451"/>
    <s v="Nac"/>
    <s v="COM"/>
    <x v="15"/>
    <n v="35"/>
    <x v="0"/>
    <n v="1.01"/>
    <n v="0.2"/>
    <n v="0.04"/>
    <n v="33.950000000000003"/>
    <n v="0"/>
    <m/>
    <n v="20260416"/>
    <m/>
    <s v="CREDITO"/>
    <n v="3974527"/>
    <s v="IBK PRIVADA"/>
    <m/>
    <m/>
    <n v="0.53158564814814813"/>
    <s v="XIAOMI SCHELL"/>
  </r>
  <r>
    <n v="1023366"/>
    <s v="VA"/>
    <s v="A"/>
    <n v="46127"/>
    <n v="46127"/>
    <m/>
    <n v="362"/>
    <s v="PS0005"/>
    <n v="7863"/>
    <n v="130727"/>
    <m/>
    <s v="432619******2053"/>
    <s v="Nac"/>
    <s v="COM"/>
    <x v="15"/>
    <n v="149"/>
    <x v="0"/>
    <n v="4.3099999999999996"/>
    <n v="1.93"/>
    <n v="0.35"/>
    <n v="144.34"/>
    <n v="0"/>
    <m/>
    <n v="20260416"/>
    <m/>
    <s v="DEBITO"/>
    <n v="3974527"/>
    <s v="VISA LOC"/>
    <m/>
    <m/>
    <n v="0.54813657407407412"/>
    <s v="XIAOMI SCHELL"/>
  </r>
  <r>
    <n v="1023366"/>
    <s v="VA"/>
    <s v="A"/>
    <n v="46127"/>
    <n v="46127"/>
    <m/>
    <n v="362"/>
    <s v="PS0005"/>
    <n v="7866"/>
    <n v="157462"/>
    <m/>
    <s v="438466******1250"/>
    <s v="Nac"/>
    <s v="COM"/>
    <x v="15"/>
    <n v="269"/>
    <x v="0"/>
    <n v="7.77"/>
    <n v="1.58"/>
    <n v="0.28000000000000003"/>
    <n v="260.95"/>
    <n v="0"/>
    <m/>
    <n v="20260416"/>
    <m/>
    <s v="CREDITO"/>
    <n v="3974527"/>
    <s v="VISA LOC"/>
    <m/>
    <m/>
    <n v="0.55341435185185184"/>
    <s v="XIAOMI SCHELL"/>
  </r>
  <r>
    <n v="1023366"/>
    <s v="VA"/>
    <s v="A"/>
    <n v="46127"/>
    <n v="46127"/>
    <m/>
    <n v="362"/>
    <s v="PS0005"/>
    <n v="7869"/>
    <n v="266430"/>
    <m/>
    <s v="438466******0188"/>
    <s v="Nac"/>
    <s v="COM"/>
    <x v="15"/>
    <n v="1588"/>
    <x v="0"/>
    <n v="45.89"/>
    <n v="20.48"/>
    <n v="3.69"/>
    <n v="1538.42"/>
    <n v="0"/>
    <m/>
    <n v="20260416"/>
    <m/>
    <s v="DEBITO"/>
    <n v="3974527"/>
    <s v="VISA LOC"/>
    <m/>
    <m/>
    <n v="0.5728240740740741"/>
    <s v="XIAOMI SCHELL"/>
  </r>
  <r>
    <n v="1023366"/>
    <s v="VA"/>
    <s v="A"/>
    <n v="46127"/>
    <n v="46127"/>
    <m/>
    <n v="362"/>
    <s v="PS0005"/>
    <n v="7871"/>
    <n v="321027"/>
    <n v="3"/>
    <s v="491909******0165"/>
    <s v="Nac"/>
    <s v="COM"/>
    <x v="15"/>
    <n v="179"/>
    <x v="0"/>
    <n v="8.3000000000000007"/>
    <n v="1.41"/>
    <n v="0.25"/>
    <n v="170.45"/>
    <n v="0"/>
    <m/>
    <n v="20260416"/>
    <m/>
    <s v="CREDITO"/>
    <n v="3974527"/>
    <s v="BBVA"/>
    <s v="SI"/>
    <m/>
    <n v="0.58255787037037032"/>
    <s v="XIAOMI SCHELL"/>
  </r>
  <r>
    <n v="1023366"/>
    <s v="VA"/>
    <s v="A"/>
    <n v="46127"/>
    <n v="46127"/>
    <m/>
    <n v="362"/>
    <s v="PS0005"/>
    <n v="7873"/>
    <n v="400318"/>
    <m/>
    <s v="455788******2974"/>
    <s v="Nac"/>
    <s v="COM"/>
    <x v="15"/>
    <n v="269"/>
    <x v="0"/>
    <n v="7.77"/>
    <n v="3.47"/>
    <n v="0.62"/>
    <n v="260.61"/>
    <n v="0"/>
    <m/>
    <n v="20260416"/>
    <m/>
    <s v="DEBITO"/>
    <n v="3974527"/>
    <s v="BCP"/>
    <m/>
    <m/>
    <n v="0.607025462962963"/>
    <s v="XIAOMI SCHELL"/>
  </r>
  <r>
    <n v="1023366"/>
    <s v="VA"/>
    <s v="A"/>
    <n v="46127"/>
    <n v="46127"/>
    <m/>
    <n v="362"/>
    <s v="PS0005"/>
    <n v="7875"/>
    <n v="884545"/>
    <m/>
    <s v="455788******4735"/>
    <s v="Nac"/>
    <s v="COM"/>
    <x v="15"/>
    <n v="179"/>
    <x v="0"/>
    <n v="5.17"/>
    <n v="2.31"/>
    <n v="0.42"/>
    <n v="173.41"/>
    <n v="0"/>
    <m/>
    <n v="20260416"/>
    <m/>
    <s v="DEBITO"/>
    <n v="3974527"/>
    <s v="VISA LOC"/>
    <m/>
    <m/>
    <n v="0.61302083333333335"/>
    <s v="XIAOMI SCHELL"/>
  </r>
  <r>
    <n v="1023366"/>
    <s v="VA"/>
    <s v="A"/>
    <n v="46127"/>
    <n v="46127"/>
    <m/>
    <n v="362"/>
    <s v="PS0005"/>
    <n v="7877"/>
    <n v="3371"/>
    <m/>
    <s v="463403******0992"/>
    <s v="Nac"/>
    <s v="COM"/>
    <x v="15"/>
    <n v="1799"/>
    <x v="0"/>
    <n v="51.99"/>
    <n v="10.61"/>
    <n v="1.91"/>
    <n v="1745.1"/>
    <n v="0"/>
    <m/>
    <n v="20260416"/>
    <m/>
    <s v="CREDITO"/>
    <n v="3974527"/>
    <s v="BCP"/>
    <m/>
    <m/>
    <n v="0.62630787037037039"/>
    <s v="XIAOMI SCHELL"/>
  </r>
  <r>
    <n v="1023366"/>
    <s v="VA"/>
    <s v="A"/>
    <n v="46127"/>
    <n v="46127"/>
    <m/>
    <n v="362"/>
    <s v="PS0005"/>
    <n v="7879"/>
    <n v="448753"/>
    <m/>
    <s v="491246******9938"/>
    <s v="Nac"/>
    <s v="COM"/>
    <x v="15"/>
    <n v="65"/>
    <x v="0"/>
    <n v="1.88"/>
    <n v="0.51"/>
    <n v="0.09"/>
    <n v="63.03"/>
    <n v="0"/>
    <m/>
    <n v="20260416"/>
    <m/>
    <s v="DEBITO"/>
    <n v="3974527"/>
    <s v="BCP"/>
    <m/>
    <m/>
    <n v="0.62762731481481482"/>
    <s v="XIAOMI SCHELL"/>
  </r>
  <r>
    <n v="1023366"/>
    <s v="VA"/>
    <s v="A"/>
    <n v="46127"/>
    <n v="46127"/>
    <m/>
    <n v="362"/>
    <s v="PS0005"/>
    <n v="7881"/>
    <n v="77303"/>
    <m/>
    <s v="428582******2074"/>
    <s v="Nac"/>
    <s v="COM"/>
    <x v="15"/>
    <n v="699"/>
    <x v="0"/>
    <n v="20.2"/>
    <n v="9.02"/>
    <n v="1.62"/>
    <n v="677.18"/>
    <n v="0"/>
    <m/>
    <n v="20260416"/>
    <m/>
    <s v="DEBITO"/>
    <n v="3974527"/>
    <s v="SCOTIABANK"/>
    <m/>
    <m/>
    <n v="0.68214120370370368"/>
    <s v="XIAOMI SCHELL"/>
  </r>
  <r>
    <n v="1023366"/>
    <s v="VA"/>
    <s v="A"/>
    <n v="46127"/>
    <n v="46127"/>
    <m/>
    <n v="362"/>
    <s v="PS0005"/>
    <n v="7888"/>
    <n v="931377"/>
    <n v="3"/>
    <s v="448468******8699"/>
    <s v="Ext"/>
    <s v="COM"/>
    <x v="15"/>
    <n v="949"/>
    <x v="0"/>
    <n v="37.01"/>
    <n v="18.22"/>
    <n v="3.28"/>
    <n v="908.71"/>
    <n v="0"/>
    <m/>
    <n v="20260416"/>
    <m/>
    <s v="CREDITO"/>
    <n v="3974527"/>
    <s v="VISA INT"/>
    <s v="NO"/>
    <m/>
    <n v="0.7053356481481482"/>
    <s v="XIAOMI SCHELL"/>
  </r>
  <r>
    <n v="1023366"/>
    <s v="VA"/>
    <s v="A"/>
    <n v="46127"/>
    <n v="46127"/>
    <m/>
    <n v="362"/>
    <s v="PS0005"/>
    <n v="7891"/>
    <n v="8838"/>
    <m/>
    <s v="428076******4571"/>
    <s v="Nac"/>
    <s v="COM"/>
    <x v="15"/>
    <n v="229"/>
    <x v="0"/>
    <n v="6.62"/>
    <n v="0.89"/>
    <n v="0.16"/>
    <n v="222.22"/>
    <n v="0"/>
    <m/>
    <n v="20260416"/>
    <m/>
    <s v="CREDITO"/>
    <n v="3974527"/>
    <s v="BCP"/>
    <m/>
    <m/>
    <n v="0.71106481481481476"/>
    <s v="XIAOMI SCHELL"/>
  </r>
  <r>
    <n v="1023366"/>
    <s v="VA"/>
    <s v="A"/>
    <n v="46127"/>
    <n v="46127"/>
    <m/>
    <n v="362"/>
    <s v="PS0005"/>
    <n v="7893"/>
    <n v="463043"/>
    <m/>
    <s v="411090******6350"/>
    <s v="Nac"/>
    <s v="COM"/>
    <x v="15"/>
    <n v="269"/>
    <x v="0"/>
    <n v="7.77"/>
    <n v="1.58"/>
    <n v="0.28000000000000003"/>
    <n v="260.95"/>
    <n v="0"/>
    <m/>
    <n v="20260416"/>
    <m/>
    <s v="CREDITO"/>
    <n v="3974527"/>
    <s v="IBK PRIVADA"/>
    <m/>
    <m/>
    <n v="0.74052083333333329"/>
    <s v="XIAOMI SCHELL"/>
  </r>
  <r>
    <n v="1023366"/>
    <s v="VA"/>
    <s v="A"/>
    <n v="46127"/>
    <n v="46127"/>
    <m/>
    <n v="362"/>
    <s v="PS0005"/>
    <n v="7898"/>
    <n v="65343"/>
    <m/>
    <s v="411090******7331"/>
    <s v="Nac"/>
    <s v="COM"/>
    <x v="15"/>
    <n v="159"/>
    <x v="0"/>
    <n v="4.5999999999999996"/>
    <n v="0.94"/>
    <n v="0.17"/>
    <n v="154.22999999999999"/>
    <n v="0"/>
    <m/>
    <n v="20260416"/>
    <m/>
    <s v="CREDITO"/>
    <n v="3974527"/>
    <s v="IBK PRIVADA"/>
    <m/>
    <m/>
    <n v="0.75468749999999996"/>
    <s v="XIAOMI SCHELL"/>
  </r>
  <r>
    <n v="1023366"/>
    <s v="VA"/>
    <s v="A"/>
    <n v="46127"/>
    <n v="46127"/>
    <m/>
    <n v="362"/>
    <s v="PS0005"/>
    <n v="7901"/>
    <n v="700912"/>
    <m/>
    <s v="438450******2118"/>
    <s v="Nac"/>
    <s v="COM"/>
    <x v="15"/>
    <n v="149"/>
    <x v="0"/>
    <n v="4.3099999999999996"/>
    <n v="1.93"/>
    <n v="0.35"/>
    <n v="144.34"/>
    <n v="0"/>
    <m/>
    <n v="20260416"/>
    <m/>
    <s v="DEBITO"/>
    <n v="3974527"/>
    <s v="VISA LOC"/>
    <m/>
    <m/>
    <n v="0.77306712962962965"/>
    <s v="XIAOMI SCHELL"/>
  </r>
  <r>
    <n v="1023366"/>
    <s v="VA"/>
    <s v="A"/>
    <n v="46127"/>
    <n v="46127"/>
    <m/>
    <n v="362"/>
    <n v="65656565"/>
    <n v="7905"/>
    <n v="758935"/>
    <m/>
    <s v="455788******5711"/>
    <s v="Nac"/>
    <s v="COM"/>
    <x v="15"/>
    <n v="69"/>
    <x v="0"/>
    <n v="1.99"/>
    <n v="0.89"/>
    <n v="0.16"/>
    <n v="66.849999999999994"/>
    <n v="0"/>
    <m/>
    <n v="20260416"/>
    <m/>
    <s v="DEBITO"/>
    <n v="3974527"/>
    <s v="BCP"/>
    <m/>
    <s v="Yape"/>
    <n v="0.79234953703703703"/>
    <s v="XIAOMI SCHELL"/>
  </r>
  <r>
    <n v="1023366"/>
    <s v="VA"/>
    <s v="A"/>
    <n v="46127"/>
    <n v="46127"/>
    <m/>
    <n v="362"/>
    <s v="PS0005"/>
    <n v="7908"/>
    <n v="423833"/>
    <m/>
    <s v="491914******1015"/>
    <s v="Nac"/>
    <s v="COM"/>
    <x v="15"/>
    <n v="98"/>
    <x v="0"/>
    <n v="2.83"/>
    <n v="0.57999999999999996"/>
    <n v="0.1"/>
    <n v="95.07"/>
    <n v="0"/>
    <m/>
    <n v="20260416"/>
    <m/>
    <s v="CREDITO"/>
    <n v="3974527"/>
    <s v="BBVA"/>
    <m/>
    <m/>
    <n v="0.79515046296296299"/>
    <s v="XIAOMI SCHELL"/>
  </r>
  <r>
    <n v="1023366"/>
    <s v="VA"/>
    <s v="A"/>
    <n v="46127"/>
    <n v="46127"/>
    <m/>
    <n v="362"/>
    <s v="PS0005"/>
    <n v="7910"/>
    <n v="225773"/>
    <m/>
    <s v="454775******6828"/>
    <s v="Nac"/>
    <s v="COM"/>
    <x v="15"/>
    <n v="34.799999999999997"/>
    <x v="0"/>
    <n v="1.01"/>
    <n v="0.28000000000000003"/>
    <n v="0.05"/>
    <n v="33.74"/>
    <n v="0"/>
    <m/>
    <n v="20260416"/>
    <m/>
    <s v="CREDITO"/>
    <n v="3974527"/>
    <s v="IBK PRIVADA"/>
    <m/>
    <m/>
    <n v="0.80751157407407403"/>
    <s v="XIAOMI SCHELL"/>
  </r>
  <r>
    <n v="1023366"/>
    <s v="VA"/>
    <s v="A"/>
    <n v="46127"/>
    <n v="46127"/>
    <m/>
    <n v="362"/>
    <s v="PS0005"/>
    <n v="7913"/>
    <n v="428201"/>
    <m/>
    <s v="433278******1745"/>
    <s v="Nac"/>
    <s v="COM"/>
    <x v="15"/>
    <n v="269"/>
    <x v="0"/>
    <n v="7.77"/>
    <n v="3.47"/>
    <n v="0.62"/>
    <n v="260.61"/>
    <n v="0"/>
    <m/>
    <n v="20260416"/>
    <m/>
    <s v="DEBITO"/>
    <n v="3974527"/>
    <s v="VISA LOC"/>
    <m/>
    <m/>
    <n v="0.8183449074074074"/>
    <s v="XIAOMI SCHELL"/>
  </r>
  <r>
    <n v="1023366"/>
    <s v="VA"/>
    <s v="A"/>
    <n v="46127"/>
    <n v="46127"/>
    <m/>
    <n v="362"/>
    <s v="PS0005"/>
    <n v="7915"/>
    <n v="941175"/>
    <m/>
    <s v="455788******0343"/>
    <s v="Nac"/>
    <s v="COM"/>
    <x v="15"/>
    <n v="2037.9"/>
    <x v="0"/>
    <n v="58.9"/>
    <n v="26.29"/>
    <n v="4.7300000000000004"/>
    <n v="1974.27"/>
    <n v="0"/>
    <m/>
    <n v="20260416"/>
    <m/>
    <s v="DEBITO"/>
    <n v="3974527"/>
    <s v="BCP"/>
    <m/>
    <m/>
    <n v="0.8316203703703704"/>
    <s v="XIAOMI SCHELL"/>
  </r>
  <r>
    <n v="1023366"/>
    <s v="VA"/>
    <s v="A"/>
    <n v="46127"/>
    <n v="46127"/>
    <m/>
    <n v="362"/>
    <n v="65656565"/>
    <n v="7917"/>
    <n v="6994"/>
    <m/>
    <s v="455788******9292"/>
    <s v="Nac"/>
    <s v="COM"/>
    <x v="15"/>
    <n v="14.9"/>
    <x v="0"/>
    <n v="0.43"/>
    <n v="0.19"/>
    <n v="0.03"/>
    <n v="14.44"/>
    <n v="0"/>
    <m/>
    <n v="20260416"/>
    <m/>
    <s v="DEBITO"/>
    <n v="3974527"/>
    <s v="BCP"/>
    <m/>
    <s v="Yape"/>
    <n v="0.83863425925925927"/>
    <s v="XIAOMI SCHELL"/>
  </r>
  <r>
    <n v="1023366"/>
    <s v="VA"/>
    <s v="A"/>
    <n v="46127"/>
    <n v="46127"/>
    <m/>
    <n v="362"/>
    <s v="PS0005"/>
    <n v="7920"/>
    <n v="640145"/>
    <m/>
    <s v="454776******3685"/>
    <s v="Nac"/>
    <s v="COM"/>
    <x v="15"/>
    <n v="89"/>
    <x v="0"/>
    <n v="2.57"/>
    <n v="0.7"/>
    <n v="0.13"/>
    <n v="86.3"/>
    <n v="0"/>
    <m/>
    <n v="20260416"/>
    <m/>
    <s v="DEBITO"/>
    <n v="3974527"/>
    <s v="IBK PRIVADA"/>
    <m/>
    <m/>
    <n v="0.84086805555555555"/>
    <s v="XIAOMI SCHELL"/>
  </r>
  <r>
    <n v="1023366"/>
    <s v="VA"/>
    <s v="A"/>
    <n v="46127"/>
    <n v="46127"/>
    <m/>
    <n v="362"/>
    <s v="PS0005"/>
    <n v="7923"/>
    <n v="863598"/>
    <m/>
    <s v="438466******3606"/>
    <s v="Nac"/>
    <s v="COM"/>
    <x v="15"/>
    <n v="1098"/>
    <x v="0"/>
    <n v="31.73"/>
    <n v="4.28"/>
    <n v="0.77"/>
    <n v="1065.5"/>
    <n v="0"/>
    <m/>
    <n v="20260416"/>
    <m/>
    <s v="CREDITO"/>
    <n v="3974527"/>
    <s v="VISA LOC"/>
    <m/>
    <m/>
    <n v="0.86593750000000003"/>
    <s v="XIAOMI SCHELL"/>
  </r>
  <r>
    <n v="1023366"/>
    <s v="VA"/>
    <s v="A"/>
    <n v="46127"/>
    <n v="46127"/>
    <m/>
    <n v="362"/>
    <s v="PS0005"/>
    <n v="7925"/>
    <n v="943124"/>
    <m/>
    <s v="447409******3477"/>
    <s v="Nac"/>
    <s v="COM"/>
    <x v="15"/>
    <n v="109"/>
    <x v="0"/>
    <n v="3.15"/>
    <n v="0.86"/>
    <n v="0.15"/>
    <n v="105.7"/>
    <n v="10713.16"/>
    <n v="46128"/>
    <n v="20260416"/>
    <m/>
    <s v="CREDITO"/>
    <n v="3974527"/>
    <s v="BFALABELLA"/>
    <m/>
    <m/>
    <n v="0.87556712962962968"/>
    <s v="XIAOMI SCHELL"/>
  </r>
  <r>
    <n v="1023366"/>
    <s v="MC"/>
    <s v="A"/>
    <n v="46128"/>
    <n v="46128"/>
    <m/>
    <n v="363"/>
    <s v="PS0005"/>
    <n v="7955"/>
    <n v="449970"/>
    <m/>
    <s v="525435******9339"/>
    <s v="Nac"/>
    <s v="COM"/>
    <x v="16"/>
    <n v="249"/>
    <x v="0"/>
    <n v="7.2"/>
    <n v="1.97"/>
    <n v="0.35"/>
    <n v="241.45"/>
    <n v="0"/>
    <m/>
    <n v="20260417"/>
    <m/>
    <s v="CREDITO"/>
    <n v="3974527"/>
    <s v="BRIPLEY"/>
    <m/>
    <m/>
    <n v="0.45701388888888889"/>
    <s v="XIAOMI SCHELL"/>
  </r>
  <r>
    <n v="1023366"/>
    <s v="MC"/>
    <s v="A"/>
    <n v="46128"/>
    <n v="46128"/>
    <m/>
    <n v="363"/>
    <s v="PS0005"/>
    <n v="7992"/>
    <n v="59670"/>
    <m/>
    <s v="525435******1828"/>
    <s v="Nac"/>
    <s v="COM"/>
    <x v="16"/>
    <n v="159"/>
    <x v="0"/>
    <n v="4.5999999999999996"/>
    <n v="1.26"/>
    <n v="0.23"/>
    <n v="154.16999999999999"/>
    <n v="0"/>
    <m/>
    <n v="20260417"/>
    <m/>
    <s v="CREDITO"/>
    <n v="3974527"/>
    <s v="BRIPLEY"/>
    <m/>
    <m/>
    <n v="0.73711805555555554"/>
    <s v="XIAOMI SCHELL"/>
  </r>
  <r>
    <n v="1023366"/>
    <s v="MC"/>
    <s v="A"/>
    <n v="46128"/>
    <n v="46128"/>
    <m/>
    <n v="363"/>
    <s v="PS0005"/>
    <n v="7994"/>
    <n v="243670"/>
    <m/>
    <s v="525435******8348"/>
    <s v="Nac"/>
    <s v="COM"/>
    <x v="16"/>
    <n v="199"/>
    <x v="0"/>
    <n v="5.75"/>
    <n v="1.57"/>
    <n v="0.28000000000000003"/>
    <n v="192.97"/>
    <n v="588.59"/>
    <n v="46129"/>
    <n v="20260417"/>
    <m/>
    <s v="CREDITO"/>
    <n v="3974527"/>
    <s v="BRIPLEY"/>
    <m/>
    <m/>
    <n v="0.75678240740740743"/>
    <s v="XIAOMI SCHELL"/>
  </r>
  <r>
    <n v="1023366"/>
    <s v="VA"/>
    <s v="A"/>
    <n v="46128"/>
    <n v="46128"/>
    <m/>
    <n v="664"/>
    <s v="PS0003"/>
    <n v="9169"/>
    <n v="727495"/>
    <m/>
    <s v="455103******1424"/>
    <s v="Ext"/>
    <s v="COM"/>
    <x v="16"/>
    <n v="1799"/>
    <x v="0"/>
    <n v="51.99"/>
    <n v="23.21"/>
    <n v="4.18"/>
    <n v="1742.83"/>
    <n v="0"/>
    <m/>
    <n v="20260417"/>
    <m/>
    <m/>
    <s v="FD8B1962"/>
    <s v="BBVA"/>
    <m/>
    <m/>
    <n v="0.7732175925925926"/>
    <s v="XIAOMI SCHELL"/>
  </r>
  <r>
    <n v="1023366"/>
    <s v="VA"/>
    <s v="A"/>
    <n v="46128"/>
    <n v="46128"/>
    <m/>
    <n v="664"/>
    <s v="PS0003"/>
    <n v="9171"/>
    <n v="8484"/>
    <n v="3"/>
    <s v="404293******6667"/>
    <s v="Nac"/>
    <s v="COM"/>
    <x v="16"/>
    <n v="1799"/>
    <x v="0"/>
    <n v="83.47"/>
    <n v="14.21"/>
    <n v="2.56"/>
    <n v="1712.97"/>
    <n v="0"/>
    <m/>
    <n v="20260417"/>
    <m/>
    <s v="CREDITO"/>
    <s v="FD8B1962"/>
    <s v="BBVA"/>
    <s v="SI"/>
    <m/>
    <n v="0.82040509259259264"/>
    <s v="XIAOMI SCHELL"/>
  </r>
  <r>
    <n v="1023366"/>
    <s v="VA"/>
    <s v="A"/>
    <n v="46128"/>
    <n v="46128"/>
    <m/>
    <n v="664"/>
    <n v="65656565"/>
    <n v="9176"/>
    <n v="482183"/>
    <m/>
    <s v="455788******9333"/>
    <s v="Ext"/>
    <s v="COM"/>
    <x v="16"/>
    <n v="500"/>
    <x v="0"/>
    <n v="14.45"/>
    <n v="6.45"/>
    <n v="1.1599999999999999"/>
    <n v="484.39"/>
    <n v="0"/>
    <m/>
    <n v="20260417"/>
    <m/>
    <m/>
    <s v="FD8B1962"/>
    <s v="BCP"/>
    <m/>
    <s v="Yape"/>
    <n v="0.86598379629629629"/>
    <s v="XIAOMI SCHELL"/>
  </r>
  <r>
    <n v="1023366"/>
    <s v="VA"/>
    <s v="A"/>
    <n v="46128"/>
    <n v="46128"/>
    <m/>
    <n v="664"/>
    <s v="PS0003"/>
    <n v="9181"/>
    <n v="271937"/>
    <m/>
    <s v="438466******8369"/>
    <s v="Ext"/>
    <s v="COM"/>
    <x v="16"/>
    <n v="143.1"/>
    <x v="0"/>
    <n v="4.1399999999999997"/>
    <n v="1.1299999999999999"/>
    <n v="0.2"/>
    <n v="138.76"/>
    <n v="0"/>
    <m/>
    <n v="20260417"/>
    <m/>
    <m/>
    <s v="FD8B1962"/>
    <s v="BBVA"/>
    <m/>
    <m/>
    <n v="0.86869212962962961"/>
    <s v="XIAOMI SCHELL"/>
  </r>
  <r>
    <n v="1023366"/>
    <s v="VA"/>
    <s v="A"/>
    <n v="46128"/>
    <n v="46128"/>
    <m/>
    <n v="363"/>
    <s v="PS0005"/>
    <n v="7940"/>
    <n v="7055"/>
    <m/>
    <s v="444355******6554"/>
    <s v="Ext"/>
    <s v="COM"/>
    <x v="16"/>
    <n v="89.9"/>
    <x v="0"/>
    <n v="2.6"/>
    <n v="0.71"/>
    <n v="0.13"/>
    <n v="87.17"/>
    <n v="0"/>
    <m/>
    <n v="20260417"/>
    <m/>
    <m/>
    <n v="3974527"/>
    <s v="BBVA"/>
    <m/>
    <m/>
    <n v="0.42405092592592591"/>
    <s v="XIAOMI SCHELL"/>
  </r>
  <r>
    <n v="1023366"/>
    <s v="VA"/>
    <s v="A"/>
    <n v="46128"/>
    <n v="46128"/>
    <m/>
    <n v="363"/>
    <s v="PS0005"/>
    <n v="7953"/>
    <n v="495939"/>
    <m/>
    <s v="422224******5080"/>
    <s v="Nac"/>
    <s v="COM"/>
    <x v="16"/>
    <n v="7.9"/>
    <x v="0"/>
    <n v="0.23"/>
    <n v="0.05"/>
    <n v="0.01"/>
    <n v="7.66"/>
    <n v="0"/>
    <m/>
    <n v="20260417"/>
    <m/>
    <s v="CREDITO"/>
    <n v="3974527"/>
    <s v="IBK PRIVADA"/>
    <m/>
    <m/>
    <n v="0.45128472222222221"/>
    <s v="XIAOMI SCHELL"/>
  </r>
  <r>
    <n v="1023366"/>
    <s v="VA"/>
    <s v="A"/>
    <n v="46128"/>
    <n v="46128"/>
    <m/>
    <n v="363"/>
    <s v="PS0005"/>
    <n v="7957"/>
    <n v="32862"/>
    <m/>
    <s v="458102******5606"/>
    <s v="Ext"/>
    <s v="COM"/>
    <x v="16"/>
    <n v="109"/>
    <x v="0"/>
    <n v="3.15"/>
    <n v="0.86"/>
    <n v="0.15"/>
    <n v="105.7"/>
    <n v="0"/>
    <m/>
    <n v="20260417"/>
    <m/>
    <m/>
    <n v="3974527"/>
    <s v="SCOTIABANK"/>
    <m/>
    <m/>
    <n v="0.47078703703703706"/>
    <s v="XIAOMI SCHELL"/>
  </r>
  <r>
    <n v="1023366"/>
    <s v="VA"/>
    <s v="A"/>
    <n v="46128"/>
    <n v="46128"/>
    <m/>
    <n v="363"/>
    <s v="PS0005"/>
    <n v="7960"/>
    <n v="200987"/>
    <m/>
    <s v="421355******9289"/>
    <s v="Nac"/>
    <s v="COM"/>
    <x v="16"/>
    <n v="179"/>
    <x v="0"/>
    <n v="5.17"/>
    <n v="2.31"/>
    <n v="0.42"/>
    <n v="173.41"/>
    <n v="0"/>
    <m/>
    <n v="20260417"/>
    <m/>
    <s v="DEBITO"/>
    <n v="3974527"/>
    <s v="IBK PRIVADA"/>
    <m/>
    <m/>
    <n v="0.50129629629629635"/>
    <s v="XIAOMI SCHELL"/>
  </r>
  <r>
    <n v="1023366"/>
    <s v="VA"/>
    <s v="A"/>
    <n v="46128"/>
    <n v="46128"/>
    <m/>
    <n v="363"/>
    <s v="PS0005"/>
    <n v="7962"/>
    <n v="498697"/>
    <m/>
    <s v="428597******5512"/>
    <s v="Ext"/>
    <s v="COM"/>
    <x v="16"/>
    <n v="228"/>
    <x v="0"/>
    <n v="6.59"/>
    <n v="1.8"/>
    <n v="0.32"/>
    <n v="221.09"/>
    <n v="0"/>
    <m/>
    <n v="20260417"/>
    <m/>
    <m/>
    <n v="3974527"/>
    <s v="BBVA"/>
    <m/>
    <m/>
    <n v="0.52773148148148152"/>
    <s v="XIAOMI SCHELL"/>
  </r>
  <r>
    <n v="1023366"/>
    <s v="VA"/>
    <s v="A"/>
    <n v="46128"/>
    <n v="46128"/>
    <m/>
    <n v="363"/>
    <n v="65656565"/>
    <n v="7964"/>
    <n v="933133"/>
    <m/>
    <s v="455788******5531"/>
    <s v="Ext"/>
    <s v="COM"/>
    <x v="16"/>
    <n v="105"/>
    <x v="0"/>
    <n v="3.03"/>
    <n v="1.35"/>
    <n v="0.24"/>
    <n v="101.73"/>
    <n v="0"/>
    <m/>
    <n v="20260417"/>
    <m/>
    <m/>
    <n v="3974527"/>
    <s v="BCP"/>
    <m/>
    <s v="Yape"/>
    <n v="0.55153935185185188"/>
    <s v="XIAOMI SCHELL"/>
  </r>
  <r>
    <n v="1023366"/>
    <s v="VA"/>
    <s v="A"/>
    <n v="46128"/>
    <n v="46128"/>
    <m/>
    <n v="363"/>
    <n v="65656565"/>
    <n v="7967"/>
    <n v="885129"/>
    <m/>
    <s v="455788******5711"/>
    <s v="Ext"/>
    <s v="COM"/>
    <x v="16"/>
    <n v="138"/>
    <x v="0"/>
    <n v="3.98"/>
    <n v="1.77"/>
    <n v="0.32"/>
    <n v="133.69999999999999"/>
    <n v="0"/>
    <m/>
    <n v="20260417"/>
    <m/>
    <m/>
    <n v="3974527"/>
    <s v="BCP"/>
    <m/>
    <s v="Yape"/>
    <n v="0.55564814814814811"/>
    <s v="XIAOMI SCHELL"/>
  </r>
  <r>
    <n v="1023366"/>
    <s v="VA"/>
    <s v="A"/>
    <n v="46128"/>
    <n v="46128"/>
    <m/>
    <n v="363"/>
    <s v="PS0005"/>
    <n v="7970"/>
    <n v="764884"/>
    <n v="3"/>
    <s v="444355******6796"/>
    <s v="Ext"/>
    <s v="COM"/>
    <x v="16"/>
    <n v="249"/>
    <x v="0"/>
    <n v="11.56"/>
    <n v="1.47"/>
    <n v="0.26"/>
    <n v="237.18"/>
    <n v="0"/>
    <m/>
    <n v="20260417"/>
    <m/>
    <m/>
    <n v="3974527"/>
    <s v="BBVA"/>
    <s v="SI"/>
    <m/>
    <n v="0.57576388888888885"/>
    <s v="XIAOMI SCHELL"/>
  </r>
  <r>
    <n v="1023366"/>
    <s v="VA"/>
    <s v="A"/>
    <n v="46128"/>
    <n v="46128"/>
    <m/>
    <n v="363"/>
    <s v="PS0005"/>
    <n v="7972"/>
    <n v="772197"/>
    <n v="3"/>
    <s v="491914******0557"/>
    <s v="Ext"/>
    <s v="COM"/>
    <x v="16"/>
    <n v="388"/>
    <x v="0"/>
    <n v="18"/>
    <n v="2.29"/>
    <n v="0.41"/>
    <n v="369.59"/>
    <n v="0"/>
    <m/>
    <n v="20260417"/>
    <m/>
    <m/>
    <n v="3974527"/>
    <s v="BBVA"/>
    <s v="SI"/>
    <m/>
    <n v="0.57707175925925924"/>
    <s v="XIAOMI SCHELL"/>
  </r>
  <r>
    <n v="1023366"/>
    <s v="VA"/>
    <s v="A"/>
    <n v="46128"/>
    <n v="46128"/>
    <m/>
    <n v="363"/>
    <s v="PS0005"/>
    <n v="7974"/>
    <n v="834137"/>
    <m/>
    <s v="455170******3732"/>
    <s v="Ext"/>
    <s v="COM"/>
    <x v="16"/>
    <n v="189"/>
    <x v="0"/>
    <n v="5.46"/>
    <n v="2.44"/>
    <n v="0.44"/>
    <n v="183.1"/>
    <n v="0"/>
    <m/>
    <n v="20260417"/>
    <m/>
    <m/>
    <n v="3974527"/>
    <s v="BBVA"/>
    <m/>
    <m/>
    <n v="0.58873842592592596"/>
    <s v="XIAOMI SCHELL"/>
  </r>
  <r>
    <n v="1023366"/>
    <s v="VA"/>
    <s v="A"/>
    <n v="46128"/>
    <n v="46128"/>
    <m/>
    <n v="363"/>
    <s v="PS0005"/>
    <n v="7978"/>
    <n v="109366"/>
    <m/>
    <s v="483203******1005"/>
    <s v="Ext"/>
    <s v="COM"/>
    <x v="16"/>
    <n v="149"/>
    <x v="0"/>
    <n v="4.3099999999999996"/>
    <n v="1.93"/>
    <n v="0.35"/>
    <n v="144.34"/>
    <n v="0"/>
    <m/>
    <n v="20260417"/>
    <m/>
    <m/>
    <n v="3974527"/>
    <s v="BCP"/>
    <m/>
    <m/>
    <n v="0.62186342592592592"/>
    <s v="XIAOMI SCHELL"/>
  </r>
  <r>
    <n v="1023366"/>
    <s v="VA"/>
    <s v="A"/>
    <n v="46128"/>
    <n v="46128"/>
    <m/>
    <n v="363"/>
    <s v="PS0005"/>
    <n v="7980"/>
    <n v="5657"/>
    <m/>
    <s v="434925******5473"/>
    <s v="Ext"/>
    <s v="COM"/>
    <x v="16"/>
    <n v="17.899999999999999"/>
    <x v="0"/>
    <n v="0.52"/>
    <n v="0.14000000000000001"/>
    <n v="0.03"/>
    <n v="17.350000000000001"/>
    <n v="0"/>
    <m/>
    <n v="20260417"/>
    <m/>
    <m/>
    <n v="3974527"/>
    <s v="BCP"/>
    <m/>
    <m/>
    <n v="0.62631944444444443"/>
    <s v="XIAOMI SCHELL"/>
  </r>
  <r>
    <n v="1023366"/>
    <s v="VA"/>
    <s v="A"/>
    <n v="46128"/>
    <n v="46128"/>
    <m/>
    <n v="363"/>
    <s v="PS0005"/>
    <n v="7982"/>
    <n v="2398"/>
    <n v="2"/>
    <s v="445330******2444"/>
    <s v="Ext"/>
    <s v="COM"/>
    <x v="16"/>
    <n v="349"/>
    <x v="0"/>
    <n v="10.09"/>
    <n v="2.76"/>
    <n v="0.5"/>
    <n v="338.41"/>
    <n v="0"/>
    <m/>
    <n v="20260417"/>
    <m/>
    <m/>
    <n v="3974527"/>
    <s v="BCP"/>
    <s v="NO"/>
    <m/>
    <n v="0.63498842592592597"/>
    <s v="XIAOMI SCHELL"/>
  </r>
  <r>
    <n v="1023366"/>
    <s v="VA"/>
    <s v="A"/>
    <n v="46128"/>
    <n v="46128"/>
    <m/>
    <n v="363"/>
    <s v="PS0005"/>
    <n v="7984"/>
    <n v="634978"/>
    <m/>
    <s v="421355******8372"/>
    <s v="Nac"/>
    <s v="COM"/>
    <x v="16"/>
    <n v="89.9"/>
    <x v="0"/>
    <n v="2.6"/>
    <n v="1.1599999999999999"/>
    <n v="0.21"/>
    <n v="87.09"/>
    <n v="0"/>
    <m/>
    <n v="20260417"/>
    <m/>
    <s v="DEBITO"/>
    <n v="3974527"/>
    <s v="IBK PRIVADA"/>
    <m/>
    <m/>
    <n v="0.71091435185185181"/>
    <s v="XIAOMI SCHELL"/>
  </r>
  <r>
    <n v="1023366"/>
    <s v="VA"/>
    <s v="A"/>
    <n v="46128"/>
    <n v="46128"/>
    <m/>
    <n v="363"/>
    <s v="PS0005"/>
    <n v="7986"/>
    <n v="230365"/>
    <n v="3"/>
    <s v="455696******3664"/>
    <s v="Ext"/>
    <s v="COM"/>
    <x v="16"/>
    <n v="105"/>
    <x v="0"/>
    <n v="3.03"/>
    <n v="0.82"/>
    <n v="0.15"/>
    <n v="101.82"/>
    <n v="0"/>
    <m/>
    <n v="20260417"/>
    <m/>
    <m/>
    <n v="3974527"/>
    <s v="IBK PRIVADA"/>
    <s v="NO"/>
    <m/>
    <n v="0.72424768518518523"/>
    <s v="XIAOMI SCHELL"/>
  </r>
  <r>
    <n v="1023366"/>
    <s v="VA"/>
    <s v="A"/>
    <n v="46128"/>
    <n v="46128"/>
    <m/>
    <n v="363"/>
    <s v="PS0005"/>
    <n v="7997"/>
    <n v="456274"/>
    <m/>
    <s v="438877******8989"/>
    <s v="Ext"/>
    <s v="COM"/>
    <x v="16"/>
    <n v="169"/>
    <x v="0"/>
    <n v="4.88"/>
    <n v="2.1800000000000002"/>
    <n v="0.39"/>
    <n v="163.72999999999999"/>
    <n v="0"/>
    <m/>
    <n v="20260417"/>
    <m/>
    <m/>
    <n v="3974527"/>
    <s v="VISA LOC"/>
    <m/>
    <m/>
    <n v="0.7650231481481482"/>
    <s v="XIAOMI SCHELL"/>
  </r>
  <r>
    <n v="1023366"/>
    <s v="VA"/>
    <s v="A"/>
    <n v="46128"/>
    <n v="46128"/>
    <m/>
    <n v="363"/>
    <s v="PS0005"/>
    <n v="7999"/>
    <n v="845162"/>
    <m/>
    <s v="491257******8149"/>
    <s v="Ext"/>
    <s v="COM"/>
    <x v="16"/>
    <n v="128"/>
    <x v="0"/>
    <n v="3.7"/>
    <n v="1.65"/>
    <n v="0.3"/>
    <n v="124"/>
    <n v="0"/>
    <m/>
    <n v="20260417"/>
    <m/>
    <m/>
    <n v="3974527"/>
    <s v="IBK PRIVADA"/>
    <m/>
    <m/>
    <n v="0.76761574074074079"/>
    <s v="XIAOMI SCHELL"/>
  </r>
  <r>
    <n v="1023366"/>
    <s v="VA"/>
    <s v="A"/>
    <n v="46128"/>
    <n v="46128"/>
    <m/>
    <n v="363"/>
    <s v="PS0005"/>
    <n v="8001"/>
    <n v="35611"/>
    <m/>
    <s v="494386******6563"/>
    <s v="Ext"/>
    <s v="COM"/>
    <x v="16"/>
    <n v="1598"/>
    <x v="0"/>
    <n v="46.18"/>
    <n v="12.62"/>
    <n v="2.27"/>
    <n v="1549.55"/>
    <n v="0"/>
    <m/>
    <n v="20260417"/>
    <m/>
    <m/>
    <n v="3974527"/>
    <s v="SCOTIABANK"/>
    <m/>
    <m/>
    <n v="0.76937500000000003"/>
    <s v="XIAOMI SCHELL"/>
  </r>
  <r>
    <n v="1023366"/>
    <s v="VA"/>
    <s v="A"/>
    <n v="46128"/>
    <n v="46128"/>
    <m/>
    <n v="363"/>
    <n v="65656565"/>
    <n v="8003"/>
    <n v="477045"/>
    <m/>
    <s v="455788******9074"/>
    <s v="Ext"/>
    <s v="COM"/>
    <x v="16"/>
    <n v="105"/>
    <x v="0"/>
    <n v="3.03"/>
    <n v="1.35"/>
    <n v="0.24"/>
    <n v="101.73"/>
    <n v="0"/>
    <m/>
    <n v="20260417"/>
    <m/>
    <m/>
    <n v="3974527"/>
    <s v="BCP"/>
    <m/>
    <s v="Yape"/>
    <n v="0.77226851851851852"/>
    <s v="XIAOMI SCHELL"/>
  </r>
  <r>
    <n v="1023366"/>
    <s v="VA"/>
    <s v="A"/>
    <n v="46128"/>
    <n v="46128"/>
    <m/>
    <n v="363"/>
    <s v="PS0005"/>
    <n v="8007"/>
    <n v="995401"/>
    <m/>
    <s v="411539******5001"/>
    <s v="Nac"/>
    <s v="COM"/>
    <x v="16"/>
    <n v="5"/>
    <x v="0"/>
    <n v="0.14000000000000001"/>
    <n v="0.06"/>
    <n v="0.01"/>
    <n v="4.8499999999999996"/>
    <n v="0"/>
    <m/>
    <n v="20260417"/>
    <m/>
    <s v="DEBITO"/>
    <n v="3974527"/>
    <s v="VISA LOC"/>
    <m/>
    <m/>
    <n v="0.77357638888888891"/>
    <s v="XIAOMI SCHELL"/>
  </r>
  <r>
    <n v="1023366"/>
    <s v="VA"/>
    <s v="A"/>
    <n v="46128"/>
    <n v="46128"/>
    <m/>
    <n v="363"/>
    <s v="PS0005"/>
    <n v="8009"/>
    <n v="394288"/>
    <m/>
    <s v="455696******2160"/>
    <s v="Ext"/>
    <s v="COM"/>
    <x v="16"/>
    <n v="349"/>
    <x v="0"/>
    <n v="10.09"/>
    <n v="1.36"/>
    <n v="0.24"/>
    <n v="338.67"/>
    <n v="0"/>
    <m/>
    <n v="20260417"/>
    <m/>
    <m/>
    <n v="3974527"/>
    <s v="IBK PRIVADA"/>
    <m/>
    <m/>
    <n v="0.77747685185185189"/>
    <s v="XIAOMI SCHELL"/>
  </r>
  <r>
    <n v="1023366"/>
    <s v="VA"/>
    <s v="A"/>
    <n v="46128"/>
    <n v="46128"/>
    <m/>
    <n v="363"/>
    <s v="PS0005"/>
    <n v="8011"/>
    <n v="464452"/>
    <m/>
    <s v="421355******0843"/>
    <s v="Nac"/>
    <s v="COM"/>
    <x v="16"/>
    <n v="55"/>
    <x v="0"/>
    <n v="1.59"/>
    <n v="0.71"/>
    <n v="0.13"/>
    <n v="53.28"/>
    <n v="0"/>
    <m/>
    <n v="20260417"/>
    <m/>
    <s v="DEBITO"/>
    <n v="3974527"/>
    <s v="IBK PRIVADA"/>
    <m/>
    <m/>
    <n v="0.78021990740740743"/>
    <s v="XIAOMI SCHELL"/>
  </r>
  <r>
    <n v="1023366"/>
    <s v="VA"/>
    <s v="A"/>
    <n v="46128"/>
    <n v="46128"/>
    <m/>
    <n v="363"/>
    <s v="PS0005"/>
    <n v="8013"/>
    <n v="39632"/>
    <m/>
    <s v="421918******5146"/>
    <s v="Nac"/>
    <s v="COM"/>
    <x v="16"/>
    <n v="379"/>
    <x v="0"/>
    <n v="10.95"/>
    <n v="1.47"/>
    <n v="0.26"/>
    <n v="367.79"/>
    <n v="0"/>
    <m/>
    <n v="20260417"/>
    <m/>
    <s v="CREDITO"/>
    <n v="3974527"/>
    <s v="SCOTIABANK"/>
    <m/>
    <m/>
    <n v="0.78291666666666671"/>
    <s v="XIAOMI SCHELL"/>
  </r>
  <r>
    <n v="1023366"/>
    <s v="VA"/>
    <s v="A"/>
    <n v="46128"/>
    <n v="46128"/>
    <m/>
    <n v="363"/>
    <s v="PS0005"/>
    <n v="8015"/>
    <n v="455026"/>
    <m/>
    <s v="411074******8560"/>
    <s v="Nac"/>
    <s v="COM"/>
    <x v="16"/>
    <n v="105"/>
    <x v="0"/>
    <n v="3.03"/>
    <n v="1.35"/>
    <n v="0.24"/>
    <n v="101.73"/>
    <n v="0"/>
    <m/>
    <n v="20260417"/>
    <m/>
    <s v="DEBITO"/>
    <n v="3974527"/>
    <s v="IBK PRIVADA"/>
    <m/>
    <m/>
    <n v="0.79424768518518518"/>
    <s v="XIAOMI SCHELL"/>
  </r>
  <r>
    <n v="1023366"/>
    <s v="VA"/>
    <s v="A"/>
    <n v="46128"/>
    <n v="46128"/>
    <m/>
    <n v="363"/>
    <s v="PS0005"/>
    <n v="8017"/>
    <n v="882935"/>
    <m/>
    <s v="491914******1149"/>
    <s v="Ext"/>
    <s v="COM"/>
    <x v="16"/>
    <n v="52.8"/>
    <x v="0"/>
    <n v="1.53"/>
    <n v="0.32"/>
    <n v="0.06"/>
    <n v="51.21"/>
    <n v="0"/>
    <m/>
    <n v="20260417"/>
    <m/>
    <m/>
    <n v="3974527"/>
    <s v="BBVA"/>
    <m/>
    <m/>
    <n v="0.79957175925925927"/>
    <s v="XIAOMI SCHELL"/>
  </r>
  <r>
    <n v="1023366"/>
    <s v="VA"/>
    <s v="A"/>
    <n v="46128"/>
    <n v="46128"/>
    <m/>
    <n v="363"/>
    <s v="PS0005"/>
    <n v="8019"/>
    <n v="595006"/>
    <m/>
    <s v="491257******0586"/>
    <s v="Ext"/>
    <s v="COM"/>
    <x v="16"/>
    <n v="89.9"/>
    <x v="0"/>
    <n v="2.6"/>
    <n v="1.1599999999999999"/>
    <n v="0.21"/>
    <n v="87.09"/>
    <n v="0"/>
    <m/>
    <n v="20260417"/>
    <m/>
    <m/>
    <n v="3974527"/>
    <s v="BCP"/>
    <m/>
    <m/>
    <n v="0.81311342592592595"/>
    <s v="XIAOMI SCHELL"/>
  </r>
  <r>
    <n v="1023366"/>
    <s v="VA"/>
    <s v="A"/>
    <n v="46128"/>
    <n v="46128"/>
    <m/>
    <n v="363"/>
    <s v="PS0005"/>
    <n v="8021"/>
    <n v="81118"/>
    <m/>
    <s v="491914******1879"/>
    <s v="Ext"/>
    <s v="COM"/>
    <x v="16"/>
    <n v="139.80000000000001"/>
    <x v="0"/>
    <n v="4.04"/>
    <n v="0.82"/>
    <n v="0.15"/>
    <n v="135.61000000000001"/>
    <n v="0"/>
    <m/>
    <n v="20260417"/>
    <m/>
    <m/>
    <n v="3974527"/>
    <s v="BBVA"/>
    <m/>
    <m/>
    <n v="0.83302083333333332"/>
    <s v="XIAOMI SCHELL"/>
  </r>
  <r>
    <n v="1023366"/>
    <s v="VA"/>
    <s v="A"/>
    <n v="46128"/>
    <n v="46128"/>
    <m/>
    <n v="363"/>
    <s v="PS0005"/>
    <n v="8023"/>
    <n v="91608"/>
    <m/>
    <s v="428597******7941"/>
    <s v="Ext"/>
    <s v="COM"/>
    <x v="16"/>
    <n v="688"/>
    <x v="0"/>
    <n v="19.88"/>
    <n v="5.43"/>
    <n v="0.98"/>
    <n v="667.14"/>
    <n v="0"/>
    <m/>
    <n v="20260417"/>
    <m/>
    <m/>
    <n v="3974527"/>
    <s v="BBVA"/>
    <m/>
    <m/>
    <n v="0.8348726851851852"/>
    <s v="XIAOMI SCHELL"/>
  </r>
  <r>
    <n v="1023366"/>
    <s v="VA"/>
    <s v="A"/>
    <n v="46128"/>
    <n v="46128"/>
    <m/>
    <n v="363"/>
    <s v="PS0005"/>
    <n v="8025"/>
    <n v="126922"/>
    <m/>
    <s v="455103******2021"/>
    <s v="Ext"/>
    <s v="COM"/>
    <x v="16"/>
    <n v="49"/>
    <x v="0"/>
    <n v="1.42"/>
    <n v="0.64"/>
    <n v="0.12"/>
    <n v="47.46"/>
    <n v="0"/>
    <m/>
    <n v="20260417"/>
    <m/>
    <m/>
    <n v="3974527"/>
    <s v="BBVA"/>
    <m/>
    <m/>
    <n v="0.84113425925925922"/>
    <s v="XIAOMI SCHELL"/>
  </r>
  <r>
    <n v="1023366"/>
    <s v="VA"/>
    <s v="A"/>
    <n v="46128"/>
    <n v="46128"/>
    <m/>
    <n v="363"/>
    <s v="PS0005"/>
    <n v="8027"/>
    <n v="570439"/>
    <m/>
    <s v="455788******9468"/>
    <s v="Ext"/>
    <s v="COM"/>
    <x v="16"/>
    <n v="1799"/>
    <x v="0"/>
    <n v="51.99"/>
    <n v="23.21"/>
    <n v="4.18"/>
    <n v="1742.83"/>
    <n v="0"/>
    <m/>
    <n v="20260417"/>
    <m/>
    <m/>
    <n v="3974527"/>
    <s v="BCP"/>
    <m/>
    <m/>
    <n v="0.85010416666666666"/>
    <s v="XIAOMI SCHELL"/>
  </r>
  <r>
    <n v="1023366"/>
    <s v="VA"/>
    <s v="A"/>
    <n v="46128"/>
    <n v="46128"/>
    <m/>
    <n v="363"/>
    <s v="PS0005"/>
    <n v="8029"/>
    <n v="3968"/>
    <m/>
    <s v="428082******0111"/>
    <s v="Ext"/>
    <s v="COM"/>
    <x v="16"/>
    <n v="349"/>
    <x v="0"/>
    <n v="10.09"/>
    <n v="2.06"/>
    <n v="0.37"/>
    <n v="338.54"/>
    <n v="0"/>
    <m/>
    <n v="20260417"/>
    <m/>
    <m/>
    <n v="3974527"/>
    <s v="BCP"/>
    <m/>
    <m/>
    <n v="0.86187499999999995"/>
    <s v="XIAOMI SCHELL"/>
  </r>
  <r>
    <n v="1023366"/>
    <s v="VA"/>
    <s v="A"/>
    <n v="46128"/>
    <m/>
    <m/>
    <m/>
    <m/>
    <m/>
    <m/>
    <m/>
    <m/>
    <m/>
    <m/>
    <x v="9"/>
    <n v="0"/>
    <x v="2"/>
    <n v="0"/>
    <n v="0"/>
    <n v="0"/>
    <n v="-769.76"/>
    <n v="11493.74"/>
    <n v="46129"/>
    <n v="20260417"/>
    <s v="Descuentos Aplicados"/>
    <m/>
    <m/>
    <m/>
    <m/>
    <m/>
    <m/>
    <s v="XIAOMI SCHELL"/>
  </r>
  <r>
    <n v="1023366"/>
    <s v="VA"/>
    <s v="D"/>
    <n v="46128"/>
    <n v="46128"/>
    <m/>
    <n v="664"/>
    <s v="PS0003"/>
    <n v="5710216"/>
    <n v="9219"/>
    <m/>
    <s v="463403******4419"/>
    <s v="Ext"/>
    <s v="EXT"/>
    <x v="16"/>
    <n v="-159"/>
    <x v="1"/>
    <n v="-5.3"/>
    <n v="-2.76"/>
    <n v="-0.5"/>
    <n v="-153.19999999999999"/>
    <n v="0"/>
    <m/>
    <n v="20260417"/>
    <s v="Detalle Descuento   4075653"/>
    <m/>
    <s v="PAYZEN"/>
    <s v="BBVA"/>
    <m/>
    <m/>
    <n v="0.7732175925925926"/>
    <s v="XIAOMI SCHELL"/>
  </r>
  <r>
    <n v="1023366"/>
    <s v="VA"/>
    <s v="D"/>
    <n v="46128"/>
    <n v="46128"/>
    <m/>
    <n v="664"/>
    <s v="PS0003"/>
    <n v="766934"/>
    <n v="313284"/>
    <m/>
    <s v="414791******4901"/>
    <s v="Ext"/>
    <s v="EXT"/>
    <x v="16"/>
    <n v="-649"/>
    <x v="1"/>
    <n v="-30.81"/>
    <n v="-9.07"/>
    <n v="-1.63"/>
    <n v="-616.55999999999995"/>
    <n v="0"/>
    <m/>
    <n v="20260417"/>
    <s v="Detalle Descuento   4077561"/>
    <m/>
    <s v="PAYZEN"/>
    <s v="BBVA"/>
    <m/>
    <m/>
    <n v="0.7732175925925926"/>
    <s v="XIAOMI SCHELL"/>
  </r>
  <r>
    <n v="1023366"/>
    <s v="VX"/>
    <s v="A"/>
    <n v="46128"/>
    <n v="46128"/>
    <m/>
    <n v="363"/>
    <s v="PS0005"/>
    <n v="7942"/>
    <n v="251165"/>
    <m/>
    <s v="405893******1341"/>
    <s v="Nac"/>
    <s v="COM"/>
    <x v="16"/>
    <n v="50"/>
    <x v="0"/>
    <n v="1.45"/>
    <n v="1.45"/>
    <n v="0.26"/>
    <n v="48.29"/>
    <n v="0"/>
    <m/>
    <n v="20260417"/>
    <m/>
    <s v="DEBITO"/>
    <n v="3974527"/>
    <s v="SODEXO"/>
    <m/>
    <m/>
    <n v="0.44785879629629627"/>
    <s v="XIAOMI SCHELL"/>
  </r>
  <r>
    <n v="1023366"/>
    <s v="VX"/>
    <s v="A"/>
    <n v="46128"/>
    <n v="46128"/>
    <m/>
    <n v="363"/>
    <s v="PS0005"/>
    <n v="7944"/>
    <n v="7831"/>
    <m/>
    <s v="405893******1333"/>
    <s v="Nac"/>
    <s v="COM"/>
    <x v="16"/>
    <n v="50"/>
    <x v="0"/>
    <n v="1.45"/>
    <n v="1.45"/>
    <n v="0.26"/>
    <n v="48.29"/>
    <n v="0"/>
    <m/>
    <n v="20260417"/>
    <m/>
    <s v="DEBITO"/>
    <n v="3974527"/>
    <s v="SODEXO"/>
    <m/>
    <m/>
    <n v="0.44832175925925927"/>
    <s v="XIAOMI SCHELL"/>
  </r>
  <r>
    <n v="1023366"/>
    <s v="VX"/>
    <s v="A"/>
    <n v="46128"/>
    <n v="46128"/>
    <m/>
    <n v="363"/>
    <s v="PS0005"/>
    <n v="7947"/>
    <n v="90803"/>
    <m/>
    <s v="405893******1325"/>
    <s v="Nac"/>
    <s v="COM"/>
    <x v="16"/>
    <n v="50"/>
    <x v="0"/>
    <n v="1.45"/>
    <n v="1.45"/>
    <n v="0.26"/>
    <n v="48.29"/>
    <n v="0"/>
    <m/>
    <n v="20260417"/>
    <m/>
    <s v="DEBITO"/>
    <n v="3974527"/>
    <s v="SODEXO"/>
    <m/>
    <m/>
    <n v="0.44984953703703706"/>
    <s v="XIAOMI SCHELL"/>
  </r>
  <r>
    <n v="1023366"/>
    <s v="VX"/>
    <s v="A"/>
    <n v="46128"/>
    <n v="46128"/>
    <m/>
    <n v="363"/>
    <s v="PS0005"/>
    <n v="7949"/>
    <n v="152579"/>
    <m/>
    <s v="405893******1317"/>
    <s v="Nac"/>
    <s v="COM"/>
    <x v="16"/>
    <n v="50"/>
    <x v="0"/>
    <n v="1.45"/>
    <n v="1.45"/>
    <n v="0.26"/>
    <n v="48.29"/>
    <n v="0"/>
    <m/>
    <n v="20260417"/>
    <m/>
    <s v="DEBITO"/>
    <n v="3974527"/>
    <s v="SODEXO"/>
    <m/>
    <m/>
    <n v="0.45026620370370368"/>
    <s v="XIAOMI SCHELL"/>
  </r>
  <r>
    <n v="1023366"/>
    <s v="VX"/>
    <s v="A"/>
    <n v="46128"/>
    <n v="46128"/>
    <m/>
    <n v="363"/>
    <s v="PS0005"/>
    <n v="7951"/>
    <n v="193029"/>
    <m/>
    <s v="405893******1358"/>
    <s v="Nac"/>
    <s v="COM"/>
    <x v="16"/>
    <n v="20"/>
    <x v="0"/>
    <n v="0.57999999999999996"/>
    <n v="0.57999999999999996"/>
    <n v="0.1"/>
    <n v="19.32"/>
    <n v="212.48"/>
    <n v="46129"/>
    <n v="20260417"/>
    <m/>
    <s v="DEBITO"/>
    <n v="3974527"/>
    <s v="SODEXO"/>
    <m/>
    <m/>
    <n v="0.45082175925925927"/>
    <s v="XIAOMI SCHELL"/>
  </r>
  <r>
    <n v="1023366"/>
    <s v="MC"/>
    <s v="A"/>
    <n v="46129"/>
    <n v="46129"/>
    <m/>
    <n v="364"/>
    <s v="PS0005"/>
    <n v="8058"/>
    <n v="64470"/>
    <m/>
    <s v="525435******3685"/>
    <s v="Nac"/>
    <s v="COM"/>
    <x v="17"/>
    <n v="105"/>
    <x v="0"/>
    <n v="3.03"/>
    <n v="0.82"/>
    <n v="0.15"/>
    <n v="101.82"/>
    <n v="0"/>
    <m/>
    <n v="20260420"/>
    <m/>
    <s v="CREDITO"/>
    <n v="3974527"/>
    <s v="BRIPLEY"/>
    <m/>
    <m/>
    <n v="0.48783564814814817"/>
    <s v="XIAOMI SCHELL"/>
  </r>
  <r>
    <n v="1023366"/>
    <s v="MC"/>
    <s v="A"/>
    <n v="46129"/>
    <n v="46129"/>
    <m/>
    <n v="364"/>
    <s v="PS0005"/>
    <n v="8062"/>
    <n v="719718"/>
    <m/>
    <s v="532994******8884"/>
    <s v="Nac"/>
    <s v="COM"/>
    <x v="17"/>
    <n v="89.9"/>
    <x v="0"/>
    <n v="2.6"/>
    <n v="1.03"/>
    <n v="0.19"/>
    <n v="87.11"/>
    <n v="0"/>
    <m/>
    <n v="20260420"/>
    <m/>
    <s v="DEBITO"/>
    <n v="3974527"/>
    <s v="BBVA"/>
    <m/>
    <m/>
    <n v="0.50866898148148143"/>
    <s v="XIAOMI SCHELL"/>
  </r>
  <r>
    <n v="1023366"/>
    <s v="MC"/>
    <s v="A"/>
    <n v="46129"/>
    <n v="46129"/>
    <m/>
    <n v="364"/>
    <s v="PS0005"/>
    <n v="8090"/>
    <s v="R02223"/>
    <m/>
    <s v="518047******1815"/>
    <s v="Nac"/>
    <s v="COM"/>
    <x v="17"/>
    <n v="89.9"/>
    <x v="0"/>
    <n v="2.6"/>
    <n v="0.31"/>
    <n v="0.06"/>
    <n v="87.24"/>
    <n v="0"/>
    <m/>
    <n v="20260420"/>
    <m/>
    <s v="CREDITO"/>
    <n v="3974527"/>
    <s v="SBP"/>
    <m/>
    <m/>
    <n v="0.70384259259259263"/>
    <s v="XIAOMI SCHELL"/>
  </r>
  <r>
    <n v="1023366"/>
    <s v="MC"/>
    <s v="A"/>
    <n v="46129"/>
    <n v="46129"/>
    <m/>
    <n v="364"/>
    <s v="PS0005"/>
    <n v="8096"/>
    <n v="53770"/>
    <n v="12"/>
    <s v="525435******6643"/>
    <s v="Nac"/>
    <s v="COM"/>
    <x v="17"/>
    <n v="3899"/>
    <x v="0"/>
    <n v="112.68"/>
    <n v="30.8"/>
    <n v="5.54"/>
    <n v="3780.78"/>
    <n v="0"/>
    <m/>
    <n v="20260420"/>
    <m/>
    <s v="CREDITO"/>
    <n v="3974527"/>
    <s v="BRIPLEY"/>
    <s v="NO"/>
    <m/>
    <n v="0.73850694444444442"/>
    <s v="XIAOMI SCHELL"/>
  </r>
  <r>
    <n v="1023366"/>
    <s v="MC"/>
    <s v="A"/>
    <n v="46129"/>
    <n v="46129"/>
    <m/>
    <n v="364"/>
    <s v="PS0005"/>
    <n v="8102"/>
    <s v="QSTKE7"/>
    <m/>
    <s v="545387******4795"/>
    <s v="Ext"/>
    <s v="COM"/>
    <x v="17"/>
    <n v="105"/>
    <x v="0"/>
    <n v="4.0999999999999996"/>
    <n v="2"/>
    <n v="0.36"/>
    <n v="100.54"/>
    <n v="0"/>
    <m/>
    <n v="20260420"/>
    <m/>
    <s v="CREDITO"/>
    <n v="3974527"/>
    <s v="MCI C. INTER"/>
    <m/>
    <m/>
    <n v="0.76653935185185185"/>
    <s v="XIAOMI SCHELL"/>
  </r>
  <r>
    <n v="1023366"/>
    <s v="MC"/>
    <s v="A"/>
    <n v="46129"/>
    <n v="46129"/>
    <m/>
    <n v="364"/>
    <s v="PS0005"/>
    <n v="8105"/>
    <n v="897424"/>
    <m/>
    <s v="531620******4424"/>
    <s v="Ext"/>
    <s v="COM"/>
    <x v="17"/>
    <n v="89.9"/>
    <x v="0"/>
    <n v="3.51"/>
    <n v="2.0699999999999998"/>
    <n v="0.37"/>
    <n v="86.02"/>
    <n v="0"/>
    <m/>
    <n v="20260420"/>
    <m/>
    <s v="CREDITO"/>
    <n v="3974527"/>
    <s v="MCI C. INTER"/>
    <m/>
    <m/>
    <n v="0.76862268518518517"/>
    <s v="XIAOMI SCHELL"/>
  </r>
  <r>
    <n v="1023366"/>
    <s v="MC"/>
    <s v="A"/>
    <n v="46129"/>
    <n v="46129"/>
    <m/>
    <n v="364"/>
    <s v="PS0005"/>
    <n v="8112"/>
    <n v="101183"/>
    <m/>
    <s v="511842******4292"/>
    <s v="Nac"/>
    <s v="COM"/>
    <x v="17"/>
    <n v="99"/>
    <x v="0"/>
    <n v="2.86"/>
    <n v="1.1299999999999999"/>
    <n v="0.2"/>
    <n v="95.94"/>
    <n v="4339.45"/>
    <n v="46132"/>
    <n v="20260420"/>
    <m/>
    <s v="DEBITO"/>
    <n v="3974527"/>
    <s v="SCOTIA DEBIT"/>
    <m/>
    <m/>
    <n v="0.77771990740740737"/>
    <s v="XIAOMI SCHELL"/>
  </r>
  <r>
    <n v="1023366"/>
    <s v="VA"/>
    <s v="A"/>
    <n v="46129"/>
    <n v="46129"/>
    <m/>
    <n v="364"/>
    <s v="PS0005"/>
    <n v="8045"/>
    <n v="117221"/>
    <m/>
    <s v="421355******7034"/>
    <s v="Nac"/>
    <s v="COM"/>
    <x v="17"/>
    <n v="67.25"/>
    <x v="0"/>
    <n v="1.94"/>
    <n v="0.86"/>
    <n v="0.15"/>
    <n v="65.16"/>
    <n v="0"/>
    <m/>
    <n v="20260420"/>
    <m/>
    <s v="DEBITO"/>
    <n v="3974527"/>
    <s v="IBK PRIVADA"/>
    <m/>
    <m/>
    <n v="0.43462962962962964"/>
    <s v="XIAOMI SCHELL"/>
  </r>
  <r>
    <n v="1023366"/>
    <s v="VA"/>
    <s v="A"/>
    <n v="46129"/>
    <n v="46129"/>
    <m/>
    <n v="364"/>
    <s v="PS0005"/>
    <n v="8047"/>
    <n v="802588"/>
    <m/>
    <s v="421355******6612"/>
    <s v="Nac"/>
    <s v="COM"/>
    <x v="17"/>
    <n v="69"/>
    <x v="0"/>
    <n v="1.99"/>
    <n v="0.89"/>
    <n v="0.16"/>
    <n v="66.849999999999994"/>
    <n v="0"/>
    <m/>
    <n v="20260420"/>
    <m/>
    <s v="DEBITO"/>
    <n v="3974527"/>
    <s v="IBK PRIVADA"/>
    <m/>
    <m/>
    <n v="0.43594907407407407"/>
    <s v="XIAOMI SCHELL"/>
  </r>
  <r>
    <n v="1023366"/>
    <s v="VA"/>
    <s v="A"/>
    <n v="46129"/>
    <n v="46129"/>
    <m/>
    <n v="364"/>
    <s v="PS0005"/>
    <n v="8049"/>
    <n v="76577"/>
    <m/>
    <s v="455788******1736"/>
    <s v="Nac"/>
    <s v="COM"/>
    <x v="17"/>
    <n v="100"/>
    <x v="0"/>
    <n v="2.89"/>
    <n v="1.29"/>
    <n v="0.23"/>
    <n v="96.88"/>
    <n v="0"/>
    <m/>
    <n v="20260420"/>
    <m/>
    <s v="DEBITO"/>
    <n v="3974527"/>
    <s v="BCP"/>
    <m/>
    <m/>
    <n v="0.44197916666666665"/>
    <s v="XIAOMI SCHELL"/>
  </r>
  <r>
    <n v="1023366"/>
    <s v="VA"/>
    <s v="A"/>
    <n v="46129"/>
    <n v="46129"/>
    <m/>
    <n v="364"/>
    <s v="PS0005"/>
    <n v="8051"/>
    <n v="774639"/>
    <m/>
    <s v="455788******9515"/>
    <s v="Nac"/>
    <s v="COM"/>
    <x v="17"/>
    <n v="74.5"/>
    <x v="0"/>
    <n v="2.15"/>
    <n v="0.96"/>
    <n v="0.17"/>
    <n v="72.180000000000007"/>
    <n v="0"/>
    <m/>
    <n v="20260420"/>
    <m/>
    <s v="DEBITO"/>
    <n v="3974527"/>
    <s v="BCP"/>
    <m/>
    <m/>
    <n v="0.46003472222222225"/>
    <s v="XIAOMI SCHELL"/>
  </r>
  <r>
    <n v="1023366"/>
    <s v="VA"/>
    <s v="A"/>
    <n v="46129"/>
    <n v="46129"/>
    <m/>
    <n v="364"/>
    <s v="PS0005"/>
    <n v="8053"/>
    <n v="9209"/>
    <m/>
    <s v="463403******5608"/>
    <s v="Nac"/>
    <s v="COM"/>
    <x v="17"/>
    <n v="69"/>
    <x v="0"/>
    <n v="1.99"/>
    <n v="0.4"/>
    <n v="7.0000000000000007E-2"/>
    <n v="66.94"/>
    <n v="0"/>
    <m/>
    <n v="20260420"/>
    <m/>
    <s v="CREDITO"/>
    <n v="3974527"/>
    <s v="BCP"/>
    <m/>
    <m/>
    <n v="0.48350694444444442"/>
    <s v="XIAOMI SCHELL"/>
  </r>
  <r>
    <n v="1023366"/>
    <s v="VA"/>
    <s v="A"/>
    <n v="46129"/>
    <n v="46129"/>
    <m/>
    <n v="364"/>
    <s v="PS0005"/>
    <n v="8055"/>
    <n v="245527"/>
    <m/>
    <s v="455788******8638"/>
    <s v="Nac"/>
    <s v="COM"/>
    <x v="17"/>
    <n v="86.9"/>
    <x v="0"/>
    <n v="2.5099999999999998"/>
    <n v="1.1200000000000001"/>
    <n v="0.2"/>
    <n v="84.19"/>
    <n v="0"/>
    <m/>
    <n v="20260420"/>
    <m/>
    <s v="DEBITO"/>
    <n v="3974527"/>
    <s v="BCP"/>
    <m/>
    <m/>
    <n v="0.4861111111111111"/>
    <s v="XIAOMI SCHELL"/>
  </r>
  <r>
    <n v="1023366"/>
    <s v="VA"/>
    <s v="A"/>
    <n v="46129"/>
    <n v="46129"/>
    <m/>
    <n v="364"/>
    <s v="PS0005"/>
    <n v="8060"/>
    <n v="4467"/>
    <m/>
    <s v="428076******6890"/>
    <s v="Nac"/>
    <s v="COM"/>
    <x v="17"/>
    <n v="4276"/>
    <x v="0"/>
    <n v="123.58"/>
    <n v="16.68"/>
    <n v="3"/>
    <n v="4149.42"/>
    <n v="0"/>
    <m/>
    <n v="20260420"/>
    <m/>
    <s v="CREDITO"/>
    <n v="3974527"/>
    <s v="BCP"/>
    <m/>
    <m/>
    <n v="0.50287037037037041"/>
    <s v="XIAOMI SCHELL"/>
  </r>
  <r>
    <n v="1023366"/>
    <s v="VA"/>
    <s v="A"/>
    <n v="46129"/>
    <n v="46129"/>
    <m/>
    <n v="364"/>
    <s v="PS0005"/>
    <n v="8065"/>
    <n v="20919"/>
    <m/>
    <s v="438466******4055"/>
    <s v="Nac"/>
    <s v="COM"/>
    <x v="17"/>
    <n v="98"/>
    <x v="0"/>
    <n v="2.83"/>
    <n v="0.38"/>
    <n v="7.0000000000000007E-2"/>
    <n v="95.1"/>
    <n v="0"/>
    <m/>
    <n v="20260420"/>
    <m/>
    <s v="CREDITO"/>
    <n v="3974527"/>
    <s v="VISA LOC"/>
    <m/>
    <m/>
    <n v="0.56521990740740746"/>
    <s v="XIAOMI SCHELL"/>
  </r>
  <r>
    <n v="1023366"/>
    <s v="VA"/>
    <s v="A"/>
    <n v="46129"/>
    <n v="46129"/>
    <m/>
    <n v="364"/>
    <n v="65656565"/>
    <n v="8067"/>
    <n v="416949"/>
    <m/>
    <s v="421355******7295"/>
    <s v="Nac"/>
    <s v="COM"/>
    <x v="17"/>
    <n v="105"/>
    <x v="0"/>
    <n v="3.03"/>
    <n v="1.35"/>
    <n v="0.24"/>
    <n v="101.73"/>
    <n v="0"/>
    <m/>
    <n v="20260420"/>
    <m/>
    <s v="DEBITO"/>
    <n v="3974527"/>
    <s v="IBK PRIVADA"/>
    <m/>
    <s v="IBK Plin"/>
    <n v="0.58788194444444442"/>
    <s v="XIAOMI SCHELL"/>
  </r>
  <r>
    <n v="1023366"/>
    <s v="VA"/>
    <s v="A"/>
    <n v="46129"/>
    <n v="46129"/>
    <m/>
    <n v="364"/>
    <s v="PS0005"/>
    <n v="8070"/>
    <n v="1655"/>
    <m/>
    <s v="445330******3974"/>
    <s v="Nac"/>
    <s v="COM"/>
    <x v="17"/>
    <n v="228"/>
    <x v="0"/>
    <n v="6.59"/>
    <n v="1.8"/>
    <n v="0.32"/>
    <n v="221.09"/>
    <n v="0"/>
    <m/>
    <n v="20260420"/>
    <m/>
    <s v="CREDITO"/>
    <n v="3974527"/>
    <s v="BCP"/>
    <m/>
    <m/>
    <n v="0.58835648148148145"/>
    <s v="XIAOMI SCHELL"/>
  </r>
  <r>
    <n v="1023366"/>
    <s v="VA"/>
    <s v="A"/>
    <n v="46129"/>
    <n v="46129"/>
    <m/>
    <n v="364"/>
    <s v="PS0005"/>
    <n v="8072"/>
    <n v="3068"/>
    <m/>
    <s v="463403******8191"/>
    <s v="Nac"/>
    <s v="COM"/>
    <x v="17"/>
    <n v="149"/>
    <x v="0"/>
    <n v="4.3099999999999996"/>
    <n v="0.88"/>
    <n v="0.16"/>
    <n v="144.53"/>
    <n v="0"/>
    <m/>
    <n v="20260420"/>
    <m/>
    <s v="CREDITO"/>
    <n v="3974527"/>
    <s v="BCP"/>
    <m/>
    <m/>
    <n v="0.58982638888888894"/>
    <s v="XIAOMI SCHELL"/>
  </r>
  <r>
    <n v="1023366"/>
    <s v="VA"/>
    <s v="A"/>
    <n v="46129"/>
    <n v="46129"/>
    <m/>
    <n v="364"/>
    <s v="PS0005"/>
    <n v="8075"/>
    <n v="113314"/>
    <m/>
    <s v="411515******5181"/>
    <s v="Nac"/>
    <s v="COM"/>
    <x v="17"/>
    <n v="149"/>
    <x v="0"/>
    <n v="4.3099999999999996"/>
    <n v="1.93"/>
    <n v="0.35"/>
    <n v="144.34"/>
    <n v="0"/>
    <m/>
    <n v="20260420"/>
    <m/>
    <s v="DEBITO"/>
    <n v="3974527"/>
    <s v="VISA LOC"/>
    <m/>
    <m/>
    <n v="0.60106481481481477"/>
    <s v="XIAOMI SCHELL"/>
  </r>
  <r>
    <n v="1023366"/>
    <s v="VA"/>
    <s v="A"/>
    <n v="46129"/>
    <n v="46129"/>
    <m/>
    <n v="364"/>
    <n v="65656565"/>
    <n v="8077"/>
    <n v="476302"/>
    <m/>
    <s v="455788******3908"/>
    <s v="Nac"/>
    <s v="COM"/>
    <x v="17"/>
    <n v="105"/>
    <x v="0"/>
    <n v="3.03"/>
    <n v="1.35"/>
    <n v="0.24"/>
    <n v="101.73"/>
    <n v="0"/>
    <m/>
    <n v="20260420"/>
    <m/>
    <s v="DEBITO"/>
    <n v="3974527"/>
    <s v="BCP"/>
    <m/>
    <s v="Yape"/>
    <n v="0.60857638888888888"/>
    <s v="XIAOMI SCHELL"/>
  </r>
  <r>
    <n v="1023366"/>
    <s v="VA"/>
    <s v="A"/>
    <n v="46129"/>
    <n v="46129"/>
    <m/>
    <n v="364"/>
    <n v="65656565"/>
    <n v="8080"/>
    <n v="166460"/>
    <m/>
    <s v="455788******1618"/>
    <s v="Nac"/>
    <s v="COM"/>
    <x v="17"/>
    <n v="69"/>
    <x v="0"/>
    <n v="1.99"/>
    <n v="0.89"/>
    <n v="0.16"/>
    <n v="66.849999999999994"/>
    <n v="0"/>
    <m/>
    <n v="20260420"/>
    <m/>
    <s v="DEBITO"/>
    <n v="3974527"/>
    <s v="BCP"/>
    <m/>
    <s v="Yape"/>
    <n v="0.61994212962962958"/>
    <s v="XIAOMI SCHELL"/>
  </r>
  <r>
    <n v="1023366"/>
    <s v="VA"/>
    <s v="A"/>
    <n v="46129"/>
    <n v="46129"/>
    <m/>
    <n v="364"/>
    <s v="PS0005"/>
    <n v="8083"/>
    <n v="403036"/>
    <m/>
    <s v="455103******3177"/>
    <s v="Nac"/>
    <s v="COM"/>
    <x v="17"/>
    <n v="1851.74"/>
    <x v="0"/>
    <n v="53.52"/>
    <n v="23.89"/>
    <n v="4.3"/>
    <n v="1793.92"/>
    <n v="0"/>
    <m/>
    <n v="20260420"/>
    <m/>
    <s v="DEBITO"/>
    <n v="3974527"/>
    <s v="BBVA"/>
    <m/>
    <m/>
    <n v="0.6439583333333333"/>
    <s v="XIAOMI SCHELL"/>
  </r>
  <r>
    <n v="1023366"/>
    <s v="VA"/>
    <s v="A"/>
    <n v="46129"/>
    <n v="46129"/>
    <m/>
    <n v="364"/>
    <s v="PS0005"/>
    <n v="8087"/>
    <n v="152734"/>
    <m/>
    <s v="455696******7917"/>
    <s v="Nac"/>
    <s v="COM"/>
    <x v="17"/>
    <n v="105"/>
    <x v="0"/>
    <n v="3.03"/>
    <n v="0.61"/>
    <n v="0.11"/>
    <n v="101.86"/>
    <n v="0"/>
    <m/>
    <n v="20260420"/>
    <m/>
    <s v="CREDITO"/>
    <n v="3974527"/>
    <s v="IBK PRIVADA"/>
    <m/>
    <m/>
    <n v="0.67730324074074078"/>
    <s v="XIAOMI SCHELL"/>
  </r>
  <r>
    <n v="1023366"/>
    <s v="VA"/>
    <s v="A"/>
    <n v="46129"/>
    <n v="46129"/>
    <m/>
    <n v="364"/>
    <s v="PS0005"/>
    <n v="8092"/>
    <n v="698323"/>
    <m/>
    <s v="491257******0460"/>
    <s v="Nac"/>
    <s v="COM"/>
    <x v="17"/>
    <n v="54.9"/>
    <x v="0"/>
    <n v="1.59"/>
    <n v="0.71"/>
    <n v="0.13"/>
    <n v="53.18"/>
    <n v="0"/>
    <m/>
    <n v="20260420"/>
    <m/>
    <s v="DEBITO"/>
    <n v="3974527"/>
    <s v="BCP"/>
    <m/>
    <m/>
    <n v="0.70523148148148151"/>
    <s v="XIAOMI SCHELL"/>
  </r>
  <r>
    <n v="1023366"/>
    <s v="VA"/>
    <s v="A"/>
    <n v="46129"/>
    <n v="46129"/>
    <m/>
    <n v="364"/>
    <s v="PS0005"/>
    <n v="8094"/>
    <n v="811522"/>
    <n v="3"/>
    <s v="491909******4115"/>
    <s v="Nac"/>
    <s v="COM"/>
    <x v="17"/>
    <n v="1499"/>
    <x v="0"/>
    <n v="69.55"/>
    <n v="11.84"/>
    <n v="2.13"/>
    <n v="1427.32"/>
    <n v="0"/>
    <m/>
    <n v="20260420"/>
    <m/>
    <s v="CREDITO"/>
    <n v="3974527"/>
    <s v="BBVA"/>
    <s v="SI"/>
    <m/>
    <n v="0.73181712962962964"/>
    <s v="XIAOMI SCHELL"/>
  </r>
  <r>
    <n v="1023366"/>
    <s v="VA"/>
    <s v="A"/>
    <n v="46129"/>
    <n v="46129"/>
    <m/>
    <n v="364"/>
    <s v="PS0005"/>
    <n v="8099"/>
    <s v="ZS9XGM"/>
    <m/>
    <s v="432322******3847"/>
    <s v="Ext"/>
    <s v="COM"/>
    <x v="17"/>
    <n v="69"/>
    <x v="0"/>
    <n v="2.69"/>
    <n v="1.94"/>
    <n v="0.35"/>
    <n v="65.959999999999994"/>
    <n v="0"/>
    <m/>
    <n v="20260420"/>
    <m/>
    <s v="DEBITO"/>
    <n v="3974527"/>
    <s v="VISA INT"/>
    <m/>
    <m/>
    <n v="0.75212962962962959"/>
    <s v="XIAOMI SCHELL"/>
  </r>
  <r>
    <n v="1023366"/>
    <s v="VA"/>
    <s v="A"/>
    <n v="46129"/>
    <n v="46129"/>
    <m/>
    <n v="364"/>
    <s v="PS0005"/>
    <n v="8107"/>
    <n v="26333"/>
    <m/>
    <s v="414075******5556"/>
    <s v="Nac"/>
    <s v="COM"/>
    <x v="17"/>
    <n v="89"/>
    <x v="0"/>
    <n v="2.57"/>
    <n v="0.34"/>
    <n v="0.06"/>
    <n v="86.37"/>
    <n v="0"/>
    <m/>
    <n v="20260420"/>
    <m/>
    <s v="CREDITO"/>
    <n v="3974527"/>
    <s v="BBVA"/>
    <m/>
    <m/>
    <n v="0.77006944444444447"/>
    <s v="XIAOMI SCHELL"/>
  </r>
  <r>
    <n v="1023366"/>
    <s v="VA"/>
    <s v="A"/>
    <n v="46129"/>
    <n v="46129"/>
    <m/>
    <n v="364"/>
    <n v="65656565"/>
    <n v="8109"/>
    <n v="600359"/>
    <m/>
    <s v="421355******0711"/>
    <s v="Nac"/>
    <s v="COM"/>
    <x v="17"/>
    <n v="49"/>
    <x v="0"/>
    <n v="1.41"/>
    <n v="0.63"/>
    <n v="0.11"/>
    <n v="47.48"/>
    <n v="0"/>
    <m/>
    <n v="20260420"/>
    <m/>
    <s v="DEBITO"/>
    <n v="3974527"/>
    <s v="IBK PRIVADA"/>
    <m/>
    <s v="IBK Plin"/>
    <n v="0.7724537037037037"/>
    <s v="XIAOMI SCHELL"/>
  </r>
  <r>
    <n v="1023366"/>
    <s v="VA"/>
    <s v="A"/>
    <n v="46129"/>
    <n v="46129"/>
    <m/>
    <n v="364"/>
    <n v="65656565"/>
    <n v="8114"/>
    <n v="90533"/>
    <m/>
    <s v="455170******2529"/>
    <s v="Nac"/>
    <s v="COM"/>
    <x v="17"/>
    <n v="49.9"/>
    <x v="0"/>
    <n v="1.44"/>
    <n v="0.64"/>
    <n v="0.12"/>
    <n v="48.34"/>
    <n v="0"/>
    <m/>
    <n v="20260420"/>
    <m/>
    <s v="DEBITO"/>
    <n v="3974527"/>
    <s v="BBVA"/>
    <m/>
    <s v="BBVA Plin"/>
    <n v="0.78091435185185187"/>
    <s v="XIAOMI SCHELL"/>
  </r>
  <r>
    <n v="1023366"/>
    <s v="VA"/>
    <s v="A"/>
    <n v="46129"/>
    <n v="46129"/>
    <m/>
    <n v="364"/>
    <s v="PS0005"/>
    <n v="8117"/>
    <n v="393163"/>
    <n v="3"/>
    <s v="414791******2864"/>
    <s v="Nac"/>
    <s v="COM"/>
    <x v="17"/>
    <n v="149"/>
    <x v="0"/>
    <n v="6.92"/>
    <n v="0.88"/>
    <n v="0.16"/>
    <n v="141.91999999999999"/>
    <n v="0"/>
    <m/>
    <n v="20260420"/>
    <m/>
    <s v="CREDITO"/>
    <n v="3974527"/>
    <s v="BBVA"/>
    <s v="SI"/>
    <m/>
    <n v="0.83208333333333329"/>
    <s v="XIAOMI SCHELL"/>
  </r>
  <r>
    <n v="1023366"/>
    <s v="VA"/>
    <s v="A"/>
    <n v="46129"/>
    <n v="46129"/>
    <m/>
    <n v="364"/>
    <s v="PS0005"/>
    <n v="8119"/>
    <n v="52272"/>
    <m/>
    <s v="455788******4574"/>
    <s v="Nac"/>
    <s v="COM"/>
    <x v="17"/>
    <n v="54.9"/>
    <x v="0"/>
    <n v="1.59"/>
    <n v="0.71"/>
    <n v="0.13"/>
    <n v="53.18"/>
    <n v="0"/>
    <m/>
    <n v="20260420"/>
    <m/>
    <s v="DEBITO"/>
    <n v="3974527"/>
    <s v="VISA LOC"/>
    <m/>
    <m/>
    <n v="0.83461805555555557"/>
    <s v="XIAOMI SCHELL"/>
  </r>
  <r>
    <n v="1023366"/>
    <s v="VA"/>
    <s v="A"/>
    <n v="46129"/>
    <n v="46129"/>
    <m/>
    <n v="364"/>
    <s v="PS0005"/>
    <n v="8121"/>
    <n v="527807"/>
    <n v="3"/>
    <s v="414075******5436"/>
    <s v="Nac"/>
    <s v="COM"/>
    <x v="17"/>
    <n v="105"/>
    <x v="0"/>
    <n v="4.87"/>
    <n v="0.4"/>
    <n v="7.0000000000000007E-2"/>
    <n v="100.06"/>
    <n v="0"/>
    <m/>
    <n v="20260420"/>
    <m/>
    <s v="CREDITO"/>
    <n v="3974527"/>
    <s v="BBVA"/>
    <s v="SI"/>
    <m/>
    <n v="0.85646990740740736"/>
    <s v="XIAOMI SCHELL"/>
  </r>
  <r>
    <n v="1023366"/>
    <s v="VA"/>
    <s v="A"/>
    <n v="46129"/>
    <n v="46129"/>
    <m/>
    <n v="364"/>
    <s v="PS0005"/>
    <n v="8124"/>
    <n v="579634"/>
    <m/>
    <s v="455103******1864"/>
    <s v="Nac"/>
    <s v="COM"/>
    <x v="17"/>
    <n v="1032"/>
    <x v="0"/>
    <n v="29.82"/>
    <n v="13.31"/>
    <n v="2.4"/>
    <n v="999.78"/>
    <n v="10396.36"/>
    <n v="46132"/>
    <n v="20260420"/>
    <m/>
    <s v="DEBITO"/>
    <n v="3974527"/>
    <s v="BBVA"/>
    <m/>
    <m/>
    <n v="0.86641203703703706"/>
    <s v="XIAOMI SCHELL"/>
  </r>
  <r>
    <n v="1023366"/>
    <s v="MC"/>
    <s v="A"/>
    <n v="46130"/>
    <n v="46130"/>
    <m/>
    <n v="365"/>
    <s v="PS0005"/>
    <n v="8149"/>
    <n v="905487"/>
    <m/>
    <s v="520904******8952"/>
    <s v="Nac"/>
    <s v="COM"/>
    <x v="18"/>
    <n v="99.9"/>
    <x v="0"/>
    <n v="2.89"/>
    <n v="0.59"/>
    <n v="0.11"/>
    <n v="96.9"/>
    <n v="0"/>
    <m/>
    <n v="20260420"/>
    <m/>
    <s v="CREDITO"/>
    <n v="3974527"/>
    <s v="BBVA"/>
    <m/>
    <m/>
    <n v="0.46091435185185187"/>
    <s v="XIAOMI SCHELL"/>
  </r>
  <r>
    <n v="1023366"/>
    <s v="MC"/>
    <s v="A"/>
    <n v="46130"/>
    <n v="46130"/>
    <m/>
    <n v="365"/>
    <s v="PS0005"/>
    <n v="8175"/>
    <n v="185812"/>
    <m/>
    <s v="518868******7921"/>
    <s v="Ext"/>
    <s v="COM"/>
    <x v="18"/>
    <n v="3899"/>
    <x v="0"/>
    <n v="152.06"/>
    <n v="89.68"/>
    <n v="16.14"/>
    <n v="3730.8"/>
    <n v="0"/>
    <m/>
    <n v="20260420"/>
    <m/>
    <s v="DEBITO"/>
    <n v="3974527"/>
    <s v="MCI C. INTER"/>
    <m/>
    <m/>
    <n v="0.58208333333333329"/>
    <s v="XIAOMI SCHELL"/>
  </r>
  <r>
    <n v="1023366"/>
    <s v="MC"/>
    <s v="A"/>
    <n v="46130"/>
    <n v="46130"/>
    <m/>
    <n v="365"/>
    <s v="PS0005"/>
    <n v="8236"/>
    <s v="64FRVX"/>
    <m/>
    <s v="537261******4932"/>
    <s v="Ext"/>
    <s v="COM"/>
    <x v="18"/>
    <n v="189"/>
    <x v="0"/>
    <n v="7.37"/>
    <n v="3.59"/>
    <n v="0.65"/>
    <n v="180.98"/>
    <n v="0"/>
    <m/>
    <n v="20260420"/>
    <m/>
    <s v="DEBITO"/>
    <n v="3974527"/>
    <s v="MCI C. INTER"/>
    <m/>
    <m/>
    <n v="0.78276620370370376"/>
    <s v="XIAOMI SCHELL"/>
  </r>
  <r>
    <n v="1023366"/>
    <s v="MC"/>
    <s v="A"/>
    <n v="46130"/>
    <n v="46130"/>
    <m/>
    <n v="365"/>
    <s v="PS0005"/>
    <n v="8238"/>
    <n v="139775"/>
    <m/>
    <s v="510308******3640"/>
    <s v="Nac"/>
    <s v="COM"/>
    <x v="18"/>
    <n v="35"/>
    <x v="0"/>
    <n v="1.01"/>
    <n v="0.4"/>
    <n v="7.0000000000000007E-2"/>
    <n v="33.92"/>
    <n v="0"/>
    <m/>
    <n v="20260420"/>
    <m/>
    <s v="DEBITO"/>
    <n v="3974527"/>
    <s v="SCOTIA DEBIT"/>
    <m/>
    <m/>
    <n v="0.84370370370370373"/>
    <s v="XIAOMI SCHELL"/>
  </r>
  <r>
    <n v="1023366"/>
    <s v="MC"/>
    <s v="A"/>
    <n v="46130"/>
    <n v="46130"/>
    <m/>
    <n v="365"/>
    <s v="PS0005"/>
    <n v="8242"/>
    <n v="172158"/>
    <m/>
    <s v="545931******0796"/>
    <s v="Nac"/>
    <s v="COM"/>
    <x v="18"/>
    <n v="169.9"/>
    <x v="0"/>
    <n v="4.91"/>
    <n v="0.57999999999999996"/>
    <n v="0.1"/>
    <n v="164.89"/>
    <n v="4207.49"/>
    <n v="46132"/>
    <n v="20260420"/>
    <m/>
    <s v="CREDITO"/>
    <n v="3974527"/>
    <s v="BBVA"/>
    <m/>
    <m/>
    <n v="0.86170138888888892"/>
    <s v="XIAOMI SCHELL"/>
  </r>
  <r>
    <n v="1023366"/>
    <s v="UP"/>
    <s v="A"/>
    <n v="46130"/>
    <n v="46130"/>
    <m/>
    <n v="365"/>
    <s v="PS0005"/>
    <n v="8147"/>
    <n v="855507"/>
    <m/>
    <s v="623573*********7919"/>
    <s v="Ext"/>
    <s v="COM"/>
    <x v="18"/>
    <n v="159"/>
    <x v="0"/>
    <n v="4.5999999999999996"/>
    <n v="2.7"/>
    <n v="0.49"/>
    <n v="153.91"/>
    <n v="0"/>
    <m/>
    <n v="20260420"/>
    <m/>
    <s v="CREDITO"/>
    <n v="3974527"/>
    <s v="CUP INTER"/>
    <m/>
    <m/>
    <n v="0.44709490740740743"/>
    <s v="XIAOMI SCHELL"/>
  </r>
  <r>
    <n v="1023366"/>
    <s v="UP"/>
    <s v="A"/>
    <n v="46130"/>
    <n v="46130"/>
    <m/>
    <n v="365"/>
    <s v="PS0005"/>
    <n v="8189"/>
    <n v="45621"/>
    <m/>
    <s v="623573*********7919"/>
    <s v="Ext"/>
    <s v="COM"/>
    <x v="18"/>
    <n v="159"/>
    <x v="0"/>
    <n v="4.5999999999999996"/>
    <n v="2.7"/>
    <n v="0.49"/>
    <n v="153.91"/>
    <n v="307.82"/>
    <n v="46132"/>
    <n v="20260420"/>
    <m/>
    <s v="CREDITO"/>
    <n v="3974527"/>
    <s v="CUP INTER"/>
    <m/>
    <m/>
    <n v="0.6268055555555555"/>
    <s v="XIAOMI SCHELL"/>
  </r>
  <r>
    <n v="1023366"/>
    <s v="VA"/>
    <s v="A"/>
    <n v="46130"/>
    <n v="46130"/>
    <m/>
    <n v="365"/>
    <s v="PS0005"/>
    <n v="8139"/>
    <n v="6792"/>
    <m/>
    <s v="434925******2628"/>
    <s v="Nac"/>
    <s v="COM"/>
    <x v="18"/>
    <n v="149"/>
    <x v="0"/>
    <n v="4.3099999999999996"/>
    <n v="1.18"/>
    <n v="0.21"/>
    <n v="144.47999999999999"/>
    <n v="0"/>
    <m/>
    <n v="20260420"/>
    <m/>
    <s v="CREDITO"/>
    <n v="3974527"/>
    <s v="BCP"/>
    <m/>
    <m/>
    <n v="0.42689814814814814"/>
    <s v="XIAOMI SCHELL"/>
  </r>
  <r>
    <n v="1023366"/>
    <s v="VA"/>
    <s v="A"/>
    <n v="46130"/>
    <n v="46130"/>
    <m/>
    <n v="365"/>
    <s v="PS0005"/>
    <n v="8141"/>
    <n v="511856"/>
    <m/>
    <s v="455696******8886"/>
    <s v="Nac"/>
    <s v="COM"/>
    <x v="18"/>
    <n v="105"/>
    <x v="0"/>
    <n v="3.03"/>
    <n v="1.35"/>
    <n v="0.24"/>
    <n v="101.73"/>
    <n v="0"/>
    <m/>
    <n v="20260420"/>
    <m/>
    <s v="DEBITO"/>
    <n v="3974527"/>
    <s v="IBK PRIVADA"/>
    <m/>
    <m/>
    <n v="0.42806712962962962"/>
    <s v="XIAOMI SCHELL"/>
  </r>
  <r>
    <n v="1023366"/>
    <s v="VA"/>
    <s v="A"/>
    <n v="46130"/>
    <n v="46130"/>
    <m/>
    <n v="365"/>
    <s v="PS0005"/>
    <n v="8144"/>
    <s v="CI7WLI"/>
    <m/>
    <s v="470458******3335"/>
    <s v="Nac"/>
    <s v="COM"/>
    <x v="18"/>
    <n v="149"/>
    <x v="0"/>
    <n v="4.3099999999999996"/>
    <n v="1.18"/>
    <n v="0.21"/>
    <n v="144.47999999999999"/>
    <n v="0"/>
    <m/>
    <n v="20260420"/>
    <m/>
    <s v="CREDITO"/>
    <n v="3974527"/>
    <s v="BCP"/>
    <m/>
    <m/>
    <n v="0.43384259259259261"/>
    <s v="XIAOMI SCHELL"/>
  </r>
  <r>
    <n v="1023366"/>
    <s v="VA"/>
    <s v="A"/>
    <n v="46130"/>
    <n v="46130"/>
    <m/>
    <n v="365"/>
    <s v="PS0005"/>
    <n v="8151"/>
    <n v="936720"/>
    <n v="3"/>
    <s v="414791******3080"/>
    <s v="Nac"/>
    <s v="COM"/>
    <x v="18"/>
    <n v="149"/>
    <x v="0"/>
    <n v="6.92"/>
    <n v="0.88"/>
    <n v="0.16"/>
    <n v="141.91999999999999"/>
    <n v="0"/>
    <m/>
    <n v="20260420"/>
    <m/>
    <s v="CREDITO"/>
    <n v="3974527"/>
    <s v="BBVA"/>
    <s v="SI"/>
    <m/>
    <n v="0.4667824074074074"/>
    <s v="XIAOMI SCHELL"/>
  </r>
  <r>
    <n v="1023366"/>
    <s v="VA"/>
    <s v="A"/>
    <n v="46130"/>
    <n v="46130"/>
    <m/>
    <n v="365"/>
    <s v="PS0005"/>
    <n v="8153"/>
    <n v="11071"/>
    <n v="3"/>
    <s v="491909******9936"/>
    <s v="Nac"/>
    <s v="COM"/>
    <x v="18"/>
    <n v="144"/>
    <x v="0"/>
    <n v="6.68"/>
    <n v="1.1399999999999999"/>
    <n v="0.21"/>
    <n v="137.11000000000001"/>
    <n v="0"/>
    <m/>
    <n v="20260420"/>
    <m/>
    <s v="CREDITO"/>
    <n v="3974527"/>
    <s v="BBVA"/>
    <s v="SI"/>
    <m/>
    <n v="0.4803587962962963"/>
    <s v="XIAOMI SCHELL"/>
  </r>
  <r>
    <n v="1023366"/>
    <s v="VA"/>
    <s v="A"/>
    <n v="46130"/>
    <n v="46130"/>
    <m/>
    <n v="365"/>
    <s v="PS0005"/>
    <n v="8155"/>
    <n v="538955"/>
    <m/>
    <s v="455788******0001"/>
    <s v="Nac"/>
    <s v="COM"/>
    <x v="18"/>
    <n v="349"/>
    <x v="0"/>
    <n v="10.09"/>
    <n v="4.51"/>
    <n v="0.81"/>
    <n v="338.1"/>
    <n v="0"/>
    <m/>
    <n v="20260420"/>
    <m/>
    <s v="DEBITO"/>
    <n v="3974527"/>
    <s v="BCP"/>
    <m/>
    <m/>
    <n v="0.49"/>
    <s v="XIAOMI SCHELL"/>
  </r>
  <r>
    <n v="1023366"/>
    <s v="VA"/>
    <s v="A"/>
    <n v="46130"/>
    <n v="46130"/>
    <m/>
    <n v="365"/>
    <s v="PS0005"/>
    <n v="8157"/>
    <n v="8791"/>
    <m/>
    <s v="463402******5475"/>
    <s v="Nac"/>
    <s v="COM"/>
    <x v="18"/>
    <n v="109"/>
    <x v="0"/>
    <n v="3.15"/>
    <n v="0.86"/>
    <n v="0.15"/>
    <n v="105.7"/>
    <n v="0"/>
    <m/>
    <n v="20260420"/>
    <m/>
    <s v="CREDITO"/>
    <n v="3974527"/>
    <s v="BCP"/>
    <m/>
    <m/>
    <n v="0.49489583333333331"/>
    <s v="XIAOMI SCHELL"/>
  </r>
  <r>
    <n v="1023366"/>
    <s v="VA"/>
    <s v="A"/>
    <n v="46130"/>
    <n v="46130"/>
    <m/>
    <n v="365"/>
    <s v="PS0005"/>
    <n v="8159"/>
    <n v="871260"/>
    <m/>
    <s v="455788******0361"/>
    <s v="Nac"/>
    <s v="COM"/>
    <x v="18"/>
    <n v="54.9"/>
    <x v="0"/>
    <n v="1.59"/>
    <n v="0.71"/>
    <n v="0.13"/>
    <n v="53.18"/>
    <n v="0"/>
    <m/>
    <n v="20260420"/>
    <m/>
    <s v="DEBITO"/>
    <n v="3974527"/>
    <s v="BCP"/>
    <m/>
    <m/>
    <n v="0.50327546296296299"/>
    <s v="XIAOMI SCHELL"/>
  </r>
  <r>
    <n v="1023366"/>
    <s v="VA"/>
    <s v="A"/>
    <n v="46130"/>
    <n v="46130"/>
    <m/>
    <n v="365"/>
    <s v="PS0005"/>
    <n v="8161"/>
    <n v="44570"/>
    <m/>
    <s v="477766******6607"/>
    <s v="Nac"/>
    <s v="COM"/>
    <x v="18"/>
    <n v="318"/>
    <x v="0"/>
    <n v="9.19"/>
    <n v="4.0999999999999996"/>
    <n v="0.74"/>
    <n v="308.07"/>
    <n v="0"/>
    <m/>
    <n v="20260420"/>
    <m/>
    <s v="DEBITO"/>
    <n v="3974527"/>
    <s v="SCOTIABANK"/>
    <m/>
    <m/>
    <n v="0.50552083333333331"/>
    <s v="XIAOMI SCHELL"/>
  </r>
  <r>
    <n v="1023366"/>
    <s v="VA"/>
    <s v="A"/>
    <n v="46130"/>
    <n v="46130"/>
    <m/>
    <n v="365"/>
    <s v="PS0005"/>
    <n v="8163"/>
    <n v="23351"/>
    <m/>
    <s v="483203******9657"/>
    <s v="Nac"/>
    <s v="COM"/>
    <x v="18"/>
    <n v="49"/>
    <x v="0"/>
    <n v="1.42"/>
    <n v="0.64"/>
    <n v="0.12"/>
    <n v="47.46"/>
    <n v="0"/>
    <m/>
    <n v="20260420"/>
    <m/>
    <s v="DEBITO"/>
    <n v="3974527"/>
    <s v="BCP"/>
    <m/>
    <m/>
    <n v="0.50940972222222225"/>
    <s v="XIAOMI SCHELL"/>
  </r>
  <r>
    <n v="1023366"/>
    <s v="VA"/>
    <s v="A"/>
    <n v="46130"/>
    <n v="46130"/>
    <m/>
    <n v="365"/>
    <s v="PS0005"/>
    <n v="8165"/>
    <n v="7357"/>
    <m/>
    <s v="428076******2381"/>
    <s v="Nac"/>
    <s v="COM"/>
    <x v="18"/>
    <n v="899"/>
    <x v="0"/>
    <n v="25.98"/>
    <n v="3.5"/>
    <n v="0.63"/>
    <n v="872.39"/>
    <n v="0"/>
    <m/>
    <n v="20260420"/>
    <m/>
    <s v="CREDITO"/>
    <n v="3974527"/>
    <s v="BCP"/>
    <m/>
    <m/>
    <n v="0.5208680555555556"/>
    <s v="XIAOMI SCHELL"/>
  </r>
  <r>
    <n v="1023366"/>
    <s v="VA"/>
    <s v="A"/>
    <n v="46130"/>
    <n v="46130"/>
    <m/>
    <n v="365"/>
    <s v="PS0005"/>
    <n v="8170"/>
    <n v="497739"/>
    <m/>
    <s v="438466******7725"/>
    <s v="Nac"/>
    <s v="COM"/>
    <x v="18"/>
    <n v="35"/>
    <x v="0"/>
    <n v="1.01"/>
    <n v="0.45"/>
    <n v="0.08"/>
    <n v="33.909999999999997"/>
    <n v="0"/>
    <m/>
    <n v="20260420"/>
    <m/>
    <s v="DEBITO"/>
    <n v="3974527"/>
    <s v="VISA LOC"/>
    <m/>
    <m/>
    <n v="0.56114583333333334"/>
    <s v="XIAOMI SCHELL"/>
  </r>
  <r>
    <n v="1023366"/>
    <s v="VA"/>
    <s v="A"/>
    <n v="46130"/>
    <n v="46130"/>
    <m/>
    <n v="365"/>
    <s v="PS0005"/>
    <n v="8172"/>
    <n v="525004"/>
    <m/>
    <s v="421355******3121"/>
    <s v="Nac"/>
    <s v="COM"/>
    <x v="18"/>
    <n v="69"/>
    <x v="0"/>
    <n v="1.99"/>
    <n v="0.89"/>
    <n v="0.16"/>
    <n v="66.849999999999994"/>
    <n v="0"/>
    <m/>
    <n v="20260420"/>
    <m/>
    <s v="DEBITO"/>
    <n v="3974527"/>
    <s v="IBK PRIVADA"/>
    <m/>
    <m/>
    <n v="0.57709490740740743"/>
    <s v="XIAOMI SCHELL"/>
  </r>
  <r>
    <n v="1023366"/>
    <s v="VA"/>
    <s v="A"/>
    <n v="46130"/>
    <n v="46130"/>
    <m/>
    <n v="365"/>
    <s v="PS0005"/>
    <n v="8177"/>
    <n v="92329"/>
    <m/>
    <s v="454448******3014"/>
    <s v="Nac"/>
    <s v="COM"/>
    <x v="18"/>
    <n v="288"/>
    <x v="0"/>
    <n v="8.32"/>
    <n v="2.27"/>
    <n v="0.41"/>
    <n v="279.27"/>
    <n v="0"/>
    <m/>
    <n v="20260420"/>
    <m/>
    <s v="CREDITO"/>
    <n v="3974527"/>
    <s v="SCOTIABANK"/>
    <m/>
    <m/>
    <n v="0.58788194444444442"/>
    <s v="XIAOMI SCHELL"/>
  </r>
  <r>
    <n v="1023366"/>
    <s v="VA"/>
    <s v="A"/>
    <n v="46130"/>
    <n v="46130"/>
    <m/>
    <n v="365"/>
    <s v="PS0005"/>
    <n v="8179"/>
    <n v="217901"/>
    <m/>
    <s v="455788******9955"/>
    <s v="Nac"/>
    <s v="COM"/>
    <x v="18"/>
    <n v="35.799999999999997"/>
    <x v="0"/>
    <n v="1.03"/>
    <n v="0.46"/>
    <n v="0.08"/>
    <n v="34.69"/>
    <n v="0"/>
    <m/>
    <n v="20260420"/>
    <m/>
    <s v="DEBITO"/>
    <n v="3974527"/>
    <s v="BCP"/>
    <m/>
    <m/>
    <n v="0.59859953703703705"/>
    <s v="XIAOMI SCHELL"/>
  </r>
  <r>
    <n v="1023366"/>
    <s v="VA"/>
    <s v="A"/>
    <n v="46130"/>
    <n v="46130"/>
    <m/>
    <n v="365"/>
    <s v="PS0005"/>
    <n v="8181"/>
    <n v="280562"/>
    <m/>
    <s v="455788******7797"/>
    <s v="Nac"/>
    <s v="COM"/>
    <x v="18"/>
    <n v="94"/>
    <x v="0"/>
    <n v="2.72"/>
    <n v="1.22"/>
    <n v="0.22"/>
    <n v="91.06"/>
    <n v="0"/>
    <m/>
    <n v="20260420"/>
    <m/>
    <s v="DEBITO"/>
    <n v="3974527"/>
    <s v="BCP"/>
    <m/>
    <m/>
    <n v="0.60221064814814818"/>
    <s v="XIAOMI SCHELL"/>
  </r>
  <r>
    <n v="1023366"/>
    <s v="VA"/>
    <s v="A"/>
    <n v="46130"/>
    <n v="46130"/>
    <m/>
    <n v="365"/>
    <s v="PS0005"/>
    <n v="8183"/>
    <n v="986"/>
    <m/>
    <s v="428082******1223"/>
    <s v="Nac"/>
    <s v="COM"/>
    <x v="18"/>
    <n v="149"/>
    <x v="0"/>
    <n v="4.3099999999999996"/>
    <n v="0.88"/>
    <n v="0.16"/>
    <n v="144.53"/>
    <n v="0"/>
    <m/>
    <n v="20260420"/>
    <m/>
    <s v="CREDITO"/>
    <n v="3974527"/>
    <s v="BCP"/>
    <m/>
    <m/>
    <n v="0.60584490740740737"/>
    <s v="XIAOMI SCHELL"/>
  </r>
  <r>
    <n v="1023366"/>
    <s v="VA"/>
    <s v="A"/>
    <n v="46130"/>
    <n v="46130"/>
    <m/>
    <n v="365"/>
    <n v="65656565"/>
    <n v="8185"/>
    <n v="528002"/>
    <m/>
    <s v="421355******3435"/>
    <s v="Nac"/>
    <s v="COM"/>
    <x v="18"/>
    <n v="34.9"/>
    <x v="0"/>
    <n v="1"/>
    <n v="0.44"/>
    <n v="0.08"/>
    <n v="33.82"/>
    <n v="0"/>
    <m/>
    <n v="20260420"/>
    <m/>
    <s v="DEBITO"/>
    <n v="3974527"/>
    <s v="IBK PRIVADA"/>
    <m/>
    <s v="IBK Plin"/>
    <n v="0.60946759259259264"/>
    <s v="XIAOMI SCHELL"/>
  </r>
  <r>
    <n v="1023366"/>
    <s v="VA"/>
    <s v="A"/>
    <n v="46130"/>
    <n v="46130"/>
    <m/>
    <n v="365"/>
    <s v="PS0005"/>
    <n v="8191"/>
    <n v="8710"/>
    <m/>
    <s v="491606******4106"/>
    <s v="Nac"/>
    <s v="COM"/>
    <x v="18"/>
    <n v="124.9"/>
    <x v="0"/>
    <n v="3.61"/>
    <n v="0.99"/>
    <n v="0.18"/>
    <n v="121.11"/>
    <n v="0"/>
    <m/>
    <n v="20260420"/>
    <m/>
    <s v="CREDITO"/>
    <n v="3974527"/>
    <s v="BIF"/>
    <m/>
    <m/>
    <n v="0.63665509259259256"/>
    <s v="XIAOMI SCHELL"/>
  </r>
  <r>
    <n v="1023366"/>
    <s v="VA"/>
    <s v="A"/>
    <n v="46130"/>
    <n v="46130"/>
    <m/>
    <n v="365"/>
    <s v="PS0005"/>
    <n v="8193"/>
    <n v="336729"/>
    <m/>
    <s v="455788******2790"/>
    <s v="Nac"/>
    <s v="COM"/>
    <x v="18"/>
    <n v="89"/>
    <x v="0"/>
    <n v="2.57"/>
    <n v="1.1499999999999999"/>
    <n v="0.21"/>
    <n v="86.22"/>
    <n v="0"/>
    <m/>
    <n v="20260420"/>
    <m/>
    <s v="DEBITO"/>
    <n v="3974527"/>
    <s v="BCP"/>
    <m/>
    <m/>
    <n v="0.64471064814814816"/>
    <s v="XIAOMI SCHELL"/>
  </r>
  <r>
    <n v="1023366"/>
    <s v="VA"/>
    <s v="A"/>
    <n v="46130"/>
    <n v="46130"/>
    <m/>
    <n v="365"/>
    <s v="PS0005"/>
    <n v="8200"/>
    <n v="63341"/>
    <n v="3"/>
    <s v="414791******4090"/>
    <s v="Nac"/>
    <s v="COM"/>
    <x v="18"/>
    <n v="3447"/>
    <x v="0"/>
    <n v="159.94"/>
    <n v="20.34"/>
    <n v="3.66"/>
    <n v="3283.4"/>
    <n v="0"/>
    <m/>
    <n v="20260420"/>
    <m/>
    <s v="CREDITO"/>
    <n v="3974527"/>
    <s v="BBVA"/>
    <s v="SI"/>
    <m/>
    <n v="0.66189814814814818"/>
    <s v="XIAOMI SCHELL"/>
  </r>
  <r>
    <n v="1023366"/>
    <s v="VA"/>
    <s v="A"/>
    <n v="46130"/>
    <n v="46130"/>
    <m/>
    <n v="365"/>
    <s v="PS0005"/>
    <n v="8204"/>
    <n v="686635"/>
    <m/>
    <s v="451787******6981"/>
    <s v="Nac"/>
    <s v="COM"/>
    <x v="18"/>
    <n v="229"/>
    <x v="0"/>
    <n v="6.62"/>
    <n v="1.81"/>
    <n v="0.33"/>
    <n v="222.05"/>
    <n v="0"/>
    <m/>
    <n v="20260420"/>
    <m/>
    <s v="CREDITO"/>
    <n v="3974527"/>
    <s v="BFALABELLA"/>
    <m/>
    <m/>
    <n v="0.68040509259259263"/>
    <s v="XIAOMI SCHELL"/>
  </r>
  <r>
    <n v="1023366"/>
    <s v="VA"/>
    <s v="A"/>
    <n v="46130"/>
    <n v="46130"/>
    <m/>
    <n v="365"/>
    <s v="PS0005"/>
    <n v="8206"/>
    <n v="105690"/>
    <m/>
    <s v="421410******0211"/>
    <s v="Nac"/>
    <s v="COM"/>
    <x v="18"/>
    <n v="269"/>
    <x v="0"/>
    <n v="7.77"/>
    <n v="3.47"/>
    <n v="0.62"/>
    <n v="260.61"/>
    <n v="0"/>
    <m/>
    <n v="20260420"/>
    <m/>
    <s v="DEBITO"/>
    <n v="3974527"/>
    <s v="NACION"/>
    <m/>
    <m/>
    <n v="0.69641203703703702"/>
    <s v="XIAOMI SCHELL"/>
  </r>
  <r>
    <n v="1023366"/>
    <s v="VA"/>
    <s v="A"/>
    <n v="46130"/>
    <n v="46130"/>
    <m/>
    <n v="365"/>
    <s v="PS0005"/>
    <n v="8209"/>
    <n v="471195"/>
    <m/>
    <s v="438877******6866"/>
    <s v="Nac"/>
    <s v="COM"/>
    <x v="18"/>
    <n v="570"/>
    <x v="0"/>
    <n v="16.47"/>
    <n v="7.35"/>
    <n v="1.32"/>
    <n v="552.21"/>
    <n v="0"/>
    <m/>
    <n v="20260420"/>
    <m/>
    <s v="DEBITO"/>
    <n v="3974527"/>
    <s v="VISA LOC"/>
    <m/>
    <m/>
    <n v="0.72932870370370373"/>
    <s v="XIAOMI SCHELL"/>
  </r>
  <r>
    <n v="1023366"/>
    <s v="VA"/>
    <s v="A"/>
    <n v="46130"/>
    <n v="46130"/>
    <m/>
    <n v="365"/>
    <s v="PS0005"/>
    <n v="8211"/>
    <n v="423182"/>
    <m/>
    <s v="455170******9482"/>
    <s v="Nac"/>
    <s v="COM"/>
    <x v="18"/>
    <n v="69"/>
    <x v="0"/>
    <n v="1.99"/>
    <n v="0.89"/>
    <n v="0.16"/>
    <n v="66.849999999999994"/>
    <n v="0"/>
    <m/>
    <n v="20260420"/>
    <m/>
    <s v="DEBITO"/>
    <n v="3974527"/>
    <s v="BBVA"/>
    <m/>
    <m/>
    <n v="0.73093750000000002"/>
    <s v="XIAOMI SCHELL"/>
  </r>
  <r>
    <n v="1023366"/>
    <s v="VA"/>
    <s v="A"/>
    <n v="46130"/>
    <n v="46130"/>
    <m/>
    <n v="365"/>
    <s v="PS0005"/>
    <n v="8216"/>
    <n v="18052"/>
    <m/>
    <s v="478494******7870"/>
    <s v="Ext"/>
    <s v="COM"/>
    <x v="18"/>
    <n v="2117"/>
    <x v="0"/>
    <n v="82.56"/>
    <n v="43.4"/>
    <n v="7.81"/>
    <n v="2026.63"/>
    <n v="0"/>
    <m/>
    <n v="20260420"/>
    <m/>
    <s v="CREDITO"/>
    <n v="3974527"/>
    <s v="VISA INT"/>
    <m/>
    <m/>
    <n v="0.73819444444444449"/>
    <s v="XIAOMI SCHELL"/>
  </r>
  <r>
    <n v="1023366"/>
    <s v="VA"/>
    <s v="A"/>
    <n v="46130"/>
    <n v="46130"/>
    <m/>
    <n v="365"/>
    <s v="PS0005"/>
    <n v="8218"/>
    <n v="563539"/>
    <m/>
    <s v="444354******5689"/>
    <s v="Nac"/>
    <s v="COM"/>
    <x v="18"/>
    <n v="428"/>
    <x v="0"/>
    <n v="12.37"/>
    <n v="1.67"/>
    <n v="0.3"/>
    <n v="415.33"/>
    <n v="0"/>
    <m/>
    <n v="20260420"/>
    <m/>
    <s v="CREDITO"/>
    <n v="3974527"/>
    <s v="BBVA"/>
    <m/>
    <m/>
    <n v="0.75626157407407413"/>
    <s v="XIAOMI SCHELL"/>
  </r>
  <r>
    <n v="1023366"/>
    <s v="VA"/>
    <s v="A"/>
    <n v="46130"/>
    <n v="46130"/>
    <m/>
    <n v="365"/>
    <s v="PS0005"/>
    <n v="8220"/>
    <n v="650212"/>
    <m/>
    <s v="455788******9697"/>
    <s v="Nac"/>
    <s v="COM"/>
    <x v="18"/>
    <n v="2899"/>
    <x v="0"/>
    <n v="83.78"/>
    <n v="37.4"/>
    <n v="6.73"/>
    <n v="2808.49"/>
    <n v="0"/>
    <m/>
    <n v="20260420"/>
    <m/>
    <s v="DEBITO"/>
    <n v="3974527"/>
    <s v="BCP"/>
    <m/>
    <m/>
    <n v="0.76431712962962961"/>
    <s v="XIAOMI SCHELL"/>
  </r>
  <r>
    <n v="1023366"/>
    <s v="VA"/>
    <s v="A"/>
    <n v="46130"/>
    <n v="46130"/>
    <m/>
    <n v="365"/>
    <s v="PS0005"/>
    <n v="8222"/>
    <n v="126058"/>
    <m/>
    <s v="421410******1294"/>
    <s v="Nac"/>
    <s v="COM"/>
    <x v="18"/>
    <n v="130"/>
    <x v="0"/>
    <n v="3.76"/>
    <n v="1.68"/>
    <n v="0.3"/>
    <n v="125.94"/>
    <n v="0"/>
    <m/>
    <n v="20260420"/>
    <m/>
    <s v="DEBITO"/>
    <n v="3974527"/>
    <s v="NACION"/>
    <m/>
    <m/>
    <n v="0.76960648148148147"/>
    <s v="XIAOMI SCHELL"/>
  </r>
  <r>
    <n v="1023366"/>
    <s v="VA"/>
    <s v="A"/>
    <n v="46130"/>
    <n v="46130"/>
    <m/>
    <n v="365"/>
    <s v="PS0005"/>
    <n v="8226"/>
    <n v="354887"/>
    <m/>
    <s v="455696******0921"/>
    <s v="Nac"/>
    <s v="COM"/>
    <x v="18"/>
    <n v="269"/>
    <x v="0"/>
    <n v="7.77"/>
    <n v="1.04"/>
    <n v="0.19"/>
    <n v="261.04000000000002"/>
    <n v="0"/>
    <m/>
    <n v="20260420"/>
    <m/>
    <s v="CREDITO"/>
    <n v="3974527"/>
    <s v="IBK PRIVADA"/>
    <m/>
    <m/>
    <n v="0.77476851851851847"/>
    <s v="XIAOMI SCHELL"/>
  </r>
  <r>
    <n v="1023366"/>
    <s v="VA"/>
    <s v="A"/>
    <n v="46130"/>
    <n v="46130"/>
    <m/>
    <n v="365"/>
    <n v="65656565"/>
    <n v="8232"/>
    <n v="698578"/>
    <m/>
    <s v="455788******2661"/>
    <s v="Nac"/>
    <s v="COM"/>
    <x v="18"/>
    <n v="49"/>
    <x v="0"/>
    <n v="1.41"/>
    <n v="0.63"/>
    <n v="0.11"/>
    <n v="47.48"/>
    <n v="0"/>
    <m/>
    <n v="20260420"/>
    <m/>
    <s v="DEBITO"/>
    <n v="3974527"/>
    <s v="BCP"/>
    <m/>
    <s v="Yape"/>
    <n v="0.78104166666666663"/>
    <s v="XIAOMI SCHELL"/>
  </r>
  <r>
    <n v="1023366"/>
    <s v="VA"/>
    <s v="A"/>
    <n v="46130"/>
    <n v="46130"/>
    <m/>
    <n v="365"/>
    <s v="PS0005"/>
    <n v="8240"/>
    <n v="780300"/>
    <m/>
    <s v="407876******1142"/>
    <s v="Nac"/>
    <s v="COM"/>
    <x v="18"/>
    <n v="269"/>
    <x v="0"/>
    <n v="7.77"/>
    <n v="1.58"/>
    <n v="0.28000000000000003"/>
    <n v="260.95"/>
    <n v="0"/>
    <m/>
    <n v="20260420"/>
    <m/>
    <s v="CREDITO"/>
    <n v="3974527"/>
    <s v="BFALABELLA"/>
    <m/>
    <m/>
    <n v="0.85457175925925921"/>
    <s v="XIAOMI SCHELL"/>
  </r>
  <r>
    <n v="1023366"/>
    <s v="VA"/>
    <s v="A"/>
    <n v="46130"/>
    <n v="46130"/>
    <m/>
    <n v="365"/>
    <s v="PS0005"/>
    <n v="8244"/>
    <n v="4513"/>
    <m/>
    <s v="428076******3627"/>
    <s v="Nac"/>
    <s v="COM"/>
    <x v="18"/>
    <n v="1899"/>
    <x v="0"/>
    <n v="54.88"/>
    <n v="7.4"/>
    <n v="1.33"/>
    <n v="1842.79"/>
    <n v="0"/>
    <m/>
    <n v="20260420"/>
    <m/>
    <s v="CREDITO"/>
    <n v="3974527"/>
    <s v="BCP"/>
    <m/>
    <m/>
    <n v="0.87048611111111107"/>
    <s v="XIAOMI SCHELL"/>
  </r>
  <r>
    <n v="1023366"/>
    <s v="VA"/>
    <s v="A"/>
    <n v="46130"/>
    <n v="46130"/>
    <m/>
    <n v="365"/>
    <s v="PS0005"/>
    <n v="8246"/>
    <n v="7753"/>
    <m/>
    <s v="428076******3627"/>
    <s v="Nac"/>
    <s v="COM"/>
    <x v="18"/>
    <n v="79"/>
    <x v="0"/>
    <n v="2.2799999999999998"/>
    <n v="0.3"/>
    <n v="0.05"/>
    <n v="76.67"/>
    <n v="0"/>
    <m/>
    <n v="20260420"/>
    <m/>
    <s v="CREDITO"/>
    <n v="3974527"/>
    <s v="BCP"/>
    <m/>
    <m/>
    <n v="0.87390046296296298"/>
    <s v="XIAOMI SCHELL"/>
  </r>
  <r>
    <n v="1023366"/>
    <s v="VA"/>
    <s v="A"/>
    <n v="46130"/>
    <n v="46130"/>
    <m/>
    <n v="365"/>
    <n v="65656565"/>
    <n v="8248"/>
    <n v="296670"/>
    <m/>
    <s v="455103******2879"/>
    <s v="Nac"/>
    <s v="COM"/>
    <x v="18"/>
    <n v="54.5"/>
    <x v="0"/>
    <n v="1.57"/>
    <n v="0.7"/>
    <n v="0.13"/>
    <n v="52.8"/>
    <n v="15589.32"/>
    <n v="46132"/>
    <n v="20260420"/>
    <m/>
    <s v="DEBITO"/>
    <n v="3974527"/>
    <s v="BBVA"/>
    <m/>
    <s v="BBVA Plin"/>
    <n v="0.88667824074074075"/>
    <s v="XIAOMI SCHELL"/>
  </r>
  <r>
    <n v="1023366"/>
    <s v="VK"/>
    <s v="A"/>
    <n v="46130"/>
    <n v="46130"/>
    <m/>
    <n v="365"/>
    <s v="PS0005"/>
    <n v="8213"/>
    <n v="75391"/>
    <m/>
    <s v="404071******4761"/>
    <s v="Nac"/>
    <s v="COM"/>
    <x v="18"/>
    <n v="52.9"/>
    <x v="0"/>
    <n v="1.53"/>
    <n v="0.42"/>
    <n v="0.08"/>
    <n v="51.29"/>
    <n v="51.29"/>
    <n v="46132"/>
    <n v="20260420"/>
    <m/>
    <s v="CREDITO"/>
    <n v="3974527"/>
    <s v="SIP MC"/>
    <m/>
    <m/>
    <n v="0.73208333333333331"/>
    <s v="XIAOMI SCHELL"/>
  </r>
  <r>
    <n v="1023366"/>
    <s v="MC"/>
    <s v="A"/>
    <n v="46131"/>
    <n v="46131"/>
    <m/>
    <n v="366"/>
    <s v="PS0005"/>
    <n v="8269"/>
    <s v="05067Q"/>
    <m/>
    <s v="558962******6013"/>
    <s v="Ext"/>
    <s v="COM"/>
    <x v="19"/>
    <n v="139"/>
    <x v="0"/>
    <n v="5.42"/>
    <n v="2.64"/>
    <n v="0.48"/>
    <n v="133.1"/>
    <n v="0"/>
    <m/>
    <n v="20260420"/>
    <m/>
    <s v="CREDITO"/>
    <n v="3974527"/>
    <s v="MCI C. INTER"/>
    <m/>
    <m/>
    <n v="0.48814814814814816"/>
    <s v="XIAOMI SCHELL"/>
  </r>
  <r>
    <n v="1023366"/>
    <s v="MC"/>
    <s v="A"/>
    <n v="46131"/>
    <n v="46131"/>
    <m/>
    <n v="366"/>
    <s v="PS0005"/>
    <n v="8272"/>
    <s v="NCAE8T"/>
    <m/>
    <s v="516882******3961"/>
    <s v="Ext"/>
    <s v="COM"/>
    <x v="19"/>
    <n v="149"/>
    <x v="0"/>
    <n v="5.81"/>
    <n v="2.86"/>
    <n v="0.51"/>
    <n v="142.68"/>
    <n v="0"/>
    <m/>
    <n v="20260420"/>
    <m/>
    <s v="DEBITO"/>
    <n v="3974527"/>
    <s v="MCI C. INTER"/>
    <m/>
    <m/>
    <n v="0.49876157407407407"/>
    <s v="XIAOMI SCHELL"/>
  </r>
  <r>
    <n v="1023366"/>
    <s v="MC"/>
    <s v="A"/>
    <n v="46131"/>
    <n v="46131"/>
    <m/>
    <n v="366"/>
    <s v="PS0005"/>
    <n v="8305"/>
    <s v="TGBVUI"/>
    <m/>
    <s v="516797******5865"/>
    <s v="Ext"/>
    <s v="COM"/>
    <x v="19"/>
    <n v="34.9"/>
    <x v="0"/>
    <n v="1.36"/>
    <n v="0.67"/>
    <n v="0.12"/>
    <n v="33.42"/>
    <n v="0"/>
    <m/>
    <n v="20260420"/>
    <m/>
    <s v="DEBITO"/>
    <n v="3974527"/>
    <s v="MCI C. INTER"/>
    <m/>
    <m/>
    <n v="0.67049768518518515"/>
    <s v="XIAOMI SCHELL"/>
  </r>
  <r>
    <n v="1023366"/>
    <s v="MC"/>
    <s v="A"/>
    <n v="46131"/>
    <n v="46131"/>
    <m/>
    <n v="366"/>
    <s v="PS0005"/>
    <n v="8327"/>
    <n v="94040"/>
    <m/>
    <s v="511842******0083"/>
    <s v="Nac"/>
    <s v="COM"/>
    <x v="19"/>
    <n v="1598"/>
    <x v="0"/>
    <n v="46.18"/>
    <n v="18.21"/>
    <n v="3.28"/>
    <n v="1548.54"/>
    <n v="0"/>
    <m/>
    <n v="20260420"/>
    <m/>
    <s v="DEBITO"/>
    <n v="3974527"/>
    <s v="SCOTIA DEBIT"/>
    <m/>
    <m/>
    <n v="0.71766203703703701"/>
    <s v="XIAOMI SCHELL"/>
  </r>
  <r>
    <n v="1023366"/>
    <s v="MC"/>
    <s v="A"/>
    <n v="46131"/>
    <n v="46131"/>
    <m/>
    <n v="366"/>
    <s v="PS0005"/>
    <n v="8355"/>
    <s v="R02946"/>
    <n v="12"/>
    <s v="554046******2161"/>
    <s v="Nac"/>
    <s v="COM"/>
    <x v="19"/>
    <n v="1968"/>
    <x v="0"/>
    <n v="56.88"/>
    <n v="11.62"/>
    <n v="2.09"/>
    <n v="1909.03"/>
    <n v="3766.77"/>
    <n v="46132"/>
    <n v="20260420"/>
    <m/>
    <s v="CREDITO"/>
    <n v="3974527"/>
    <s v="SBP"/>
    <s v="NO"/>
    <m/>
    <n v="0.80899305555555556"/>
    <s v="XIAOMI SCHELL"/>
  </r>
  <r>
    <n v="1023366"/>
    <s v="VA"/>
    <s v="A"/>
    <n v="46131"/>
    <n v="46131"/>
    <m/>
    <n v="666"/>
    <s v="PS0003"/>
    <n v="9195"/>
    <s v="DL86QA"/>
    <m/>
    <s v="407971******9771"/>
    <s v="Ext"/>
    <s v="COM"/>
    <x v="19"/>
    <n v="148"/>
    <x v="0"/>
    <n v="5.77"/>
    <n v="2.84"/>
    <n v="0.51"/>
    <n v="141.72"/>
    <n v="0"/>
    <m/>
    <n v="20260420"/>
    <m/>
    <s v="CREDITO"/>
    <s v="FD8B1962"/>
    <s v="VISA INT"/>
    <m/>
    <m/>
    <n v="0.83020833333333333"/>
    <s v="XIAOMI SCHELL"/>
  </r>
  <r>
    <n v="1023366"/>
    <s v="VA"/>
    <s v="A"/>
    <n v="46131"/>
    <n v="46131"/>
    <m/>
    <n v="366"/>
    <s v="PS0005"/>
    <n v="8266"/>
    <n v="241457"/>
    <m/>
    <s v="438877******0716"/>
    <s v="Nac"/>
    <s v="COM"/>
    <x v="19"/>
    <n v="99"/>
    <x v="0"/>
    <n v="2.86"/>
    <n v="1.28"/>
    <n v="0.23"/>
    <n v="95.91"/>
    <n v="0"/>
    <m/>
    <n v="20260420"/>
    <m/>
    <s v="DEBITO"/>
    <n v="3974527"/>
    <s v="VISA LOC"/>
    <m/>
    <m/>
    <n v="0.48131944444444447"/>
    <s v="XIAOMI SCHELL"/>
  </r>
  <r>
    <n v="1023366"/>
    <s v="VA"/>
    <s v="A"/>
    <n v="46131"/>
    <n v="46131"/>
    <m/>
    <n v="366"/>
    <s v="PS0005"/>
    <n v="8276"/>
    <n v="516468"/>
    <m/>
    <s v="455788******5992"/>
    <s v="Nac"/>
    <s v="COM"/>
    <x v="19"/>
    <n v="199"/>
    <x v="0"/>
    <n v="5.75"/>
    <n v="2.57"/>
    <n v="0.46"/>
    <n v="192.79"/>
    <n v="0"/>
    <m/>
    <n v="20260420"/>
    <m/>
    <s v="DEBITO"/>
    <n v="3974527"/>
    <s v="BCP"/>
    <m/>
    <m/>
    <n v="0.54229166666666662"/>
    <s v="XIAOMI SCHELL"/>
  </r>
  <r>
    <n v="1023366"/>
    <s v="VA"/>
    <s v="A"/>
    <n v="46131"/>
    <n v="46131"/>
    <m/>
    <n v="366"/>
    <s v="PS0005"/>
    <n v="8278"/>
    <n v="3958"/>
    <m/>
    <s v="478424******7425"/>
    <s v="Nac"/>
    <s v="COM"/>
    <x v="19"/>
    <n v="1899"/>
    <x v="0"/>
    <n v="54.88"/>
    <n v="15"/>
    <n v="2.7"/>
    <n v="1841.42"/>
    <n v="0"/>
    <m/>
    <n v="20260420"/>
    <m/>
    <s v="CREDITO"/>
    <n v="3974527"/>
    <s v="BCP"/>
    <m/>
    <m/>
    <n v="0.54527777777777775"/>
    <s v="XIAOMI SCHELL"/>
  </r>
  <r>
    <n v="1023366"/>
    <s v="VA"/>
    <s v="A"/>
    <n v="46131"/>
    <n v="46131"/>
    <m/>
    <n v="366"/>
    <s v="PS0005"/>
    <n v="8280"/>
    <n v="6322"/>
    <m/>
    <s v="478424******7425"/>
    <s v="Nac"/>
    <s v="COM"/>
    <x v="19"/>
    <n v="55"/>
    <x v="0"/>
    <n v="1.59"/>
    <n v="0.43"/>
    <n v="0.08"/>
    <n v="53.33"/>
    <n v="0"/>
    <m/>
    <n v="20260420"/>
    <m/>
    <s v="CREDITO"/>
    <n v="3974527"/>
    <s v="BCP"/>
    <m/>
    <m/>
    <n v="0.54780092592592589"/>
    <s v="XIAOMI SCHELL"/>
  </r>
  <r>
    <n v="1023366"/>
    <s v="VA"/>
    <s v="A"/>
    <n v="46131"/>
    <n v="46131"/>
    <m/>
    <n v="366"/>
    <s v="PS0005"/>
    <n v="8282"/>
    <n v="858909"/>
    <m/>
    <s v="454776******4945"/>
    <s v="Nac"/>
    <s v="COM"/>
    <x v="19"/>
    <n v="849"/>
    <x v="0"/>
    <n v="24.54"/>
    <n v="6.71"/>
    <n v="1.21"/>
    <n v="823.25"/>
    <n v="0"/>
    <m/>
    <n v="20260420"/>
    <m/>
    <s v="DEBITO"/>
    <n v="3974527"/>
    <s v="IBK PRIVADA"/>
    <m/>
    <m/>
    <n v="0.55008101851851854"/>
    <s v="XIAOMI SCHELL"/>
  </r>
  <r>
    <n v="1023366"/>
    <s v="VA"/>
    <s v="A"/>
    <n v="46131"/>
    <n v="46131"/>
    <m/>
    <n v="366"/>
    <s v="PS0005"/>
    <n v="8286"/>
    <n v="4106"/>
    <m/>
    <s v="463402******2422"/>
    <s v="Nac"/>
    <s v="COM"/>
    <x v="19"/>
    <n v="99.9"/>
    <x v="0"/>
    <n v="2.89"/>
    <n v="0.79"/>
    <n v="0.14000000000000001"/>
    <n v="96.87"/>
    <n v="0"/>
    <m/>
    <n v="20260420"/>
    <m/>
    <s v="CREDITO"/>
    <n v="3974527"/>
    <s v="BCP"/>
    <m/>
    <m/>
    <n v="0.55576388888888884"/>
    <s v="XIAOMI SCHELL"/>
  </r>
  <r>
    <n v="1023366"/>
    <s v="VA"/>
    <s v="A"/>
    <n v="46131"/>
    <n v="46131"/>
    <m/>
    <n v="366"/>
    <s v="PS0005"/>
    <n v="8289"/>
    <n v="340679"/>
    <m/>
    <s v="435779******3282"/>
    <s v="Nac"/>
    <s v="COM"/>
    <x v="19"/>
    <n v="178"/>
    <x v="0"/>
    <n v="5.14"/>
    <n v="0.69"/>
    <n v="0.12"/>
    <n v="172.74"/>
    <n v="0"/>
    <m/>
    <n v="20260420"/>
    <m/>
    <s v="CREDITO"/>
    <n v="3974527"/>
    <s v="VISA LOC"/>
    <m/>
    <m/>
    <n v="0.56524305555555554"/>
    <s v="XIAOMI SCHELL"/>
  </r>
  <r>
    <n v="1023366"/>
    <s v="VA"/>
    <s v="A"/>
    <n v="46131"/>
    <n v="46131"/>
    <m/>
    <n v="366"/>
    <s v="PS0005"/>
    <n v="8291"/>
    <n v="926642"/>
    <m/>
    <s v="447409******0611"/>
    <s v="Nac"/>
    <s v="COM"/>
    <x v="19"/>
    <n v="149"/>
    <x v="0"/>
    <n v="4.3099999999999996"/>
    <n v="1.18"/>
    <n v="0.21"/>
    <n v="144.47999999999999"/>
    <n v="0"/>
    <m/>
    <n v="20260420"/>
    <m/>
    <s v="CREDITO"/>
    <n v="3974527"/>
    <s v="BFALABELLA"/>
    <m/>
    <m/>
    <n v="0.59662037037037041"/>
    <s v="XIAOMI SCHELL"/>
  </r>
  <r>
    <n v="1023366"/>
    <s v="VA"/>
    <s v="A"/>
    <n v="46131"/>
    <n v="46131"/>
    <m/>
    <n v="366"/>
    <s v="PS0005"/>
    <n v="8294"/>
    <n v="222268"/>
    <m/>
    <s v="438466******4941"/>
    <s v="Nac"/>
    <s v="COM"/>
    <x v="19"/>
    <n v="229"/>
    <x v="0"/>
    <n v="6.62"/>
    <n v="0.89"/>
    <n v="0.16"/>
    <n v="222.22"/>
    <n v="0"/>
    <m/>
    <n v="20260420"/>
    <m/>
    <s v="CREDITO"/>
    <n v="3974527"/>
    <s v="VISA LOC"/>
    <m/>
    <m/>
    <n v="0.60532407407407407"/>
    <s v="XIAOMI SCHELL"/>
  </r>
  <r>
    <n v="1023366"/>
    <s v="VA"/>
    <s v="A"/>
    <n v="46131"/>
    <n v="46131"/>
    <m/>
    <n v="366"/>
    <s v="PS0005"/>
    <n v="8297"/>
    <n v="664628"/>
    <m/>
    <s v="451461******3524"/>
    <s v="Ext"/>
    <s v="COM"/>
    <x v="19"/>
    <n v="199"/>
    <x v="0"/>
    <n v="7.76"/>
    <n v="3.82"/>
    <n v="0.69"/>
    <n v="190.55"/>
    <n v="0"/>
    <m/>
    <n v="20260420"/>
    <m/>
    <s v="CREDITO"/>
    <n v="3974527"/>
    <s v="VISA INT"/>
    <m/>
    <m/>
    <n v="0.60870370370370375"/>
    <s v="XIAOMI SCHELL"/>
  </r>
  <r>
    <n v="1023366"/>
    <s v="VA"/>
    <s v="A"/>
    <n v="46131"/>
    <n v="46131"/>
    <m/>
    <n v="366"/>
    <s v="PS0005"/>
    <n v="8299"/>
    <n v="204562"/>
    <m/>
    <s v="477289******6222"/>
    <s v="Nac"/>
    <s v="COM"/>
    <x v="19"/>
    <n v="164"/>
    <x v="0"/>
    <n v="4.74"/>
    <n v="0.64"/>
    <n v="0.12"/>
    <n v="159.13999999999999"/>
    <n v="0"/>
    <m/>
    <n v="20260420"/>
    <m/>
    <s v="CREDITO"/>
    <n v="3974527"/>
    <s v="IBK PRIVADA"/>
    <m/>
    <m/>
    <n v="0.63931712962962961"/>
    <s v="XIAOMI SCHELL"/>
  </r>
  <r>
    <n v="1023366"/>
    <s v="VA"/>
    <s v="A"/>
    <n v="46131"/>
    <n v="46131"/>
    <m/>
    <n v="366"/>
    <s v="PS0005"/>
    <n v="8301"/>
    <n v="57974"/>
    <m/>
    <s v="455788******2395"/>
    <s v="Nac"/>
    <s v="COM"/>
    <x v="19"/>
    <n v="379"/>
    <x v="0"/>
    <n v="10.95"/>
    <n v="4.8899999999999997"/>
    <n v="0.88"/>
    <n v="367.17"/>
    <n v="0"/>
    <m/>
    <n v="20260420"/>
    <m/>
    <s v="DEBITO"/>
    <n v="3974527"/>
    <s v="BCP"/>
    <m/>
    <m/>
    <n v="0.66144675925925922"/>
    <s v="XIAOMI SCHELL"/>
  </r>
  <r>
    <n v="1023366"/>
    <s v="VA"/>
    <s v="A"/>
    <n v="46131"/>
    <n v="46131"/>
    <m/>
    <n v="366"/>
    <s v="PS0005"/>
    <n v="8303"/>
    <n v="992660"/>
    <m/>
    <s v="421355******0582"/>
    <s v="Nac"/>
    <s v="COM"/>
    <x v="19"/>
    <n v="69"/>
    <x v="0"/>
    <n v="1.99"/>
    <n v="0.89"/>
    <n v="0.16"/>
    <n v="66.849999999999994"/>
    <n v="0"/>
    <m/>
    <n v="20260420"/>
    <m/>
    <s v="DEBITO"/>
    <n v="3974527"/>
    <s v="IBK PRIVADA"/>
    <m/>
    <m/>
    <n v="0.66688657407407403"/>
    <s v="XIAOMI SCHELL"/>
  </r>
  <r>
    <n v="1023366"/>
    <s v="VA"/>
    <s v="A"/>
    <n v="46131"/>
    <n v="46131"/>
    <m/>
    <n v="366"/>
    <n v="65656565"/>
    <n v="8307"/>
    <n v="809862"/>
    <m/>
    <s v="455788******4991"/>
    <s v="Nac"/>
    <s v="COM"/>
    <x v="19"/>
    <n v="269"/>
    <x v="0"/>
    <n v="7.77"/>
    <n v="3.47"/>
    <n v="0.62"/>
    <n v="260.61"/>
    <n v="0"/>
    <m/>
    <n v="20260420"/>
    <m/>
    <s v="DEBITO"/>
    <n v="3974527"/>
    <s v="BCP"/>
    <m/>
    <s v="Yape"/>
    <n v="0.67138888888888892"/>
    <s v="XIAOMI SCHELL"/>
  </r>
  <r>
    <n v="1023366"/>
    <s v="VA"/>
    <s v="A"/>
    <n v="46131"/>
    <n v="46131"/>
    <m/>
    <n v="366"/>
    <s v="PS0005"/>
    <n v="8310"/>
    <n v="30613"/>
    <m/>
    <s v="421355******1036"/>
    <s v="Nac"/>
    <s v="COM"/>
    <x v="19"/>
    <n v="14.9"/>
    <x v="0"/>
    <n v="0.43"/>
    <n v="0.19"/>
    <n v="0.03"/>
    <n v="14.44"/>
    <n v="0"/>
    <m/>
    <n v="20260420"/>
    <m/>
    <s v="DEBITO"/>
    <n v="3974527"/>
    <s v="IBK PRIVADA"/>
    <m/>
    <m/>
    <n v="0.67618055555555556"/>
    <s v="XIAOMI SCHELL"/>
  </r>
  <r>
    <n v="1023366"/>
    <s v="VA"/>
    <s v="A"/>
    <n v="46131"/>
    <n v="46131"/>
    <m/>
    <n v="366"/>
    <s v="PS0005"/>
    <n v="8312"/>
    <n v="855539"/>
    <m/>
    <s v="491257******8407"/>
    <s v="Nac"/>
    <s v="COM"/>
    <x v="19"/>
    <n v="199"/>
    <x v="0"/>
    <n v="5.75"/>
    <n v="2.57"/>
    <n v="0.46"/>
    <n v="192.79"/>
    <n v="0"/>
    <m/>
    <n v="20260420"/>
    <m/>
    <s v="DEBITO"/>
    <n v="3974527"/>
    <s v="BCP"/>
    <m/>
    <m/>
    <n v="0.69268518518518518"/>
    <s v="XIAOMI SCHELL"/>
  </r>
  <r>
    <n v="1023366"/>
    <s v="VA"/>
    <s v="A"/>
    <n v="46131"/>
    <n v="46131"/>
    <m/>
    <n v="366"/>
    <s v="PS0005"/>
    <n v="8314"/>
    <n v="872784"/>
    <m/>
    <s v="483203******0015"/>
    <s v="Nac"/>
    <s v="COM"/>
    <x v="19"/>
    <n v="14.9"/>
    <x v="0"/>
    <n v="0.43"/>
    <n v="0.19"/>
    <n v="0.03"/>
    <n v="14.44"/>
    <n v="0"/>
    <m/>
    <n v="20260420"/>
    <m/>
    <s v="DEBITO"/>
    <n v="3974527"/>
    <s v="BCP"/>
    <m/>
    <m/>
    <n v="0.70082175925925927"/>
    <s v="XIAOMI SCHELL"/>
  </r>
  <r>
    <n v="1023366"/>
    <s v="VA"/>
    <s v="A"/>
    <n v="46131"/>
    <n v="46131"/>
    <m/>
    <n v="366"/>
    <s v="PS0005"/>
    <n v="8316"/>
    <n v="874459"/>
    <m/>
    <s v="455788******3785"/>
    <s v="Nac"/>
    <s v="COM"/>
    <x v="19"/>
    <n v="69"/>
    <x v="0"/>
    <n v="1.99"/>
    <n v="0.89"/>
    <n v="0.16"/>
    <n v="66.849999999999994"/>
    <n v="0"/>
    <m/>
    <n v="20260420"/>
    <m/>
    <s v="DEBITO"/>
    <n v="3974527"/>
    <s v="BCP"/>
    <m/>
    <m/>
    <n v="0.70160879629629624"/>
    <s v="XIAOMI SCHELL"/>
  </r>
  <r>
    <n v="1023366"/>
    <s v="VA"/>
    <s v="A"/>
    <n v="46131"/>
    <n v="46131"/>
    <m/>
    <n v="366"/>
    <s v="PS0005"/>
    <n v="8318"/>
    <n v="615"/>
    <m/>
    <s v="445330******1868"/>
    <s v="Nac"/>
    <s v="COM"/>
    <x v="19"/>
    <n v="299"/>
    <x v="0"/>
    <n v="8.64"/>
    <n v="1.1599999999999999"/>
    <n v="0.21"/>
    <n v="290.14999999999998"/>
    <n v="0"/>
    <m/>
    <n v="20260420"/>
    <m/>
    <s v="CREDITO"/>
    <n v="3974527"/>
    <s v="BCP"/>
    <m/>
    <m/>
    <n v="0.70618055555555559"/>
    <s v="XIAOMI SCHELL"/>
  </r>
  <r>
    <n v="1023366"/>
    <s v="VA"/>
    <s v="A"/>
    <n v="46131"/>
    <n v="46131"/>
    <m/>
    <n v="366"/>
    <s v="PS0005"/>
    <n v="8320"/>
    <n v="162223"/>
    <m/>
    <s v="455788******1042"/>
    <s v="Nac"/>
    <s v="COM"/>
    <x v="19"/>
    <n v="99.9"/>
    <x v="0"/>
    <n v="2.89"/>
    <n v="1.29"/>
    <n v="0.23"/>
    <n v="96.78"/>
    <n v="0"/>
    <m/>
    <n v="20260420"/>
    <m/>
    <s v="DEBITO"/>
    <n v="3974527"/>
    <s v="BCP"/>
    <m/>
    <m/>
    <n v="0.71158564814814818"/>
    <s v="XIAOMI SCHELL"/>
  </r>
  <r>
    <n v="1023366"/>
    <s v="VA"/>
    <s v="A"/>
    <n v="46131"/>
    <n v="46131"/>
    <m/>
    <n v="366"/>
    <s v="PS0005"/>
    <n v="8325"/>
    <n v="986614"/>
    <m/>
    <s v="407876******3265"/>
    <s v="Nac"/>
    <s v="COM"/>
    <x v="19"/>
    <n v="1899"/>
    <x v="0"/>
    <n v="54.88"/>
    <n v="11.2"/>
    <n v="2.02"/>
    <n v="1842.1"/>
    <n v="0"/>
    <m/>
    <n v="20260420"/>
    <m/>
    <s v="CREDITO"/>
    <n v="3974527"/>
    <s v="BFALABELLA"/>
    <m/>
    <m/>
    <n v="0.7155555555555555"/>
    <s v="XIAOMI SCHELL"/>
  </r>
  <r>
    <n v="1023366"/>
    <s v="VA"/>
    <s v="A"/>
    <n v="46131"/>
    <n v="46131"/>
    <m/>
    <n v="366"/>
    <s v="PS0005"/>
    <n v="8329"/>
    <n v="792806"/>
    <m/>
    <s v="455788******2202"/>
    <s v="Nac"/>
    <s v="COM"/>
    <x v="19"/>
    <n v="34.9"/>
    <x v="0"/>
    <n v="1.01"/>
    <n v="0.45"/>
    <n v="0.08"/>
    <n v="33.81"/>
    <n v="0"/>
    <m/>
    <n v="20260420"/>
    <m/>
    <s v="DEBITO"/>
    <n v="3974527"/>
    <s v="BCP"/>
    <m/>
    <m/>
    <n v="0.72209490740740745"/>
    <s v="XIAOMI SCHELL"/>
  </r>
  <r>
    <n v="1023366"/>
    <s v="VA"/>
    <s v="A"/>
    <n v="46131"/>
    <n v="46131"/>
    <m/>
    <n v="366"/>
    <s v="PS0005"/>
    <n v="8331"/>
    <n v="802456"/>
    <m/>
    <s v="444697******0101"/>
    <s v="Nac"/>
    <s v="COM"/>
    <x v="19"/>
    <n v="89"/>
    <x v="0"/>
    <n v="2.57"/>
    <n v="1.1499999999999999"/>
    <n v="0.21"/>
    <n v="86.22"/>
    <n v="0"/>
    <m/>
    <n v="20260420"/>
    <m/>
    <s v="DEBITO"/>
    <n v="3974527"/>
    <s v="BCP"/>
    <m/>
    <m/>
    <n v="0.72630787037037037"/>
    <s v="XIAOMI SCHELL"/>
  </r>
  <r>
    <n v="1023366"/>
    <s v="VA"/>
    <s v="A"/>
    <n v="46131"/>
    <n v="46131"/>
    <m/>
    <n v="366"/>
    <s v="PS0005"/>
    <n v="8333"/>
    <n v="92927"/>
    <m/>
    <s v="491257******3875"/>
    <s v="Nac"/>
    <s v="COM"/>
    <x v="19"/>
    <n v="1099"/>
    <x v="0"/>
    <n v="31.76"/>
    <n v="14.18"/>
    <n v="2.5499999999999998"/>
    <n v="1064.69"/>
    <n v="0"/>
    <m/>
    <n v="20260420"/>
    <m/>
    <s v="DEBITO"/>
    <n v="3974527"/>
    <s v="IBK PRIVADA"/>
    <m/>
    <m/>
    <n v="0.72813657407407406"/>
    <s v="XIAOMI SCHELL"/>
  </r>
  <r>
    <n v="1023366"/>
    <s v="VA"/>
    <s v="A"/>
    <n v="46131"/>
    <n v="46131"/>
    <m/>
    <n v="366"/>
    <s v="PS0005"/>
    <n v="8337"/>
    <n v="837785"/>
    <m/>
    <s v="455788******1352"/>
    <s v="Nac"/>
    <s v="COM"/>
    <x v="19"/>
    <n v="149"/>
    <x v="0"/>
    <n v="4.3099999999999996"/>
    <n v="1.93"/>
    <n v="0.35"/>
    <n v="144.34"/>
    <n v="0"/>
    <m/>
    <n v="20260420"/>
    <m/>
    <s v="DEBITO"/>
    <n v="3974527"/>
    <s v="BCP"/>
    <m/>
    <m/>
    <n v="0.74180555555555561"/>
    <s v="XIAOMI SCHELL"/>
  </r>
  <r>
    <n v="1023366"/>
    <s v="VA"/>
    <s v="A"/>
    <n v="46131"/>
    <n v="46131"/>
    <m/>
    <n v="366"/>
    <s v="PS0005"/>
    <n v="8340"/>
    <n v="811530"/>
    <n v="3"/>
    <s v="438466******1895"/>
    <s v="Nac"/>
    <s v="COM"/>
    <x v="19"/>
    <n v="800"/>
    <x v="0"/>
    <n v="23.12"/>
    <n v="4.72"/>
    <n v="0.85"/>
    <n v="776.03"/>
    <n v="0"/>
    <m/>
    <n v="20260420"/>
    <m/>
    <s v="CREDITO"/>
    <n v="3974527"/>
    <s v="VISA LOC"/>
    <s v="NO"/>
    <m/>
    <n v="0.74449074074074073"/>
    <s v="XIAOMI SCHELL"/>
  </r>
  <r>
    <n v="1023366"/>
    <s v="VA"/>
    <s v="A"/>
    <n v="46131"/>
    <n v="46131"/>
    <m/>
    <n v="366"/>
    <s v="PS0005"/>
    <n v="8342"/>
    <n v="822159"/>
    <m/>
    <s v="455103******4559"/>
    <s v="Nac"/>
    <s v="COM"/>
    <x v="19"/>
    <n v="59"/>
    <x v="0"/>
    <n v="1.71"/>
    <n v="0.77"/>
    <n v="0.14000000000000001"/>
    <n v="57.15"/>
    <n v="0"/>
    <m/>
    <n v="20260420"/>
    <m/>
    <s v="DEBITO"/>
    <n v="3974527"/>
    <s v="BBVA"/>
    <m/>
    <m/>
    <n v="0.74700231481481483"/>
    <s v="XIAOMI SCHELL"/>
  </r>
  <r>
    <n v="1023366"/>
    <s v="VA"/>
    <s v="A"/>
    <n v="46131"/>
    <n v="46131"/>
    <m/>
    <n v="366"/>
    <s v="PS0005"/>
    <n v="8346"/>
    <n v="902675"/>
    <m/>
    <s v="455170******1918"/>
    <s v="Nac"/>
    <s v="COM"/>
    <x v="19"/>
    <n v="149"/>
    <x v="0"/>
    <n v="4.3099999999999996"/>
    <n v="1.93"/>
    <n v="0.35"/>
    <n v="144.34"/>
    <n v="0"/>
    <m/>
    <n v="20260420"/>
    <m/>
    <s v="DEBITO"/>
    <n v="3974527"/>
    <s v="BBVA"/>
    <m/>
    <m/>
    <n v="0.76548611111111109"/>
    <s v="XIAOMI SCHELL"/>
  </r>
  <r>
    <n v="1023366"/>
    <s v="VA"/>
    <s v="A"/>
    <n v="46131"/>
    <n v="46131"/>
    <m/>
    <n v="366"/>
    <s v="PS0005"/>
    <n v="8349"/>
    <n v="758133"/>
    <m/>
    <s v="411513******7257"/>
    <s v="Nac"/>
    <s v="COM"/>
    <x v="19"/>
    <n v="109"/>
    <x v="0"/>
    <n v="3.15"/>
    <n v="1.41"/>
    <n v="0.25"/>
    <n v="105.6"/>
    <n v="0"/>
    <m/>
    <n v="20260420"/>
    <m/>
    <s v="DEBITO"/>
    <n v="3974527"/>
    <s v="VISA LOC"/>
    <m/>
    <m/>
    <n v="0.79565972222222225"/>
    <s v="XIAOMI SCHELL"/>
  </r>
  <r>
    <n v="1023366"/>
    <s v="VA"/>
    <s v="A"/>
    <n v="46131"/>
    <n v="46131"/>
    <m/>
    <n v="366"/>
    <s v="PS0005"/>
    <n v="8351"/>
    <n v="41167"/>
    <n v="2"/>
    <s v="494386******1504"/>
    <s v="Nac"/>
    <s v="COM"/>
    <x v="19"/>
    <n v="65"/>
    <x v="0"/>
    <n v="1.88"/>
    <n v="0.51"/>
    <n v="0.09"/>
    <n v="63.03"/>
    <n v="0"/>
    <m/>
    <n v="20260420"/>
    <m/>
    <s v="CREDITO"/>
    <n v="3974527"/>
    <s v="SCOTIABANK"/>
    <s v="NO"/>
    <m/>
    <n v="0.79929398148148145"/>
    <s v="XIAOMI SCHELL"/>
  </r>
  <r>
    <n v="1023366"/>
    <s v="VA"/>
    <s v="A"/>
    <n v="46131"/>
    <n v="46131"/>
    <m/>
    <n v="366"/>
    <s v="PS0005"/>
    <n v="8353"/>
    <n v="140075"/>
    <n v="5"/>
    <s v="491337******8229"/>
    <s v="Nac"/>
    <s v="COM"/>
    <x v="19"/>
    <n v="1399"/>
    <x v="0"/>
    <n v="40.43"/>
    <n v="11.05"/>
    <n v="1.99"/>
    <n v="1356.58"/>
    <n v="0"/>
    <m/>
    <n v="20260420"/>
    <m/>
    <s v="CREDITO"/>
    <n v="3974527"/>
    <s v="IBK PRIVADA"/>
    <s v="NO"/>
    <m/>
    <n v="0.80129629629629628"/>
    <s v="XIAOMI SCHELL"/>
  </r>
  <r>
    <n v="1023366"/>
    <s v="VA"/>
    <s v="A"/>
    <n v="46131"/>
    <n v="46131"/>
    <m/>
    <n v="366"/>
    <s v="PS0005"/>
    <n v="8357"/>
    <n v="272273"/>
    <m/>
    <s v="454775******1970"/>
    <s v="Nac"/>
    <s v="COM"/>
    <x v="19"/>
    <n v="189"/>
    <x v="0"/>
    <n v="5.46"/>
    <n v="1.49"/>
    <n v="0.27"/>
    <n v="183.27"/>
    <n v="0"/>
    <m/>
    <n v="20260420"/>
    <m/>
    <s v="CREDITO"/>
    <n v="3974527"/>
    <s v="IBK PRIVADA"/>
    <m/>
    <m/>
    <n v="0.81057870370370366"/>
    <s v="XIAOMI SCHELL"/>
  </r>
  <r>
    <n v="1023366"/>
    <s v="VA"/>
    <s v="A"/>
    <n v="46131"/>
    <n v="46131"/>
    <m/>
    <n v="366"/>
    <s v="PS0005"/>
    <n v="8359"/>
    <n v="322463"/>
    <m/>
    <s v="477289******1841"/>
    <s v="Nac"/>
    <s v="COM"/>
    <x v="19"/>
    <n v="49"/>
    <x v="0"/>
    <n v="1.42"/>
    <n v="0.19"/>
    <n v="0.03"/>
    <n v="47.55"/>
    <n v="0"/>
    <m/>
    <n v="20260420"/>
    <m/>
    <s v="CREDITO"/>
    <n v="3974527"/>
    <s v="IBK PRIVADA"/>
    <m/>
    <m/>
    <n v="0.81407407407407406"/>
    <s v="XIAOMI SCHELL"/>
  </r>
  <r>
    <n v="1023366"/>
    <s v="VA"/>
    <s v="A"/>
    <n v="46131"/>
    <n v="46131"/>
    <m/>
    <n v="366"/>
    <s v="PS0005"/>
    <n v="8361"/>
    <n v="143987"/>
    <n v="3"/>
    <s v="414791******7276"/>
    <s v="Nac"/>
    <s v="COM"/>
    <x v="19"/>
    <n v="988"/>
    <x v="0"/>
    <n v="45.84"/>
    <n v="5.83"/>
    <n v="1.05"/>
    <n v="941.11"/>
    <n v="0"/>
    <m/>
    <n v="20260420"/>
    <m/>
    <s v="CREDITO"/>
    <n v="3974527"/>
    <s v="BBVA"/>
    <s v="SI"/>
    <m/>
    <n v="0.81670138888888888"/>
    <s v="XIAOMI SCHELL"/>
  </r>
  <r>
    <n v="1023366"/>
    <s v="VA"/>
    <s v="A"/>
    <n v="46131"/>
    <n v="46131"/>
    <m/>
    <n v="366"/>
    <s v="PS0005"/>
    <n v="8363"/>
    <n v="473769"/>
    <m/>
    <s v="477289******8575"/>
    <s v="Nac"/>
    <s v="COM"/>
    <x v="19"/>
    <n v="118"/>
    <x v="0"/>
    <n v="3.41"/>
    <n v="0.46"/>
    <n v="0.08"/>
    <n v="114.51"/>
    <n v="0"/>
    <m/>
    <n v="20260420"/>
    <m/>
    <s v="CREDITO"/>
    <n v="3974527"/>
    <s v="IBK PRIVADA"/>
    <m/>
    <m/>
    <n v="0.82464120370370375"/>
    <s v="XIAOMI SCHELL"/>
  </r>
  <r>
    <n v="1023366"/>
    <s v="VA"/>
    <s v="A"/>
    <n v="46131"/>
    <n v="46131"/>
    <m/>
    <n v="366"/>
    <s v="PS0005"/>
    <n v="8366"/>
    <s v="FSO8JT"/>
    <m/>
    <s v="429445******2857"/>
    <s v="Ext"/>
    <s v="COM"/>
    <x v="19"/>
    <n v="19.899999999999999"/>
    <x v="0"/>
    <n v="0.78"/>
    <n v="0.39"/>
    <n v="7.0000000000000007E-2"/>
    <n v="19.05"/>
    <n v="12483.88"/>
    <n v="46132"/>
    <n v="20260420"/>
    <m/>
    <s v="DEBITO"/>
    <n v="3974527"/>
    <s v="VISA INT"/>
    <m/>
    <m/>
    <n v="0.83136574074074077"/>
    <s v="XIAOMI SCHELL"/>
  </r>
  <r>
    <n v="1023366"/>
    <s v="VK"/>
    <s v="A"/>
    <n v="46131"/>
    <n v="46131"/>
    <m/>
    <n v="366"/>
    <s v="PS0005"/>
    <n v="8344"/>
    <n v="76762"/>
    <m/>
    <s v="404071******5116"/>
    <s v="Nac"/>
    <s v="COM"/>
    <x v="19"/>
    <n v="1899"/>
    <x v="0"/>
    <n v="54.88"/>
    <n v="15"/>
    <n v="2.7"/>
    <n v="1841.42"/>
    <n v="1841.42"/>
    <n v="46132"/>
    <n v="20260420"/>
    <m/>
    <s v="CREDITO"/>
    <n v="3974527"/>
    <s v="SIP MC"/>
    <m/>
    <m/>
    <n v="0.76206018518518515"/>
    <s v="XIAOMI SCHELL"/>
  </r>
  <r>
    <n v="1023366"/>
    <s v="VA"/>
    <s v="A"/>
    <n v="46132"/>
    <n v="46132"/>
    <m/>
    <n v="667"/>
    <s v="PS0003"/>
    <n v="9200"/>
    <n v="634643"/>
    <m/>
    <s v="455788******0451"/>
    <s v="Nac"/>
    <s v="COM"/>
    <x v="20"/>
    <n v="3999"/>
    <x v="0"/>
    <n v="115.57"/>
    <n v="51.59"/>
    <n v="9.2899999999999991"/>
    <n v="3874.14"/>
    <n v="0"/>
    <m/>
    <n v="20260421"/>
    <m/>
    <s v="DEBITO"/>
    <s v="FD8B1962"/>
    <s v="BCP"/>
    <m/>
    <m/>
    <n v="0.8056712962962963"/>
    <s v="XIAOMI SCHELL"/>
  </r>
  <r>
    <n v="1023366"/>
    <s v="VA"/>
    <s v="A"/>
    <n v="46132"/>
    <n v="46132"/>
    <m/>
    <n v="367"/>
    <s v="PS0005"/>
    <n v="8383"/>
    <n v="101222"/>
    <m/>
    <s v="421355******8349"/>
    <s v="Nac"/>
    <s v="COM"/>
    <x v="20"/>
    <n v="34.9"/>
    <x v="0"/>
    <n v="1.01"/>
    <n v="0.45"/>
    <n v="0.08"/>
    <n v="33.81"/>
    <n v="0"/>
    <m/>
    <n v="20260421"/>
    <m/>
    <s v="DEBITO"/>
    <n v="3974527"/>
    <s v="IBK PRIVADA"/>
    <m/>
    <m/>
    <n v="0.57172453703703707"/>
    <s v="XIAOMI SCHELL"/>
  </r>
  <r>
    <n v="1023366"/>
    <s v="VA"/>
    <s v="A"/>
    <n v="46132"/>
    <n v="46132"/>
    <m/>
    <n v="367"/>
    <n v="65656565"/>
    <n v="8385"/>
    <n v="446047"/>
    <m/>
    <s v="455788******3824"/>
    <s v="Nac"/>
    <s v="COM"/>
    <x v="20"/>
    <n v="34.9"/>
    <x v="0"/>
    <n v="1"/>
    <n v="0.44"/>
    <n v="0.08"/>
    <n v="33.82"/>
    <n v="0"/>
    <m/>
    <n v="20260421"/>
    <m/>
    <s v="DEBITO"/>
    <n v="3974527"/>
    <s v="BCP"/>
    <m/>
    <s v="Yape"/>
    <n v="0.59031250000000002"/>
    <s v="XIAOMI SCHELL"/>
  </r>
  <r>
    <n v="1023366"/>
    <s v="VA"/>
    <s v="A"/>
    <n v="46132"/>
    <n v="46132"/>
    <m/>
    <n v="367"/>
    <s v="PS0005"/>
    <n v="8388"/>
    <n v="241410"/>
    <m/>
    <s v="428597******0676"/>
    <s v="Nac"/>
    <s v="COM"/>
    <x v="20"/>
    <n v="786"/>
    <x v="0"/>
    <n v="22.72"/>
    <n v="6.21"/>
    <n v="1.1200000000000001"/>
    <n v="762.16"/>
    <n v="0"/>
    <m/>
    <n v="20260421"/>
    <m/>
    <s v="DEBITO"/>
    <n v="3974527"/>
    <s v="BBVA"/>
    <m/>
    <m/>
    <n v="0.59707175925925926"/>
    <s v="XIAOMI SCHELL"/>
  </r>
  <r>
    <n v="1023366"/>
    <s v="VA"/>
    <s v="A"/>
    <n v="46132"/>
    <n v="46132"/>
    <m/>
    <n v="367"/>
    <s v="PS0005"/>
    <n v="8392"/>
    <n v="607045"/>
    <n v="2"/>
    <s v="491909******1963"/>
    <s v="Nac"/>
    <s v="COM"/>
    <x v="20"/>
    <n v="199"/>
    <x v="0"/>
    <n v="9.23"/>
    <n v="1.57"/>
    <n v="0.28000000000000003"/>
    <n v="189.49"/>
    <n v="0"/>
    <m/>
    <n v="20260421"/>
    <m/>
    <s v="CREDITO"/>
    <n v="3974527"/>
    <s v="BBVA"/>
    <s v="SI"/>
    <m/>
    <n v="0.67980324074074072"/>
    <s v="XIAOMI SCHELL"/>
  </r>
  <r>
    <n v="1023366"/>
    <s v="VA"/>
    <s v="A"/>
    <n v="46132"/>
    <n v="46132"/>
    <m/>
    <n v="367"/>
    <s v="PS0005"/>
    <n v="8397"/>
    <n v="899399"/>
    <m/>
    <s v="421355******5719"/>
    <s v="Nac"/>
    <s v="COM"/>
    <x v="20"/>
    <n v="139"/>
    <x v="0"/>
    <n v="4.0199999999999996"/>
    <n v="1.8"/>
    <n v="0.32"/>
    <n v="134.66"/>
    <n v="0"/>
    <m/>
    <n v="20260421"/>
    <m/>
    <s v="DEBITO"/>
    <n v="3974527"/>
    <s v="IBK PRIVADA"/>
    <m/>
    <m/>
    <n v="0.71722222222222221"/>
    <s v="XIAOMI SCHELL"/>
  </r>
  <r>
    <n v="1023366"/>
    <s v="VA"/>
    <s v="A"/>
    <n v="46132"/>
    <n v="46132"/>
    <m/>
    <n v="367"/>
    <s v="PS0005"/>
    <n v="8399"/>
    <n v="1610"/>
    <m/>
    <s v="445330******9081"/>
    <s v="Nac"/>
    <s v="COM"/>
    <x v="20"/>
    <n v="327"/>
    <x v="0"/>
    <n v="9.4499999999999993"/>
    <n v="1.27"/>
    <n v="0.23"/>
    <n v="317.32"/>
    <n v="0"/>
    <m/>
    <n v="20260421"/>
    <m/>
    <s v="CREDITO"/>
    <n v="3974527"/>
    <s v="BCP"/>
    <m/>
    <m/>
    <n v="0.72531250000000003"/>
    <s v="XIAOMI SCHELL"/>
  </r>
  <r>
    <n v="1023366"/>
    <s v="VA"/>
    <s v="A"/>
    <n v="46132"/>
    <n v="46132"/>
    <m/>
    <n v="367"/>
    <s v="PS0005"/>
    <n v="8401"/>
    <n v="496742"/>
    <m/>
    <s v="455788******1778"/>
    <s v="Nac"/>
    <s v="COM"/>
    <x v="20"/>
    <n v="189"/>
    <x v="0"/>
    <n v="5.46"/>
    <n v="2.44"/>
    <n v="0.44"/>
    <n v="183.1"/>
    <n v="0"/>
    <m/>
    <n v="20260421"/>
    <m/>
    <s v="DEBITO"/>
    <n v="3974527"/>
    <s v="VISA LOC"/>
    <m/>
    <m/>
    <n v="0.72892361111111115"/>
    <s v="XIAOMI SCHELL"/>
  </r>
  <r>
    <n v="1023366"/>
    <s v="VA"/>
    <s v="A"/>
    <n v="46132"/>
    <n v="46132"/>
    <m/>
    <n v="367"/>
    <s v="PS0005"/>
    <n v="8404"/>
    <n v="505298"/>
    <m/>
    <s v="440355******9582"/>
    <s v="Nac"/>
    <s v="COM"/>
    <x v="20"/>
    <n v="149"/>
    <x v="0"/>
    <n v="4.3099999999999996"/>
    <n v="1.93"/>
    <n v="0.35"/>
    <n v="144.34"/>
    <n v="0"/>
    <m/>
    <n v="20260421"/>
    <m/>
    <s v="DEBITO"/>
    <n v="3974527"/>
    <s v="VISA LOC"/>
    <m/>
    <m/>
    <n v="0.76249999999999996"/>
    <s v="XIAOMI SCHELL"/>
  </r>
  <r>
    <n v="1023366"/>
    <s v="VA"/>
    <s v="A"/>
    <n v="46132"/>
    <n v="46132"/>
    <m/>
    <n v="367"/>
    <s v="PS0005"/>
    <n v="8407"/>
    <n v="610845"/>
    <m/>
    <s v="438877******0192"/>
    <s v="Nac"/>
    <s v="COM"/>
    <x v="20"/>
    <n v="149"/>
    <x v="0"/>
    <n v="4.3099999999999996"/>
    <n v="1.93"/>
    <n v="0.35"/>
    <n v="144.34"/>
    <n v="0"/>
    <m/>
    <n v="20260421"/>
    <m/>
    <s v="DEBITO"/>
    <n v="3974527"/>
    <s v="VISA LOC"/>
    <m/>
    <m/>
    <n v="0.77033564814814814"/>
    <s v="XIAOMI SCHELL"/>
  </r>
  <r>
    <n v="1023366"/>
    <s v="VA"/>
    <s v="A"/>
    <n v="46132"/>
    <n v="46132"/>
    <m/>
    <n v="367"/>
    <s v="PS0005"/>
    <n v="8409"/>
    <n v="366992"/>
    <n v="2"/>
    <s v="447410******9924"/>
    <s v="Nac"/>
    <s v="COM"/>
    <x v="20"/>
    <n v="1748"/>
    <x v="0"/>
    <n v="50.52"/>
    <n v="10.32"/>
    <n v="1.86"/>
    <n v="1695.62"/>
    <n v="0"/>
    <m/>
    <n v="20260421"/>
    <m/>
    <s v="CREDITO"/>
    <n v="3974527"/>
    <s v="BFALABELLA"/>
    <s v="NO"/>
    <m/>
    <n v="0.77266203703703706"/>
    <s v="XIAOMI SCHELL"/>
  </r>
  <r>
    <n v="1023366"/>
    <s v="VA"/>
    <s v="A"/>
    <n v="46132"/>
    <n v="46132"/>
    <m/>
    <n v="367"/>
    <s v="PS0005"/>
    <n v="8411"/>
    <n v="1796"/>
    <m/>
    <s v="428076******4790"/>
    <s v="Nac"/>
    <s v="COM"/>
    <x v="20"/>
    <n v="89"/>
    <x v="0"/>
    <n v="2.57"/>
    <n v="0.34"/>
    <n v="0.06"/>
    <n v="86.37"/>
    <n v="0"/>
    <m/>
    <n v="20260421"/>
    <m/>
    <s v="CREDITO"/>
    <n v="3974527"/>
    <s v="BCP"/>
    <m/>
    <m/>
    <n v="0.77503472222222225"/>
    <s v="XIAOMI SCHELL"/>
  </r>
  <r>
    <n v="1023366"/>
    <s v="VA"/>
    <s v="A"/>
    <n v="46132"/>
    <n v="46132"/>
    <m/>
    <n v="367"/>
    <s v="PS0005"/>
    <n v="8414"/>
    <s v="JA6TEW"/>
    <m/>
    <s v="472955******9155"/>
    <s v="Nac"/>
    <s v="COM"/>
    <x v="20"/>
    <n v="89.9"/>
    <x v="0"/>
    <n v="2.6"/>
    <n v="0.71"/>
    <n v="0.13"/>
    <n v="87.17"/>
    <n v="0"/>
    <m/>
    <n v="20260421"/>
    <m/>
    <s v="CREDITO"/>
    <n v="3974527"/>
    <s v="VISA LOC"/>
    <m/>
    <m/>
    <n v="0.77734953703703702"/>
    <s v="XIAOMI SCHELL"/>
  </r>
  <r>
    <n v="1023366"/>
    <s v="VA"/>
    <s v="A"/>
    <n v="46132"/>
    <n v="46132"/>
    <m/>
    <n v="367"/>
    <s v="PS0005"/>
    <n v="8416"/>
    <n v="122749"/>
    <n v="2"/>
    <s v="491909******3502"/>
    <s v="Nac"/>
    <s v="COM"/>
    <x v="20"/>
    <n v="89.9"/>
    <x v="0"/>
    <n v="4.17"/>
    <n v="0.71"/>
    <n v="0.13"/>
    <n v="85.6"/>
    <n v="0"/>
    <m/>
    <n v="20260421"/>
    <m/>
    <s v="CREDITO"/>
    <n v="3974527"/>
    <s v="BBVA"/>
    <s v="SI"/>
    <m/>
    <n v="0.77878472222222217"/>
    <s v="XIAOMI SCHELL"/>
  </r>
  <r>
    <n v="1023366"/>
    <s v="VA"/>
    <s v="A"/>
    <n v="46132"/>
    <n v="46132"/>
    <m/>
    <n v="367"/>
    <s v="PS0005"/>
    <n v="8418"/>
    <n v="146046"/>
    <m/>
    <s v="444355******3939"/>
    <s v="Nac"/>
    <s v="COM"/>
    <x v="20"/>
    <n v="149"/>
    <x v="0"/>
    <n v="4.3099999999999996"/>
    <n v="0.88"/>
    <n v="0.16"/>
    <n v="144.53"/>
    <n v="0"/>
    <m/>
    <n v="20260421"/>
    <m/>
    <s v="CREDITO"/>
    <n v="3974527"/>
    <s v="BBVA"/>
    <m/>
    <m/>
    <n v="0.7826157407407407"/>
    <s v="XIAOMI SCHELL"/>
  </r>
  <r>
    <n v="1023366"/>
    <s v="VA"/>
    <s v="A"/>
    <n v="46132"/>
    <n v="46132"/>
    <m/>
    <n v="367"/>
    <s v="PS0005"/>
    <n v="8420"/>
    <n v="3160"/>
    <m/>
    <s v="463402******9750"/>
    <s v="Nac"/>
    <s v="COM"/>
    <x v="20"/>
    <n v="177"/>
    <x v="0"/>
    <n v="5.12"/>
    <n v="1.4"/>
    <n v="0.25"/>
    <n v="171.63"/>
    <n v="0"/>
    <m/>
    <n v="20260421"/>
    <m/>
    <s v="CREDITO"/>
    <n v="3974527"/>
    <s v="BCP"/>
    <m/>
    <m/>
    <n v="0.78587962962962965"/>
    <s v="XIAOMI SCHELL"/>
  </r>
  <r>
    <n v="1023366"/>
    <s v="VA"/>
    <s v="A"/>
    <n v="46132"/>
    <n v="46132"/>
    <m/>
    <n v="367"/>
    <s v="PS0005"/>
    <n v="8422"/>
    <n v="930452"/>
    <m/>
    <s v="455788******0832"/>
    <s v="Nac"/>
    <s v="COM"/>
    <x v="20"/>
    <n v="1800"/>
    <x v="0"/>
    <n v="52.02"/>
    <n v="23.22"/>
    <n v="4.18"/>
    <n v="1743.8"/>
    <n v="0"/>
    <m/>
    <n v="20260421"/>
    <m/>
    <s v="DEBITO"/>
    <n v="3974527"/>
    <s v="BCP"/>
    <m/>
    <m/>
    <n v="0.78684027777777776"/>
    <s v="XIAOMI SCHELL"/>
  </r>
  <r>
    <n v="1023366"/>
    <s v="VA"/>
    <s v="A"/>
    <n v="46132"/>
    <n v="46132"/>
    <m/>
    <n v="367"/>
    <s v="PS0005"/>
    <n v="8424"/>
    <n v="707953"/>
    <m/>
    <s v="483203******0895"/>
    <s v="Nac"/>
    <s v="COM"/>
    <x v="20"/>
    <n v="55"/>
    <x v="0"/>
    <n v="1.59"/>
    <n v="0.71"/>
    <n v="0.13"/>
    <n v="53.28"/>
    <n v="0"/>
    <m/>
    <n v="20260421"/>
    <m/>
    <s v="DEBITO"/>
    <n v="3974527"/>
    <s v="BCP"/>
    <m/>
    <m/>
    <n v="0.8034027777777778"/>
    <s v="XIAOMI SCHELL"/>
  </r>
  <r>
    <n v="1023366"/>
    <s v="VA"/>
    <s v="A"/>
    <n v="46132"/>
    <n v="46132"/>
    <m/>
    <n v="367"/>
    <s v="PS0005"/>
    <n v="8428"/>
    <n v="709262"/>
    <m/>
    <s v="455788******0989"/>
    <s v="Nac"/>
    <s v="COM"/>
    <x v="20"/>
    <n v="139"/>
    <x v="0"/>
    <n v="4.0199999999999996"/>
    <n v="1.8"/>
    <n v="0.32"/>
    <n v="134.66"/>
    <n v="0"/>
    <m/>
    <n v="20260421"/>
    <m/>
    <s v="DEBITO"/>
    <n v="3974527"/>
    <s v="BCP"/>
    <m/>
    <m/>
    <n v="0.83089120370370373"/>
    <s v="XIAOMI SCHELL"/>
  </r>
  <r>
    <n v="1023366"/>
    <s v="VA"/>
    <s v="A"/>
    <n v="46132"/>
    <n v="46132"/>
    <m/>
    <n v="367"/>
    <s v="PS0005"/>
    <n v="8430"/>
    <n v="144"/>
    <m/>
    <s v="463401******5915"/>
    <s v="Nac"/>
    <s v="COM"/>
    <x v="20"/>
    <n v="149"/>
    <x v="0"/>
    <n v="4.3099999999999996"/>
    <n v="1.18"/>
    <n v="0.21"/>
    <n v="144.47999999999999"/>
    <n v="0"/>
    <m/>
    <n v="20260421"/>
    <m/>
    <s v="CREDITO"/>
    <n v="3974527"/>
    <s v="BCP"/>
    <m/>
    <m/>
    <n v="0.84056712962962965"/>
    <s v="XIAOMI SCHELL"/>
  </r>
  <r>
    <n v="1023366"/>
    <s v="VA"/>
    <s v="A"/>
    <n v="46132"/>
    <n v="46132"/>
    <m/>
    <n v="367"/>
    <s v="PS0005"/>
    <n v="8432"/>
    <n v="222963"/>
    <m/>
    <s v="455696******9929"/>
    <s v="Nac"/>
    <s v="COM"/>
    <x v="20"/>
    <n v="298"/>
    <x v="0"/>
    <n v="8.61"/>
    <n v="1.76"/>
    <n v="0.32"/>
    <n v="289.07"/>
    <n v="0"/>
    <m/>
    <n v="20260421"/>
    <m/>
    <s v="CREDITO"/>
    <n v="3974527"/>
    <s v="IBK PRIVADA"/>
    <m/>
    <m/>
    <n v="0.84884259259259254"/>
    <s v="XIAOMI SCHELL"/>
  </r>
  <r>
    <n v="1023366"/>
    <s v="VA"/>
    <s v="A"/>
    <n v="46132"/>
    <n v="46132"/>
    <m/>
    <n v="367"/>
    <s v="PS0005"/>
    <n v="8435"/>
    <n v="538161"/>
    <m/>
    <s v="438466******0188"/>
    <s v="Nac"/>
    <s v="COM"/>
    <x v="20"/>
    <n v="89"/>
    <x v="0"/>
    <n v="2.57"/>
    <n v="1.1499999999999999"/>
    <n v="0.21"/>
    <n v="86.22"/>
    <n v="0"/>
    <m/>
    <n v="20260421"/>
    <m/>
    <s v="DEBITO"/>
    <n v="3974527"/>
    <s v="VISA LOC"/>
    <m/>
    <m/>
    <n v="0.85047453703703701"/>
    <s v="XIAOMI SCHELL"/>
  </r>
  <r>
    <n v="1023366"/>
    <s v="VA"/>
    <s v="A"/>
    <n v="46132"/>
    <n v="46132"/>
    <m/>
    <n v="367"/>
    <s v="PS0005"/>
    <n v="8437"/>
    <n v="734"/>
    <m/>
    <s v="445330******0419"/>
    <s v="Nac"/>
    <s v="COM"/>
    <x v="20"/>
    <n v="149"/>
    <x v="0"/>
    <n v="4.3099999999999996"/>
    <n v="0.88"/>
    <n v="0.16"/>
    <n v="144.53"/>
    <n v="10684.14"/>
    <n v="46133"/>
    <n v="20260421"/>
    <m/>
    <s v="CREDITO"/>
    <n v="3974527"/>
    <s v="BCP"/>
    <m/>
    <m/>
    <n v="0.87222222222222223"/>
    <s v="XIAOMI SCHELL"/>
  </r>
  <r>
    <n v="1023366"/>
    <s v="MC"/>
    <s v="A"/>
    <n v="46133"/>
    <n v="46133"/>
    <m/>
    <n v="368"/>
    <s v="PS0005"/>
    <n v="8458"/>
    <n v="105643"/>
    <n v="12"/>
    <s v="545931******0819"/>
    <s v="Nac"/>
    <s v="COM"/>
    <x v="21"/>
    <n v="5999"/>
    <x v="0"/>
    <n v="623.29999999999995"/>
    <n v="20.399999999999999"/>
    <n v="3.67"/>
    <n v="5372.03"/>
    <n v="0"/>
    <m/>
    <n v="20260422"/>
    <m/>
    <s v="CREDITO"/>
    <n v="3974527"/>
    <s v="BBVA"/>
    <s v="SI"/>
    <m/>
    <n v="0.52547453703703706"/>
    <s v="XIAOMI SCHELL"/>
  </r>
  <r>
    <n v="1023366"/>
    <s v="MC"/>
    <s v="A"/>
    <n v="46133"/>
    <n v="46133"/>
    <m/>
    <n v="368"/>
    <s v="PS0005"/>
    <n v="8478"/>
    <n v="557"/>
    <m/>
    <s v="525476******7004"/>
    <s v="Nac"/>
    <s v="COM"/>
    <x v="21"/>
    <n v="1899"/>
    <x v="0"/>
    <n v="54.88"/>
    <n v="21.65"/>
    <n v="3.9"/>
    <n v="1840.22"/>
    <n v="0"/>
    <m/>
    <n v="20260422"/>
    <m/>
    <s v="DEBITO"/>
    <n v="3974527"/>
    <s v="CSDEBIT"/>
    <m/>
    <m/>
    <n v="0.63918981481481485"/>
    <s v="XIAOMI SCHELL"/>
  </r>
  <r>
    <n v="1023366"/>
    <s v="MC"/>
    <s v="A"/>
    <n v="46133"/>
    <n v="46133"/>
    <m/>
    <n v="368"/>
    <s v="PS0005"/>
    <n v="8509"/>
    <n v="337462"/>
    <m/>
    <s v="553650******5256"/>
    <s v="Nac"/>
    <s v="COM"/>
    <x v="21"/>
    <n v="75"/>
    <x v="0"/>
    <n v="2.17"/>
    <n v="0.26"/>
    <n v="0.05"/>
    <n v="72.78"/>
    <n v="7285.03"/>
    <n v="46134"/>
    <n v="20260422"/>
    <m/>
    <s v="CREDITO"/>
    <n v="3974527"/>
    <s v="BBVA"/>
    <m/>
    <m/>
    <n v="0.77847222222222223"/>
    <s v="XIAOMI SCHELL"/>
  </r>
  <r>
    <n v="1023366"/>
    <s v="VA"/>
    <s v="A"/>
    <n v="46133"/>
    <n v="46133"/>
    <m/>
    <n v="368"/>
    <s v="PS0005"/>
    <n v="8452"/>
    <n v="692561"/>
    <m/>
    <s v="455103******7447"/>
    <s v="Nac"/>
    <s v="COM"/>
    <x v="21"/>
    <n v="69"/>
    <x v="0"/>
    <n v="1.99"/>
    <n v="0.89"/>
    <n v="0.16"/>
    <n v="66.849999999999994"/>
    <n v="0"/>
    <m/>
    <n v="20260422"/>
    <m/>
    <s v="DEBITO"/>
    <n v="3974527"/>
    <s v="BBVA"/>
    <m/>
    <m/>
    <n v="0.43564814814814817"/>
    <s v="XIAOMI SCHELL"/>
  </r>
  <r>
    <n v="1023366"/>
    <s v="VA"/>
    <s v="A"/>
    <n v="46133"/>
    <n v="46133"/>
    <m/>
    <n v="368"/>
    <s v="PS0005"/>
    <n v="8454"/>
    <n v="5866"/>
    <m/>
    <s v="463401******7225"/>
    <s v="Nac"/>
    <s v="COM"/>
    <x v="21"/>
    <n v="69"/>
    <x v="0"/>
    <n v="1.99"/>
    <n v="0.54"/>
    <n v="0.1"/>
    <n v="66.91"/>
    <n v="0"/>
    <m/>
    <n v="20260422"/>
    <m/>
    <s v="CREDITO"/>
    <n v="3974527"/>
    <s v="BCP"/>
    <m/>
    <m/>
    <n v="0.46964120370370371"/>
    <s v="XIAOMI SCHELL"/>
  </r>
  <r>
    <n v="1023366"/>
    <s v="VA"/>
    <s v="A"/>
    <n v="46133"/>
    <n v="46133"/>
    <m/>
    <n v="368"/>
    <s v="PS0005"/>
    <n v="8456"/>
    <n v="971054"/>
    <m/>
    <s v="455103******5819"/>
    <s v="Nac"/>
    <s v="COM"/>
    <x v="21"/>
    <n v="149"/>
    <x v="0"/>
    <n v="4.3099999999999996"/>
    <n v="1.93"/>
    <n v="0.35"/>
    <n v="144.34"/>
    <n v="0"/>
    <m/>
    <n v="20260422"/>
    <m/>
    <s v="DEBITO"/>
    <n v="3974527"/>
    <s v="BBVA"/>
    <m/>
    <m/>
    <n v="0.49788194444444445"/>
    <s v="XIAOMI SCHELL"/>
  </r>
  <r>
    <n v="1023366"/>
    <s v="VA"/>
    <s v="A"/>
    <n v="46133"/>
    <n v="46133"/>
    <m/>
    <n v="368"/>
    <s v="PS0005"/>
    <n v="8460"/>
    <n v="8343"/>
    <m/>
    <s v="445330******7466"/>
    <s v="Nac"/>
    <s v="COM"/>
    <x v="21"/>
    <n v="199"/>
    <x v="0"/>
    <n v="5.75"/>
    <n v="0.77"/>
    <n v="0.14000000000000001"/>
    <n v="193.11"/>
    <n v="0"/>
    <m/>
    <n v="20260422"/>
    <m/>
    <s v="CREDITO"/>
    <n v="3974527"/>
    <s v="BCP"/>
    <m/>
    <m/>
    <n v="0.52684027777777775"/>
    <s v="XIAOMI SCHELL"/>
  </r>
  <r>
    <n v="1023366"/>
    <s v="VA"/>
    <s v="A"/>
    <n v="46133"/>
    <n v="46133"/>
    <m/>
    <n v="368"/>
    <s v="PS0005"/>
    <n v="8462"/>
    <n v="646280"/>
    <m/>
    <s v="455788******9603"/>
    <s v="Nac"/>
    <s v="COM"/>
    <x v="21"/>
    <n v="209.9"/>
    <x v="0"/>
    <n v="6.07"/>
    <n v="2.71"/>
    <n v="0.49"/>
    <n v="203.34"/>
    <n v="0"/>
    <m/>
    <n v="20260422"/>
    <m/>
    <s v="DEBITO"/>
    <n v="3974527"/>
    <s v="BCP"/>
    <m/>
    <m/>
    <n v="0.5433217592592593"/>
    <s v="XIAOMI SCHELL"/>
  </r>
  <r>
    <n v="1023366"/>
    <s v="VA"/>
    <s v="A"/>
    <n v="46133"/>
    <n v="46133"/>
    <m/>
    <n v="368"/>
    <s v="PS0005"/>
    <n v="8464"/>
    <n v="649385"/>
    <m/>
    <s v="491257******0970"/>
    <s v="Nac"/>
    <s v="COM"/>
    <x v="21"/>
    <n v="89.9"/>
    <x v="0"/>
    <n v="2.6"/>
    <n v="1.1599999999999999"/>
    <n v="0.21"/>
    <n v="87.09"/>
    <n v="0"/>
    <m/>
    <n v="20260422"/>
    <m/>
    <s v="DEBITO"/>
    <n v="3974527"/>
    <s v="BCP"/>
    <m/>
    <m/>
    <n v="0.5652314814814815"/>
    <s v="XIAOMI SCHELL"/>
  </r>
  <r>
    <n v="1023366"/>
    <s v="VA"/>
    <s v="A"/>
    <n v="46133"/>
    <n v="46133"/>
    <m/>
    <n v="368"/>
    <s v="PS0005"/>
    <n v="8466"/>
    <n v="351943"/>
    <m/>
    <s v="411090******6350"/>
    <s v="Nac"/>
    <s v="COM"/>
    <x v="21"/>
    <n v="39"/>
    <x v="0"/>
    <n v="1.1299999999999999"/>
    <n v="0.23"/>
    <n v="0.04"/>
    <n v="37.83"/>
    <n v="0"/>
    <m/>
    <n v="20260422"/>
    <m/>
    <s v="CREDITO"/>
    <n v="3974527"/>
    <s v="IBK PRIVADA"/>
    <m/>
    <m/>
    <n v="0.5660532407407407"/>
    <s v="XIAOMI SCHELL"/>
  </r>
  <r>
    <n v="1023366"/>
    <s v="VA"/>
    <s v="A"/>
    <n v="46133"/>
    <n v="46133"/>
    <m/>
    <n v="368"/>
    <s v="PS0005"/>
    <n v="8469"/>
    <n v="174902"/>
    <m/>
    <s v="481582******8236"/>
    <s v="Ext"/>
    <s v="COM"/>
    <x v="21"/>
    <n v="1399"/>
    <x v="0"/>
    <n v="54.56"/>
    <n v="39.18"/>
    <n v="7.05"/>
    <n v="1337.39"/>
    <n v="0"/>
    <m/>
    <n v="20260422"/>
    <m/>
    <s v="DEBITO"/>
    <n v="3974527"/>
    <s v="VISA INT"/>
    <m/>
    <m/>
    <n v="0.56968750000000001"/>
    <s v="XIAOMI SCHELL"/>
  </r>
  <r>
    <n v="1023366"/>
    <s v="VA"/>
    <s v="A"/>
    <n v="46133"/>
    <n v="46133"/>
    <m/>
    <n v="368"/>
    <s v="PS0005"/>
    <n v="8471"/>
    <n v="1474"/>
    <m/>
    <s v="451397******8000"/>
    <s v="Nac"/>
    <s v="COM"/>
    <x v="21"/>
    <n v="89.9"/>
    <x v="0"/>
    <n v="2.6"/>
    <n v="0.71"/>
    <n v="0.13"/>
    <n v="87.17"/>
    <n v="0"/>
    <m/>
    <n v="20260422"/>
    <m/>
    <s v="CREDITO"/>
    <n v="3974527"/>
    <s v="BCP"/>
    <m/>
    <m/>
    <n v="0.58689814814814811"/>
    <s v="XIAOMI SCHELL"/>
  </r>
  <r>
    <n v="1023366"/>
    <s v="VA"/>
    <s v="A"/>
    <n v="46133"/>
    <n v="46133"/>
    <m/>
    <n v="368"/>
    <s v="PS0005"/>
    <n v="8473"/>
    <n v="305840"/>
    <n v="3"/>
    <s v="422224******0811"/>
    <s v="Nac"/>
    <s v="COM"/>
    <x v="21"/>
    <n v="733"/>
    <x v="0"/>
    <n v="21.18"/>
    <n v="4.32"/>
    <n v="0.78"/>
    <n v="711.04"/>
    <n v="0"/>
    <m/>
    <n v="20260422"/>
    <m/>
    <s v="CREDITO"/>
    <n v="3974527"/>
    <s v="IBK PRIVADA"/>
    <s v="NO"/>
    <m/>
    <n v="0.60473379629629631"/>
    <s v="XIAOMI SCHELL"/>
  </r>
  <r>
    <n v="1023366"/>
    <s v="VA"/>
    <s v="A"/>
    <n v="46133"/>
    <n v="46133"/>
    <m/>
    <n v="368"/>
    <n v="65656565"/>
    <n v="8480"/>
    <n v="858739"/>
    <m/>
    <s v="455788******4943"/>
    <s v="Nac"/>
    <s v="COM"/>
    <x v="21"/>
    <n v="39"/>
    <x v="0"/>
    <n v="1.1200000000000001"/>
    <n v="0.5"/>
    <n v="0.09"/>
    <n v="37.79"/>
    <n v="0"/>
    <m/>
    <n v="20260422"/>
    <m/>
    <s v="DEBITO"/>
    <n v="3974527"/>
    <s v="BCP"/>
    <m/>
    <s v="Yape"/>
    <n v="0.65415509259259264"/>
    <s v="XIAOMI SCHELL"/>
  </r>
  <r>
    <n v="1023366"/>
    <s v="VA"/>
    <s v="A"/>
    <n v="46133"/>
    <n v="46133"/>
    <m/>
    <n v="368"/>
    <s v="PS0005"/>
    <n v="8483"/>
    <n v="192919"/>
    <m/>
    <s v="455788******8283"/>
    <s v="Nac"/>
    <s v="COM"/>
    <x v="21"/>
    <n v="2499"/>
    <x v="0"/>
    <n v="72.22"/>
    <n v="32.24"/>
    <n v="5.8"/>
    <n v="2420.98"/>
    <n v="0"/>
    <m/>
    <n v="20260422"/>
    <m/>
    <s v="DEBITO"/>
    <n v="3974527"/>
    <s v="VISA LOC"/>
    <m/>
    <m/>
    <n v="0.65983796296296293"/>
    <s v="XIAOMI SCHELL"/>
  </r>
  <r>
    <n v="1023366"/>
    <s v="VA"/>
    <s v="A"/>
    <n v="46133"/>
    <n v="46133"/>
    <m/>
    <n v="368"/>
    <s v="PS0005"/>
    <n v="8485"/>
    <n v="975319"/>
    <m/>
    <s v="455788******9711"/>
    <s v="Nac"/>
    <s v="COM"/>
    <x v="21"/>
    <n v="69"/>
    <x v="0"/>
    <n v="1.99"/>
    <n v="0.89"/>
    <n v="0.16"/>
    <n v="66.849999999999994"/>
    <n v="0"/>
    <m/>
    <n v="20260422"/>
    <m/>
    <s v="DEBITO"/>
    <n v="3974527"/>
    <s v="BCP"/>
    <m/>
    <m/>
    <n v="0.68483796296296295"/>
    <s v="XIAOMI SCHELL"/>
  </r>
  <r>
    <n v="1023366"/>
    <s v="VA"/>
    <s v="A"/>
    <n v="46133"/>
    <n v="46133"/>
    <m/>
    <n v="368"/>
    <s v="PS0005"/>
    <n v="8487"/>
    <n v="662067"/>
    <m/>
    <s v="407876******0831"/>
    <s v="Nac"/>
    <s v="COM"/>
    <x v="21"/>
    <n v="1799"/>
    <x v="0"/>
    <n v="51.99"/>
    <n v="10.61"/>
    <n v="1.91"/>
    <n v="1745.1"/>
    <n v="0"/>
    <m/>
    <n v="20260422"/>
    <m/>
    <s v="CREDITO"/>
    <n v="3974527"/>
    <s v="BFALABELLA"/>
    <m/>
    <m/>
    <n v="0.68652777777777774"/>
    <s v="XIAOMI SCHELL"/>
  </r>
  <r>
    <n v="1023366"/>
    <s v="VA"/>
    <s v="A"/>
    <n v="46133"/>
    <n v="46133"/>
    <m/>
    <n v="368"/>
    <s v="PS0005"/>
    <n v="8489"/>
    <n v="876175"/>
    <m/>
    <s v="444355******5537"/>
    <s v="Nac"/>
    <s v="COM"/>
    <x v="21"/>
    <n v="269"/>
    <x v="0"/>
    <n v="7.77"/>
    <n v="1.58"/>
    <n v="0.28000000000000003"/>
    <n v="260.95"/>
    <n v="0"/>
    <m/>
    <n v="20260422"/>
    <m/>
    <s v="CREDITO"/>
    <n v="3974527"/>
    <s v="BBVA"/>
    <m/>
    <m/>
    <n v="0.68768518518518518"/>
    <s v="XIAOMI SCHELL"/>
  </r>
  <r>
    <n v="1023366"/>
    <s v="VA"/>
    <s v="A"/>
    <n v="46133"/>
    <n v="46133"/>
    <m/>
    <n v="368"/>
    <s v="PS0005"/>
    <n v="8493"/>
    <n v="405579"/>
    <m/>
    <s v="455788******1613"/>
    <s v="Nac"/>
    <s v="COM"/>
    <x v="21"/>
    <n v="55"/>
    <x v="0"/>
    <n v="1.59"/>
    <n v="0.71"/>
    <n v="0.13"/>
    <n v="53.28"/>
    <n v="0"/>
    <m/>
    <n v="20260422"/>
    <m/>
    <s v="DEBITO"/>
    <n v="3974527"/>
    <s v="BCP"/>
    <m/>
    <m/>
    <n v="0.75013888888888891"/>
    <s v="XIAOMI SCHELL"/>
  </r>
  <r>
    <n v="1023366"/>
    <s v="VA"/>
    <s v="A"/>
    <n v="46133"/>
    <n v="46133"/>
    <m/>
    <n v="368"/>
    <s v="PS0005"/>
    <n v="8495"/>
    <n v="123066"/>
    <m/>
    <s v="455788******9273"/>
    <s v="Nac"/>
    <s v="COM"/>
    <x v="21"/>
    <n v="269"/>
    <x v="0"/>
    <n v="7.77"/>
    <n v="3.47"/>
    <n v="0.62"/>
    <n v="260.61"/>
    <n v="0"/>
    <m/>
    <n v="20260422"/>
    <m/>
    <s v="DEBITO"/>
    <n v="3974527"/>
    <s v="BCP"/>
    <m/>
    <m/>
    <n v="0.76306712962962964"/>
    <s v="XIAOMI SCHELL"/>
  </r>
  <r>
    <n v="1023366"/>
    <s v="VA"/>
    <s v="A"/>
    <n v="46133"/>
    <n v="46133"/>
    <m/>
    <n v="368"/>
    <s v="PS0005"/>
    <n v="8497"/>
    <n v="169786"/>
    <m/>
    <s v="492124******9284"/>
    <s v="Nac"/>
    <s v="COM"/>
    <x v="21"/>
    <n v="269"/>
    <x v="0"/>
    <n v="7.77"/>
    <n v="3.47"/>
    <n v="0.62"/>
    <n v="260.61"/>
    <n v="0"/>
    <m/>
    <n v="20260422"/>
    <m/>
    <s v="DEBITO"/>
    <n v="3974527"/>
    <s v="BCP"/>
    <m/>
    <m/>
    <n v="0.76401620370370371"/>
    <s v="XIAOMI SCHELL"/>
  </r>
  <r>
    <n v="1023366"/>
    <s v="VA"/>
    <s v="A"/>
    <n v="46133"/>
    <n v="46133"/>
    <m/>
    <n v="368"/>
    <s v="PS0005"/>
    <n v="8501"/>
    <n v="1574"/>
    <m/>
    <s v="445331******2392"/>
    <s v="Nac"/>
    <s v="COM"/>
    <x v="21"/>
    <n v="189"/>
    <x v="0"/>
    <n v="5.46"/>
    <n v="1.1100000000000001"/>
    <n v="0.2"/>
    <n v="183.34"/>
    <n v="0"/>
    <m/>
    <n v="20260422"/>
    <m/>
    <s v="CREDITO"/>
    <n v="3974527"/>
    <s v="BCP"/>
    <m/>
    <m/>
    <n v="0.77081018518518518"/>
    <s v="XIAOMI SCHELL"/>
  </r>
  <r>
    <n v="1023366"/>
    <s v="VA"/>
    <s v="A"/>
    <n v="46133"/>
    <n v="46133"/>
    <m/>
    <n v="368"/>
    <s v="PS0005"/>
    <n v="8503"/>
    <n v="711778"/>
    <m/>
    <s v="447410******4288"/>
    <s v="Nac"/>
    <s v="COM"/>
    <x v="21"/>
    <n v="60"/>
    <x v="0"/>
    <n v="1.73"/>
    <n v="0.35"/>
    <n v="0.06"/>
    <n v="58.21"/>
    <n v="0"/>
    <m/>
    <n v="20260422"/>
    <m/>
    <s v="CREDITO"/>
    <n v="3974527"/>
    <s v="BFALABELLA"/>
    <m/>
    <m/>
    <n v="0.77282407407407405"/>
    <s v="XIAOMI SCHELL"/>
  </r>
  <r>
    <n v="1023366"/>
    <s v="VA"/>
    <s v="A"/>
    <n v="46133"/>
    <n v="46133"/>
    <m/>
    <n v="368"/>
    <s v="PS0005"/>
    <n v="8505"/>
    <n v="364849"/>
    <m/>
    <s v="455696******8833"/>
    <s v="Nac"/>
    <s v="COM"/>
    <x v="21"/>
    <n v="269"/>
    <x v="0"/>
    <n v="7.77"/>
    <n v="1.58"/>
    <n v="0.28000000000000003"/>
    <n v="260.95"/>
    <n v="0"/>
    <m/>
    <n v="20260422"/>
    <m/>
    <s v="CREDITO"/>
    <n v="3974527"/>
    <s v="IBK PRIVADA"/>
    <m/>
    <m/>
    <n v="0.77546296296296291"/>
    <s v="XIAOMI SCHELL"/>
  </r>
  <r>
    <n v="1023366"/>
    <s v="VA"/>
    <s v="A"/>
    <n v="46133"/>
    <n v="46133"/>
    <m/>
    <n v="368"/>
    <s v="PS0005"/>
    <n v="8507"/>
    <n v="829687"/>
    <m/>
    <s v="421355******7179"/>
    <s v="Nac"/>
    <s v="COM"/>
    <x v="21"/>
    <n v="26"/>
    <x v="0"/>
    <n v="0.75"/>
    <n v="0.33"/>
    <n v="0.06"/>
    <n v="25.19"/>
    <n v="0"/>
    <m/>
    <n v="20260422"/>
    <m/>
    <s v="DEBITO"/>
    <n v="3974527"/>
    <s v="IBK PRIVADA"/>
    <m/>
    <m/>
    <n v="0.77631944444444445"/>
    <s v="XIAOMI SCHELL"/>
  </r>
  <r>
    <n v="1023366"/>
    <s v="VA"/>
    <s v="A"/>
    <n v="46133"/>
    <n v="46133"/>
    <m/>
    <n v="368"/>
    <s v="PS0005"/>
    <n v="8511"/>
    <n v="4238"/>
    <n v="4"/>
    <s v="445330******7998"/>
    <s v="Nac"/>
    <s v="COM"/>
    <x v="21"/>
    <n v="1899"/>
    <x v="0"/>
    <n v="54.88"/>
    <n v="15"/>
    <n v="2.7"/>
    <n v="1841.42"/>
    <n v="0"/>
    <m/>
    <n v="20260422"/>
    <m/>
    <s v="CREDITO"/>
    <n v="3974527"/>
    <s v="BCP"/>
    <s v="NO"/>
    <m/>
    <n v="0.79186342592592596"/>
    <s v="XIAOMI SCHELL"/>
  </r>
  <r>
    <n v="1023366"/>
    <s v="VA"/>
    <s v="A"/>
    <n v="46133"/>
    <n v="46133"/>
    <m/>
    <n v="368"/>
    <s v="PS0005"/>
    <n v="8513"/>
    <n v="556193"/>
    <m/>
    <s v="421355******2897"/>
    <s v="Nac"/>
    <s v="COM"/>
    <x v="21"/>
    <n v="75"/>
    <x v="0"/>
    <n v="2.17"/>
    <n v="0.97"/>
    <n v="0.17"/>
    <n v="72.66"/>
    <n v="0"/>
    <m/>
    <n v="20260422"/>
    <m/>
    <s v="DEBITO"/>
    <n v="3974527"/>
    <s v="IBK PRIVADA"/>
    <m/>
    <m/>
    <n v="0.79969907407407403"/>
    <s v="XIAOMI SCHELL"/>
  </r>
  <r>
    <n v="1023366"/>
    <s v="VA"/>
    <s v="A"/>
    <n v="46133"/>
    <n v="46133"/>
    <m/>
    <n v="368"/>
    <s v="PS0005"/>
    <n v="8515"/>
    <n v="975"/>
    <m/>
    <s v="463402******0752"/>
    <s v="Nac"/>
    <s v="COM"/>
    <x v="21"/>
    <n v="249"/>
    <x v="0"/>
    <n v="7.2"/>
    <n v="1.97"/>
    <n v="0.35"/>
    <n v="241.45"/>
    <n v="0"/>
    <m/>
    <n v="20260422"/>
    <m/>
    <s v="CREDITO"/>
    <n v="3974527"/>
    <s v="BCP"/>
    <m/>
    <m/>
    <n v="0.81656249999999997"/>
    <s v="XIAOMI SCHELL"/>
  </r>
  <r>
    <n v="1023366"/>
    <s v="VA"/>
    <s v="A"/>
    <n v="46133"/>
    <n v="46133"/>
    <m/>
    <n v="368"/>
    <s v="PS0005"/>
    <n v="8517"/>
    <n v="88838"/>
    <m/>
    <s v="400917******8860"/>
    <s v="Nac"/>
    <s v="COM"/>
    <x v="21"/>
    <n v="89"/>
    <x v="0"/>
    <n v="2.57"/>
    <n v="0.34"/>
    <n v="0.06"/>
    <n v="86.37"/>
    <n v="0"/>
    <m/>
    <n v="20260422"/>
    <m/>
    <s v="CREDITO"/>
    <n v="3974527"/>
    <s v="SCOTIABANK"/>
    <m/>
    <m/>
    <n v="0.85923611111111109"/>
    <s v="XIAOMI SCHELL"/>
  </r>
  <r>
    <n v="1023366"/>
    <s v="VA"/>
    <s v="A"/>
    <n v="46133"/>
    <n v="46133"/>
    <m/>
    <n v="368"/>
    <s v="PS0005"/>
    <n v="8519"/>
    <n v="788551"/>
    <m/>
    <s v="444355******7398"/>
    <s v="Nac"/>
    <s v="COM"/>
    <x v="21"/>
    <n v="99"/>
    <x v="0"/>
    <n v="2.86"/>
    <n v="0.57999999999999996"/>
    <n v="0.1"/>
    <n v="96.04"/>
    <n v="0"/>
    <m/>
    <n v="20260422"/>
    <m/>
    <s v="CREDITO"/>
    <n v="3974527"/>
    <s v="BBVA"/>
    <m/>
    <m/>
    <n v="0.86196759259259259"/>
    <s v="XIAOMI SCHELL"/>
  </r>
  <r>
    <n v="1023366"/>
    <s v="VA"/>
    <s v="A"/>
    <n v="46133"/>
    <n v="46133"/>
    <m/>
    <n v="368"/>
    <s v="PS0005"/>
    <n v="8521"/>
    <n v="47384"/>
    <m/>
    <s v="444697******0086"/>
    <s v="Nac"/>
    <s v="COM"/>
    <x v="21"/>
    <n v="19.899999999999999"/>
    <x v="0"/>
    <n v="0.57999999999999996"/>
    <n v="0.26"/>
    <n v="0.05"/>
    <n v="19.27"/>
    <n v="10926.14"/>
    <n v="46134"/>
    <n v="20260422"/>
    <m/>
    <s v="DEBITO"/>
    <n v="3974527"/>
    <s v="BCP"/>
    <m/>
    <m/>
    <n v="0.86958333333333337"/>
    <s v="XIAOMI SCHELL"/>
  </r>
  <r>
    <n v="1023366"/>
    <s v="VK"/>
    <s v="A"/>
    <n v="46133"/>
    <n v="46133"/>
    <m/>
    <n v="368"/>
    <s v="PS0005"/>
    <n v="8499"/>
    <n v="81739"/>
    <m/>
    <s v="404071******0775"/>
    <s v="Nac"/>
    <s v="COM"/>
    <x v="21"/>
    <n v="298"/>
    <x v="0"/>
    <n v="8.61"/>
    <n v="2.35"/>
    <n v="0.42"/>
    <n v="288.97000000000003"/>
    <n v="288.97000000000003"/>
    <n v="46134"/>
    <n v="20260422"/>
    <m/>
    <s v="CREDITO"/>
    <n v="3974527"/>
    <s v="SIP MC"/>
    <m/>
    <m/>
    <n v="0.76967592592592593"/>
    <s v="XIAOMI SCHELL"/>
  </r>
  <r>
    <n v="1023366"/>
    <s v="MC"/>
    <s v="A"/>
    <n v="46134"/>
    <n v="46134"/>
    <m/>
    <n v="369"/>
    <s v="PS0005"/>
    <n v="8590"/>
    <n v="169070"/>
    <n v="4"/>
    <s v="525435******4597"/>
    <s v="Nac"/>
    <s v="COM"/>
    <x v="22"/>
    <n v="908"/>
    <x v="0"/>
    <n v="26.24"/>
    <n v="7.17"/>
    <n v="1.29"/>
    <n v="880.47"/>
    <n v="880.47"/>
    <n v="46135"/>
    <n v="20260423"/>
    <m/>
    <s v="CREDITO"/>
    <n v="3974527"/>
    <s v="BRIPLEY"/>
    <s v="NO"/>
    <m/>
    <n v="0.80188657407407404"/>
    <s v="XIAOMI SCHELL"/>
  </r>
  <r>
    <n v="1023366"/>
    <s v="VA"/>
    <s v="A"/>
    <n v="46134"/>
    <n v="46134"/>
    <m/>
    <n v="369"/>
    <s v="PS0005"/>
    <n v="8536"/>
    <n v="896083"/>
    <m/>
    <s v="455170******2342"/>
    <s v="Nac"/>
    <s v="COM"/>
    <x v="22"/>
    <n v="1365"/>
    <x v="0"/>
    <n v="39.450000000000003"/>
    <n v="17.61"/>
    <n v="3.17"/>
    <n v="1322.38"/>
    <n v="0"/>
    <m/>
    <n v="20260423"/>
    <m/>
    <s v="DEBITO"/>
    <n v="3974527"/>
    <s v="BBVA"/>
    <m/>
    <m/>
    <n v="0.4448611111111111"/>
    <s v="XIAOMI SCHELL"/>
  </r>
  <r>
    <n v="1023366"/>
    <s v="VA"/>
    <s v="A"/>
    <n v="46134"/>
    <n v="46134"/>
    <m/>
    <n v="369"/>
    <s v="PS0005"/>
    <n v="8538"/>
    <n v="988158"/>
    <m/>
    <s v="455788******9459"/>
    <s v="Nac"/>
    <s v="COM"/>
    <x v="22"/>
    <n v="1107"/>
    <x v="0"/>
    <n v="31.99"/>
    <n v="14.28"/>
    <n v="2.57"/>
    <n v="1072.44"/>
    <n v="0"/>
    <m/>
    <n v="20260423"/>
    <m/>
    <s v="DEBITO"/>
    <n v="3974527"/>
    <s v="VISA LOC"/>
    <m/>
    <m/>
    <n v="0.45008101851851851"/>
    <s v="XIAOMI SCHELL"/>
  </r>
  <r>
    <n v="1023366"/>
    <s v="VA"/>
    <s v="A"/>
    <n v="46134"/>
    <n v="46134"/>
    <m/>
    <n v="369"/>
    <s v="PS0005"/>
    <n v="8541"/>
    <n v="428928"/>
    <m/>
    <s v="455788******3753"/>
    <s v="Nac"/>
    <s v="COM"/>
    <x v="22"/>
    <n v="124"/>
    <x v="0"/>
    <n v="3.58"/>
    <n v="1.6"/>
    <n v="0.28999999999999998"/>
    <n v="120.13"/>
    <n v="0"/>
    <m/>
    <n v="20260423"/>
    <m/>
    <s v="DEBITO"/>
    <n v="3974527"/>
    <s v="VISA LOC"/>
    <m/>
    <m/>
    <n v="0.51606481481481481"/>
    <s v="XIAOMI SCHELL"/>
  </r>
  <r>
    <n v="1023366"/>
    <s v="VA"/>
    <s v="A"/>
    <n v="46134"/>
    <n v="46134"/>
    <m/>
    <n v="369"/>
    <s v="PS0005"/>
    <n v="8543"/>
    <n v="268378"/>
    <m/>
    <s v="491914******8988"/>
    <s v="Nac"/>
    <s v="COM"/>
    <x v="22"/>
    <n v="69"/>
    <x v="0"/>
    <n v="1.99"/>
    <n v="0.4"/>
    <n v="7.0000000000000007E-2"/>
    <n v="66.94"/>
    <n v="0"/>
    <m/>
    <n v="20260423"/>
    <m/>
    <s v="CREDITO"/>
    <n v="3974527"/>
    <s v="BBVA"/>
    <m/>
    <m/>
    <n v="0.52688657407407402"/>
    <s v="XIAOMI SCHELL"/>
  </r>
  <r>
    <n v="1023366"/>
    <s v="VA"/>
    <s v="A"/>
    <n v="46134"/>
    <n v="46134"/>
    <m/>
    <n v="369"/>
    <s v="PS0005"/>
    <n v="8545"/>
    <n v="171976"/>
    <m/>
    <s v="491246******5421"/>
    <s v="Nac"/>
    <s v="COM"/>
    <x v="22"/>
    <n v="767"/>
    <x v="0"/>
    <n v="22.17"/>
    <n v="6.06"/>
    <n v="1.0900000000000001"/>
    <n v="743.74"/>
    <n v="0"/>
    <m/>
    <n v="20260423"/>
    <m/>
    <s v="DEBITO"/>
    <n v="3974527"/>
    <s v="BCP"/>
    <m/>
    <m/>
    <n v="0.5307291666666667"/>
    <s v="XIAOMI SCHELL"/>
  </r>
  <r>
    <n v="1023366"/>
    <s v="VA"/>
    <s v="A"/>
    <n v="46134"/>
    <n v="46134"/>
    <m/>
    <n v="369"/>
    <s v="PS0005"/>
    <n v="8547"/>
    <n v="321808"/>
    <m/>
    <s v="455103******7445"/>
    <s v="Nac"/>
    <s v="COM"/>
    <x v="22"/>
    <n v="229"/>
    <x v="0"/>
    <n v="6.62"/>
    <n v="2.96"/>
    <n v="0.53"/>
    <n v="221.85"/>
    <n v="0"/>
    <m/>
    <n v="20260423"/>
    <m/>
    <s v="DEBITO"/>
    <n v="3974527"/>
    <s v="BBVA"/>
    <m/>
    <m/>
    <n v="0.53744212962962967"/>
    <s v="XIAOMI SCHELL"/>
  </r>
  <r>
    <n v="1023366"/>
    <s v="VA"/>
    <s v="A"/>
    <n v="46134"/>
    <n v="46134"/>
    <m/>
    <n v="369"/>
    <s v="PS0005"/>
    <n v="8549"/>
    <n v="929290"/>
    <m/>
    <s v="447410******3821"/>
    <s v="Nac"/>
    <s v="COM"/>
    <x v="22"/>
    <n v="189"/>
    <x v="0"/>
    <n v="5.46"/>
    <n v="1.1100000000000001"/>
    <n v="0.2"/>
    <n v="183.34"/>
    <n v="0"/>
    <m/>
    <n v="20260423"/>
    <m/>
    <s v="CREDITO"/>
    <n v="3974527"/>
    <s v="BFALABELLA"/>
    <m/>
    <m/>
    <n v="0.53901620370370373"/>
    <s v="XIAOMI SCHELL"/>
  </r>
  <r>
    <n v="1023366"/>
    <s v="VA"/>
    <s v="A"/>
    <n v="46134"/>
    <n v="46134"/>
    <m/>
    <n v="369"/>
    <s v="PS0005"/>
    <n v="8551"/>
    <n v="583178"/>
    <m/>
    <s v="455696******8642"/>
    <s v="Nac"/>
    <s v="COM"/>
    <x v="22"/>
    <n v="65"/>
    <x v="0"/>
    <n v="1.88"/>
    <n v="0.51"/>
    <n v="0.09"/>
    <n v="63.03"/>
    <n v="0"/>
    <m/>
    <n v="20260423"/>
    <m/>
    <s v="CREDITO"/>
    <n v="3974527"/>
    <s v="IBK PRIVADA"/>
    <m/>
    <m/>
    <n v="0.54054398148148153"/>
    <s v="XIAOMI SCHELL"/>
  </r>
  <r>
    <n v="1023366"/>
    <s v="VA"/>
    <s v="A"/>
    <n v="46134"/>
    <n v="46134"/>
    <m/>
    <n v="369"/>
    <s v="PS0005"/>
    <n v="8553"/>
    <n v="378584"/>
    <m/>
    <s v="414791******9817"/>
    <s v="Nac"/>
    <s v="COM"/>
    <x v="22"/>
    <n v="269"/>
    <x v="0"/>
    <n v="7.77"/>
    <n v="1.58"/>
    <n v="0.28000000000000003"/>
    <n v="260.95"/>
    <n v="0"/>
    <m/>
    <n v="20260423"/>
    <m/>
    <s v="CREDITO"/>
    <n v="3974527"/>
    <s v="BBVA"/>
    <m/>
    <m/>
    <n v="0.54821759259259262"/>
    <s v="XIAOMI SCHELL"/>
  </r>
  <r>
    <n v="1023366"/>
    <s v="VA"/>
    <s v="A"/>
    <n v="46134"/>
    <n v="46134"/>
    <m/>
    <n v="369"/>
    <s v="PS0005"/>
    <n v="8555"/>
    <n v="194168"/>
    <m/>
    <s v="477289******4034"/>
    <s v="Nac"/>
    <s v="COM"/>
    <x v="22"/>
    <n v="1099"/>
    <x v="0"/>
    <n v="31.76"/>
    <n v="4.28"/>
    <n v="0.77"/>
    <n v="1066.47"/>
    <n v="0"/>
    <m/>
    <n v="20260423"/>
    <m/>
    <s v="CREDITO"/>
    <n v="3974527"/>
    <s v="IBK PRIVADA"/>
    <m/>
    <m/>
    <n v="0.55524305555555553"/>
    <s v="XIAOMI SCHELL"/>
  </r>
  <r>
    <n v="1023366"/>
    <s v="VA"/>
    <s v="A"/>
    <n v="46134"/>
    <n v="46134"/>
    <m/>
    <n v="369"/>
    <s v="PS0005"/>
    <n v="8557"/>
    <n v="535859"/>
    <m/>
    <s v="455788******2573"/>
    <s v="Nac"/>
    <s v="COM"/>
    <x v="22"/>
    <n v="17.899999999999999"/>
    <x v="0"/>
    <n v="0.52"/>
    <n v="0.23"/>
    <n v="0.04"/>
    <n v="17.34"/>
    <n v="0"/>
    <m/>
    <n v="20260423"/>
    <m/>
    <s v="DEBITO"/>
    <n v="3974527"/>
    <s v="BCP"/>
    <m/>
    <m/>
    <n v="0.55857638888888894"/>
    <s v="XIAOMI SCHELL"/>
  </r>
  <r>
    <n v="1023366"/>
    <s v="VA"/>
    <s v="A"/>
    <n v="46134"/>
    <n v="46134"/>
    <m/>
    <n v="369"/>
    <s v="PS0005"/>
    <n v="8560"/>
    <n v="247749"/>
    <m/>
    <s v="432802******6193"/>
    <s v="Nac"/>
    <s v="COM"/>
    <x v="22"/>
    <n v="179"/>
    <x v="0"/>
    <n v="5.17"/>
    <n v="2.31"/>
    <n v="0.42"/>
    <n v="173.41"/>
    <n v="0"/>
    <m/>
    <n v="20260423"/>
    <m/>
    <s v="DEBITO"/>
    <n v="3974527"/>
    <s v="VISA LOC"/>
    <m/>
    <m/>
    <n v="0.56008101851851855"/>
    <s v="XIAOMI SCHELL"/>
  </r>
  <r>
    <n v="1023366"/>
    <s v="VA"/>
    <s v="A"/>
    <n v="46134"/>
    <n v="46134"/>
    <m/>
    <n v="369"/>
    <s v="PS0005"/>
    <n v="8562"/>
    <n v="3896"/>
    <m/>
    <s v="463402******3928"/>
    <s v="Nac"/>
    <s v="COM"/>
    <x v="22"/>
    <n v="349"/>
    <x v="0"/>
    <n v="10.09"/>
    <n v="2.76"/>
    <n v="0.5"/>
    <n v="338.41"/>
    <n v="0"/>
    <m/>
    <n v="20260423"/>
    <m/>
    <s v="CREDITO"/>
    <n v="3974527"/>
    <s v="BCP"/>
    <m/>
    <m/>
    <n v="0.59890046296296295"/>
    <s v="XIAOMI SCHELL"/>
  </r>
  <r>
    <n v="1023366"/>
    <s v="VA"/>
    <s v="A"/>
    <n v="46134"/>
    <n v="46134"/>
    <m/>
    <n v="369"/>
    <s v="PS0005"/>
    <n v="8565"/>
    <n v="290384"/>
    <m/>
    <s v="411515******9669"/>
    <s v="Nac"/>
    <s v="COM"/>
    <x v="22"/>
    <n v="189"/>
    <x v="0"/>
    <n v="5.46"/>
    <n v="2.44"/>
    <n v="0.44"/>
    <n v="183.1"/>
    <n v="0"/>
    <m/>
    <n v="20260423"/>
    <m/>
    <s v="DEBITO"/>
    <n v="3974527"/>
    <s v="VISA LOC"/>
    <m/>
    <m/>
    <n v="0.63593750000000004"/>
    <s v="XIAOMI SCHELL"/>
  </r>
  <r>
    <n v="1023366"/>
    <s v="VA"/>
    <s v="A"/>
    <n v="46134"/>
    <n v="46134"/>
    <m/>
    <n v="369"/>
    <s v="PS0005"/>
    <n v="8567"/>
    <n v="732852"/>
    <m/>
    <s v="455788******9517"/>
    <s v="Nac"/>
    <s v="COM"/>
    <x v="22"/>
    <n v="200"/>
    <x v="0"/>
    <n v="5.78"/>
    <n v="2.58"/>
    <n v="0.46"/>
    <n v="193.76"/>
    <n v="0"/>
    <m/>
    <n v="20260423"/>
    <m/>
    <s v="DEBITO"/>
    <n v="3974527"/>
    <s v="BCP"/>
    <m/>
    <m/>
    <n v="0.64322916666666663"/>
    <s v="XIAOMI SCHELL"/>
  </r>
  <r>
    <n v="1023366"/>
    <s v="VA"/>
    <s v="A"/>
    <n v="46134"/>
    <n v="46134"/>
    <m/>
    <n v="369"/>
    <s v="PS0005"/>
    <n v="8570"/>
    <s v="XILN1S"/>
    <m/>
    <s v="470458******5179"/>
    <s v="Nac"/>
    <s v="COM"/>
    <x v="22"/>
    <n v="35"/>
    <x v="0"/>
    <n v="1.01"/>
    <n v="0.27"/>
    <n v="0.05"/>
    <n v="33.94"/>
    <n v="0"/>
    <m/>
    <n v="20260423"/>
    <m/>
    <s v="CREDITO"/>
    <n v="3974527"/>
    <s v="BCP"/>
    <m/>
    <m/>
    <n v="0.66842592592592598"/>
    <s v="XIAOMI SCHELL"/>
  </r>
  <r>
    <n v="1023366"/>
    <s v="VA"/>
    <s v="A"/>
    <n v="46134"/>
    <n v="46134"/>
    <m/>
    <n v="369"/>
    <s v="PS0005"/>
    <n v="8575"/>
    <n v="943339"/>
    <m/>
    <s v="455170******8431"/>
    <s v="Nac"/>
    <s v="COM"/>
    <x v="22"/>
    <n v="1073"/>
    <x v="0"/>
    <n v="31.01"/>
    <n v="13.84"/>
    <n v="2.4900000000000002"/>
    <n v="1039.5"/>
    <n v="0"/>
    <m/>
    <n v="20260423"/>
    <m/>
    <s v="DEBITO"/>
    <n v="3974527"/>
    <s v="BBVA"/>
    <m/>
    <m/>
    <n v="0.67287037037037034"/>
    <s v="XIAOMI SCHELL"/>
  </r>
  <r>
    <n v="1023366"/>
    <s v="VA"/>
    <s v="A"/>
    <n v="46134"/>
    <n v="46134"/>
    <m/>
    <n v="369"/>
    <n v="65656565"/>
    <n v="8577"/>
    <n v="859176"/>
    <m/>
    <s v="455788******7033"/>
    <s v="Nac"/>
    <s v="COM"/>
    <x v="22"/>
    <n v="47.25"/>
    <x v="0"/>
    <n v="1.36"/>
    <n v="0.6"/>
    <n v="0.11"/>
    <n v="45.78"/>
    <n v="0"/>
    <m/>
    <n v="20260423"/>
    <m/>
    <s v="DEBITO"/>
    <n v="3974527"/>
    <s v="BCP"/>
    <m/>
    <s v="Yape"/>
    <n v="0.6965393518518519"/>
    <s v="XIAOMI SCHELL"/>
  </r>
  <r>
    <n v="1023366"/>
    <s v="VA"/>
    <s v="A"/>
    <n v="46134"/>
    <n v="46134"/>
    <m/>
    <n v="369"/>
    <s v="PS0005"/>
    <n v="8580"/>
    <n v="232469"/>
    <n v="3"/>
    <s v="414791******1154"/>
    <s v="Nac"/>
    <s v="COM"/>
    <x v="22"/>
    <n v="908"/>
    <x v="0"/>
    <n v="42.13"/>
    <n v="5.36"/>
    <n v="0.96"/>
    <n v="864.91"/>
    <n v="0"/>
    <m/>
    <n v="20260423"/>
    <m/>
    <s v="CREDITO"/>
    <n v="3974527"/>
    <s v="BBVA"/>
    <s v="SI"/>
    <m/>
    <n v="0.73755787037037035"/>
    <s v="XIAOMI SCHELL"/>
  </r>
  <r>
    <n v="1023366"/>
    <s v="VA"/>
    <s v="A"/>
    <n v="46134"/>
    <n v="46134"/>
    <m/>
    <n v="369"/>
    <s v="PS0005"/>
    <n v="8582"/>
    <n v="70824"/>
    <m/>
    <s v="491257******7691"/>
    <s v="Nac"/>
    <s v="COM"/>
    <x v="22"/>
    <n v="199"/>
    <x v="0"/>
    <n v="5.75"/>
    <n v="2.57"/>
    <n v="0.46"/>
    <n v="192.79"/>
    <n v="0"/>
    <m/>
    <n v="20260423"/>
    <m/>
    <s v="DEBITO"/>
    <n v="3974527"/>
    <s v="BCP"/>
    <m/>
    <m/>
    <n v="0.77893518518518523"/>
    <s v="XIAOMI SCHELL"/>
  </r>
  <r>
    <n v="1023366"/>
    <s v="VA"/>
    <s v="A"/>
    <n v="46134"/>
    <n v="46134"/>
    <m/>
    <n v="369"/>
    <s v="PS0005"/>
    <n v="8584"/>
    <n v="442180"/>
    <m/>
    <s v="454775******5867"/>
    <s v="Nac"/>
    <s v="COM"/>
    <x v="22"/>
    <n v="488"/>
    <x v="0"/>
    <n v="14.1"/>
    <n v="3.85"/>
    <n v="0.69"/>
    <n v="473.21"/>
    <n v="0"/>
    <m/>
    <n v="20260423"/>
    <m/>
    <s v="CREDITO"/>
    <n v="3974527"/>
    <s v="IBK PRIVADA"/>
    <m/>
    <m/>
    <n v="0.78070601851851851"/>
    <s v="XIAOMI SCHELL"/>
  </r>
  <r>
    <n v="1023366"/>
    <s v="VA"/>
    <s v="A"/>
    <n v="46134"/>
    <n v="46134"/>
    <m/>
    <n v="369"/>
    <s v="PS0005"/>
    <n v="8586"/>
    <n v="480468"/>
    <m/>
    <s v="455696******6327"/>
    <s v="Nac"/>
    <s v="COM"/>
    <x v="22"/>
    <n v="169"/>
    <x v="0"/>
    <n v="4.88"/>
    <n v="0.65"/>
    <n v="0.12"/>
    <n v="164"/>
    <n v="0"/>
    <m/>
    <n v="20260423"/>
    <m/>
    <s v="CREDITO"/>
    <n v="3974527"/>
    <s v="IBK PRIVADA"/>
    <m/>
    <m/>
    <n v="0.78327546296296291"/>
    <s v="XIAOMI SCHELL"/>
  </r>
  <r>
    <n v="1023366"/>
    <s v="VA"/>
    <s v="A"/>
    <n v="46134"/>
    <n v="46134"/>
    <m/>
    <n v="369"/>
    <s v="PS0005"/>
    <n v="8588"/>
    <n v="500801"/>
    <m/>
    <s v="414791******3231"/>
    <s v="Nac"/>
    <s v="COM"/>
    <x v="22"/>
    <n v="878"/>
    <x v="0"/>
    <n v="25.37"/>
    <n v="5.18"/>
    <n v="0.93"/>
    <n v="851.7"/>
    <n v="0"/>
    <m/>
    <n v="20260423"/>
    <m/>
    <s v="CREDITO"/>
    <n v="3974527"/>
    <s v="BBVA"/>
    <m/>
    <m/>
    <n v="0.7867939814814815"/>
    <s v="XIAOMI SCHELL"/>
  </r>
  <r>
    <n v="1023366"/>
    <s v="VA"/>
    <s v="A"/>
    <n v="46134"/>
    <n v="46134"/>
    <m/>
    <n v="369"/>
    <s v="PS0005"/>
    <n v="8592"/>
    <n v="339383"/>
    <m/>
    <s v="491257******0692"/>
    <s v="Nac"/>
    <s v="COM"/>
    <x v="22"/>
    <n v="55"/>
    <x v="0"/>
    <n v="1.59"/>
    <n v="0.71"/>
    <n v="0.13"/>
    <n v="53.28"/>
    <n v="0"/>
    <m/>
    <n v="20260423"/>
    <m/>
    <s v="DEBITO"/>
    <n v="3974527"/>
    <s v="IBK PRIVADA"/>
    <m/>
    <m/>
    <n v="0.80296296296296299"/>
    <s v="XIAOMI SCHELL"/>
  </r>
  <r>
    <n v="1023366"/>
    <s v="VA"/>
    <s v="A"/>
    <n v="46134"/>
    <n v="46134"/>
    <m/>
    <n v="369"/>
    <s v="PS0005"/>
    <n v="8594"/>
    <n v="382777"/>
    <m/>
    <s v="455696******6037"/>
    <s v="Nac"/>
    <s v="COM"/>
    <x v="22"/>
    <n v="159"/>
    <x v="0"/>
    <n v="4.5999999999999996"/>
    <n v="0.62"/>
    <n v="0.11"/>
    <n v="154.29"/>
    <n v="0"/>
    <m/>
    <n v="20260423"/>
    <m/>
    <s v="CREDITO"/>
    <n v="3974527"/>
    <s v="IBK PRIVADA"/>
    <m/>
    <m/>
    <n v="0.8182638888888889"/>
    <s v="XIAOMI SCHELL"/>
  </r>
  <r>
    <n v="1023366"/>
    <s v="VA"/>
    <s v="A"/>
    <n v="46134"/>
    <n v="46134"/>
    <m/>
    <n v="369"/>
    <s v="PS0005"/>
    <n v="8598"/>
    <n v="2969"/>
    <m/>
    <s v="477289******8575"/>
    <s v="Nac"/>
    <s v="COM"/>
    <x v="22"/>
    <n v="19.899999999999999"/>
    <x v="0"/>
    <n v="0.57999999999999996"/>
    <n v="0.08"/>
    <n v="0.01"/>
    <n v="19.309999999999999"/>
    <n v="0"/>
    <m/>
    <n v="20260423"/>
    <m/>
    <s v="CREDITO"/>
    <n v="3974527"/>
    <s v="IBK PRIVADA"/>
    <m/>
    <m/>
    <n v="0.83357638888888885"/>
    <s v="XIAOMI SCHELL"/>
  </r>
  <r>
    <n v="1023366"/>
    <s v="VA"/>
    <s v="A"/>
    <n v="46134"/>
    <n v="46134"/>
    <m/>
    <n v="369"/>
    <s v="PS0005"/>
    <n v="8602"/>
    <n v="318255"/>
    <m/>
    <s v="444437******8376"/>
    <s v="Nac"/>
    <s v="COM"/>
    <x v="22"/>
    <n v="1549"/>
    <x v="0"/>
    <n v="44.77"/>
    <n v="12.24"/>
    <n v="2.2000000000000002"/>
    <n v="1502.03"/>
    <n v="0"/>
    <m/>
    <n v="20260423"/>
    <m/>
    <s v="DEBITO"/>
    <n v="3974527"/>
    <s v="BCP"/>
    <m/>
    <m/>
    <n v="0.87415509259259261"/>
    <s v="XIAOMI SCHELL"/>
  </r>
  <r>
    <n v="1023366"/>
    <s v="VA"/>
    <s v="A"/>
    <n v="46134"/>
    <n v="46134"/>
    <m/>
    <n v="369"/>
    <n v="65656565"/>
    <n v="8604"/>
    <n v="653495"/>
    <m/>
    <s v="421355******8034"/>
    <s v="Nac"/>
    <s v="COM"/>
    <x v="22"/>
    <n v="269"/>
    <x v="0"/>
    <n v="7.77"/>
    <n v="3.47"/>
    <n v="0.62"/>
    <n v="260.61"/>
    <n v="0"/>
    <m/>
    <n v="20260423"/>
    <m/>
    <s v="DEBITO"/>
    <n v="3974527"/>
    <s v="IBK PRIVADA"/>
    <m/>
    <s v="IBK Plin"/>
    <n v="0.87791666666666668"/>
    <s v="XIAOMI SCHELL"/>
  </r>
  <r>
    <n v="1023366"/>
    <s v="VA"/>
    <s v="A"/>
    <n v="46134"/>
    <n v="46134"/>
    <m/>
    <n v="369"/>
    <s v="PS0005"/>
    <n v="8607"/>
    <n v="8136"/>
    <m/>
    <s v="444437******5418"/>
    <s v="Nac"/>
    <s v="COM"/>
    <x v="22"/>
    <n v="1948"/>
    <x v="0"/>
    <n v="56.3"/>
    <n v="7.6"/>
    <n v="1.37"/>
    <n v="1890.33"/>
    <n v="13572.97"/>
    <n v="46135"/>
    <n v="20260423"/>
    <m/>
    <s v="CREDITO"/>
    <n v="3974527"/>
    <s v="BCP"/>
    <m/>
    <m/>
    <n v="0.88089120370370366"/>
    <s v="XIAOMI SCHELL"/>
  </r>
  <r>
    <n v="1023366"/>
    <s v="VK"/>
    <s v="A"/>
    <n v="46134"/>
    <n v="46134"/>
    <m/>
    <n v="369"/>
    <s v="PS0005"/>
    <n v="8572"/>
    <n v="59724"/>
    <n v="2"/>
    <s v="404071******9008"/>
    <s v="Nac"/>
    <s v="COM"/>
    <x v="22"/>
    <n v="900"/>
    <x v="0"/>
    <n v="26.01"/>
    <n v="7.11"/>
    <n v="1.28"/>
    <n v="872.71"/>
    <n v="0"/>
    <m/>
    <n v="20260423"/>
    <m/>
    <s v="CREDITO"/>
    <n v="3974527"/>
    <s v="SIP MC"/>
    <s v="NO"/>
    <m/>
    <n v="0.67210648148148144"/>
    <s v="XIAOMI SCHELL"/>
  </r>
  <r>
    <n v="1023366"/>
    <s v="VK"/>
    <s v="A"/>
    <n v="46134"/>
    <n v="46134"/>
    <m/>
    <n v="369"/>
    <s v="PS0005"/>
    <n v="8600"/>
    <n v="8353"/>
    <m/>
    <s v="404071******4474"/>
    <s v="Nac"/>
    <s v="COM"/>
    <x v="22"/>
    <n v="99"/>
    <x v="0"/>
    <n v="2.86"/>
    <n v="0.78"/>
    <n v="0.14000000000000001"/>
    <n v="96"/>
    <n v="968.71"/>
    <n v="46135"/>
    <n v="20260423"/>
    <m/>
    <s v="CREDITO"/>
    <n v="3974527"/>
    <s v="SIP MC"/>
    <m/>
    <m/>
    <n v="0.86431712962962959"/>
    <s v="XIAOMI SCHELL"/>
  </r>
  <r>
    <n v="1023366"/>
    <s v="MC"/>
    <s v="A"/>
    <n v="46135"/>
    <n v="46135"/>
    <m/>
    <n v="370"/>
    <s v="PS0005"/>
    <n v="8688"/>
    <n v="320133"/>
    <m/>
    <s v="531769******2328"/>
    <s v="Ext"/>
    <s v="COM"/>
    <x v="23"/>
    <n v="89"/>
    <x v="0"/>
    <n v="3.47"/>
    <n v="1.69"/>
    <n v="0.3"/>
    <n v="85.23"/>
    <n v="0"/>
    <m/>
    <n v="20260424"/>
    <m/>
    <s v="CREDITO"/>
    <n v="3974527"/>
    <s v="MCI C. INTER"/>
    <m/>
    <m/>
    <n v="0.7534953703703704"/>
    <s v="XIAOMI SCHELL"/>
  </r>
  <r>
    <n v="1023366"/>
    <s v="MC"/>
    <s v="A"/>
    <n v="46135"/>
    <n v="46135"/>
    <m/>
    <n v="370"/>
    <s v="PS0005"/>
    <n v="8721"/>
    <n v="118336"/>
    <m/>
    <s v="544853******0605"/>
    <s v="Nac"/>
    <s v="COM"/>
    <x v="23"/>
    <n v="65"/>
    <x v="0"/>
    <n v="1.88"/>
    <n v="0.74"/>
    <n v="0.13"/>
    <n v="62.99"/>
    <n v="148.22"/>
    <n v="46136"/>
    <n v="20260424"/>
    <m/>
    <s v="DEBITO"/>
    <n v="3974527"/>
    <s v="SCOTIA DEBIT"/>
    <m/>
    <m/>
    <n v="0.84173611111111113"/>
    <s v="XIAOMI SCHELL"/>
  </r>
  <r>
    <n v="1023366"/>
    <s v="VA"/>
    <s v="A"/>
    <n v="46135"/>
    <n v="46135"/>
    <m/>
    <n v="668"/>
    <s v="PS0003"/>
    <n v="9206"/>
    <n v="214628"/>
    <m/>
    <s v="455788******0793"/>
    <s v="Nac"/>
    <s v="COM"/>
    <x v="23"/>
    <n v="129"/>
    <x v="0"/>
    <n v="3.73"/>
    <n v="1.67"/>
    <n v="0.3"/>
    <n v="124.97"/>
    <n v="0"/>
    <m/>
    <n v="20260424"/>
    <m/>
    <s v="DEBITO"/>
    <s v="FD8B1962"/>
    <s v="BCP"/>
    <m/>
    <m/>
    <n v="0.59598379629629628"/>
    <s v="XIAOMI SCHELL"/>
  </r>
  <r>
    <n v="1023366"/>
    <s v="VA"/>
    <s v="A"/>
    <n v="46135"/>
    <n v="46135"/>
    <m/>
    <n v="668"/>
    <n v="65656565"/>
    <n v="9210"/>
    <n v="783258"/>
    <m/>
    <s v="455788******8096"/>
    <s v="Nac"/>
    <s v="COM"/>
    <x v="23"/>
    <n v="29.9"/>
    <x v="0"/>
    <n v="0.86"/>
    <n v="0.38"/>
    <n v="7.0000000000000007E-2"/>
    <n v="28.97"/>
    <n v="0"/>
    <m/>
    <n v="20260424"/>
    <m/>
    <s v="DEBITO"/>
    <s v="FD8B1962"/>
    <s v="BCP"/>
    <m/>
    <s v="Yape"/>
    <n v="0.81930555555555551"/>
    <s v="XIAOMI SCHELL"/>
  </r>
  <r>
    <n v="1023366"/>
    <s v="VA"/>
    <s v="A"/>
    <n v="46135"/>
    <n v="46135"/>
    <m/>
    <n v="370"/>
    <s v="PS0005"/>
    <n v="8625"/>
    <n v="936617"/>
    <m/>
    <s v="455103******2678"/>
    <s v="Nac"/>
    <s v="COM"/>
    <x v="23"/>
    <n v="529"/>
    <x v="0"/>
    <n v="15.29"/>
    <n v="6.83"/>
    <n v="1.23"/>
    <n v="512.48"/>
    <n v="0"/>
    <m/>
    <n v="20260424"/>
    <m/>
    <s v="DEBITO"/>
    <n v="3974527"/>
    <s v="BBVA"/>
    <m/>
    <m/>
    <n v="0.42447916666666669"/>
    <s v="XIAOMI SCHELL"/>
  </r>
  <r>
    <n v="1023366"/>
    <s v="VA"/>
    <s v="A"/>
    <n v="46135"/>
    <n v="46135"/>
    <m/>
    <n v="370"/>
    <s v="PS0005"/>
    <n v="8627"/>
    <n v="601756"/>
    <m/>
    <s v="455788******1522"/>
    <s v="Nac"/>
    <s v="COM"/>
    <x v="23"/>
    <n v="169"/>
    <x v="0"/>
    <n v="4.88"/>
    <n v="2.1800000000000002"/>
    <n v="0.39"/>
    <n v="163.72999999999999"/>
    <n v="0"/>
    <m/>
    <n v="20260424"/>
    <m/>
    <s v="DEBITO"/>
    <n v="3974527"/>
    <s v="BCP"/>
    <m/>
    <m/>
    <n v="0.44025462962962963"/>
    <s v="XIAOMI SCHELL"/>
  </r>
  <r>
    <n v="1023366"/>
    <s v="VA"/>
    <s v="A"/>
    <n v="46135"/>
    <n v="46135"/>
    <m/>
    <n v="370"/>
    <s v="PS0005"/>
    <n v="8632"/>
    <n v="941762"/>
    <m/>
    <s v="455788******6221"/>
    <s v="Nac"/>
    <s v="COM"/>
    <x v="23"/>
    <n v="2099"/>
    <x v="0"/>
    <n v="60.66"/>
    <n v="27.08"/>
    <n v="4.87"/>
    <n v="2033.47"/>
    <n v="0"/>
    <m/>
    <n v="20260424"/>
    <m/>
    <s v="DEBITO"/>
    <n v="3974527"/>
    <s v="BCP"/>
    <m/>
    <m/>
    <n v="0.47623842592592591"/>
    <s v="XIAOMI SCHELL"/>
  </r>
  <r>
    <n v="1023366"/>
    <s v="VA"/>
    <s v="A"/>
    <n v="46135"/>
    <n v="46135"/>
    <m/>
    <n v="370"/>
    <s v="PS0005"/>
    <n v="8634"/>
    <n v="181261"/>
    <m/>
    <s v="455103******6672"/>
    <s v="Nac"/>
    <s v="COM"/>
    <x v="23"/>
    <n v="808"/>
    <x v="0"/>
    <n v="23.35"/>
    <n v="10.42"/>
    <n v="1.88"/>
    <n v="782.77"/>
    <n v="0"/>
    <m/>
    <n v="20260424"/>
    <m/>
    <s v="DEBITO"/>
    <n v="3974527"/>
    <s v="BBVA"/>
    <m/>
    <m/>
    <n v="0.48237268518518517"/>
    <s v="XIAOMI SCHELL"/>
  </r>
  <r>
    <n v="1023366"/>
    <s v="VA"/>
    <s v="A"/>
    <n v="46135"/>
    <n v="46135"/>
    <m/>
    <n v="370"/>
    <s v="PS0005"/>
    <n v="8636"/>
    <n v="320778"/>
    <m/>
    <s v="455103******4941"/>
    <s v="Nac"/>
    <s v="COM"/>
    <x v="23"/>
    <n v="209.9"/>
    <x v="0"/>
    <n v="6.07"/>
    <n v="2.71"/>
    <n v="0.49"/>
    <n v="203.34"/>
    <n v="0"/>
    <m/>
    <n v="20260424"/>
    <m/>
    <s v="DEBITO"/>
    <n v="3974527"/>
    <s v="BBVA"/>
    <m/>
    <m/>
    <n v="0.5135763888888889"/>
    <s v="XIAOMI SCHELL"/>
  </r>
  <r>
    <n v="1023366"/>
    <s v="VA"/>
    <s v="A"/>
    <n v="46135"/>
    <n v="46135"/>
    <m/>
    <n v="370"/>
    <n v="65656565"/>
    <n v="8638"/>
    <n v="799965"/>
    <m/>
    <s v="455788******6001"/>
    <s v="Nac"/>
    <s v="COM"/>
    <x v="23"/>
    <n v="69"/>
    <x v="0"/>
    <n v="1.99"/>
    <n v="0.89"/>
    <n v="0.16"/>
    <n v="66.849999999999994"/>
    <n v="0"/>
    <m/>
    <n v="20260424"/>
    <m/>
    <s v="DEBITO"/>
    <n v="3974527"/>
    <s v="BCP"/>
    <m/>
    <s v="Yape"/>
    <n v="0.52812499999999996"/>
    <s v="XIAOMI SCHELL"/>
  </r>
  <r>
    <n v="1023366"/>
    <s v="VA"/>
    <s v="A"/>
    <n v="46135"/>
    <n v="46135"/>
    <m/>
    <n v="370"/>
    <n v="65656565"/>
    <n v="8641"/>
    <n v="110103"/>
    <m/>
    <s v="455788******8326"/>
    <s v="Nac"/>
    <s v="COM"/>
    <x v="23"/>
    <n v="52.9"/>
    <x v="0"/>
    <n v="1.52"/>
    <n v="0.67"/>
    <n v="0.12"/>
    <n v="51.26"/>
    <n v="0"/>
    <m/>
    <n v="20260424"/>
    <m/>
    <s v="DEBITO"/>
    <n v="3974527"/>
    <s v="BCP"/>
    <m/>
    <s v="Yape"/>
    <n v="0.55414351851851851"/>
    <s v="XIAOMI SCHELL"/>
  </r>
  <r>
    <n v="1023366"/>
    <s v="VA"/>
    <s v="A"/>
    <n v="46135"/>
    <n v="46135"/>
    <m/>
    <n v="370"/>
    <s v="PS0005"/>
    <n v="8645"/>
    <n v="118991"/>
    <m/>
    <s v="421355******1253"/>
    <s v="Nac"/>
    <s v="COM"/>
    <x v="23"/>
    <n v="588"/>
    <x v="0"/>
    <n v="16.989999999999998"/>
    <n v="7.58"/>
    <n v="1.36"/>
    <n v="569.65"/>
    <n v="0"/>
    <m/>
    <n v="20260424"/>
    <m/>
    <s v="DEBITO"/>
    <n v="3974527"/>
    <s v="IBK PRIVADA"/>
    <m/>
    <m/>
    <n v="0.56466435185185182"/>
    <s v="XIAOMI SCHELL"/>
  </r>
  <r>
    <n v="1023366"/>
    <s v="VA"/>
    <s v="A"/>
    <n v="46135"/>
    <n v="46135"/>
    <m/>
    <n v="370"/>
    <s v="PS0005"/>
    <n v="8647"/>
    <n v="937"/>
    <m/>
    <s v="463402******4645"/>
    <s v="Nac"/>
    <s v="COM"/>
    <x v="23"/>
    <n v="563"/>
    <x v="0"/>
    <n v="16.27"/>
    <n v="4.45"/>
    <n v="0.8"/>
    <n v="545.92999999999995"/>
    <n v="0"/>
    <m/>
    <n v="20260424"/>
    <m/>
    <s v="CREDITO"/>
    <n v="3974527"/>
    <s v="BCP"/>
    <m/>
    <m/>
    <n v="0.57480324074074074"/>
    <s v="XIAOMI SCHELL"/>
  </r>
  <r>
    <n v="1023366"/>
    <s v="VA"/>
    <s v="A"/>
    <n v="46135"/>
    <n v="46135"/>
    <m/>
    <n v="370"/>
    <s v="PS0005"/>
    <n v="8649"/>
    <n v="7582"/>
    <m/>
    <s v="445330******9670"/>
    <s v="Nac"/>
    <s v="COM"/>
    <x v="23"/>
    <n v="89"/>
    <x v="0"/>
    <n v="2.57"/>
    <n v="0.7"/>
    <n v="0.13"/>
    <n v="86.3"/>
    <n v="0"/>
    <m/>
    <n v="20260424"/>
    <m/>
    <s v="CREDITO"/>
    <n v="3974527"/>
    <s v="BCP"/>
    <m/>
    <m/>
    <n v="0.59087962962962959"/>
    <s v="XIAOMI SCHELL"/>
  </r>
  <r>
    <n v="1023366"/>
    <s v="VA"/>
    <s v="A"/>
    <n v="46135"/>
    <n v="46135"/>
    <m/>
    <n v="370"/>
    <s v="PS0005"/>
    <n v="8652"/>
    <n v="151385"/>
    <m/>
    <s v="463512******5362"/>
    <s v="Ext"/>
    <s v="COM"/>
    <x v="23"/>
    <n v="238"/>
    <x v="0"/>
    <n v="9.2799999999999994"/>
    <n v="6.67"/>
    <n v="1.2"/>
    <n v="227.52"/>
    <n v="0"/>
    <m/>
    <n v="20260424"/>
    <m/>
    <s v="DEBITO"/>
    <n v="3974527"/>
    <s v="VISA INT"/>
    <m/>
    <m/>
    <n v="0.59651620370370373"/>
    <s v="XIAOMI SCHELL"/>
  </r>
  <r>
    <n v="1023366"/>
    <s v="VA"/>
    <s v="A"/>
    <n v="46135"/>
    <n v="46135"/>
    <m/>
    <n v="370"/>
    <s v="PS0005"/>
    <n v="8654"/>
    <n v="6412"/>
    <m/>
    <s v="428076******8859"/>
    <s v="Nac"/>
    <s v="COM"/>
    <x v="23"/>
    <n v="584"/>
    <x v="0"/>
    <n v="16.88"/>
    <n v="2.2799999999999998"/>
    <n v="0.41"/>
    <n v="566.71"/>
    <n v="0"/>
    <m/>
    <n v="20260424"/>
    <m/>
    <s v="CREDITO"/>
    <n v="3974527"/>
    <s v="BCP"/>
    <m/>
    <m/>
    <n v="0.59967592592592589"/>
    <s v="XIAOMI SCHELL"/>
  </r>
  <r>
    <n v="1023366"/>
    <s v="VA"/>
    <s v="A"/>
    <n v="46135"/>
    <n v="46135"/>
    <m/>
    <n v="370"/>
    <s v="PS0005"/>
    <n v="8656"/>
    <n v="94668"/>
    <m/>
    <s v="466721******2893"/>
    <s v="Nac"/>
    <s v="COM"/>
    <x v="23"/>
    <n v="139"/>
    <x v="0"/>
    <n v="4.0199999999999996"/>
    <n v="0.54"/>
    <n v="0.1"/>
    <n v="134.88"/>
    <n v="0"/>
    <m/>
    <n v="20260424"/>
    <m/>
    <s v="CREDITO"/>
    <n v="3974527"/>
    <s v="SCOTIABANK"/>
    <m/>
    <m/>
    <n v="0.60056712962962966"/>
    <s v="XIAOMI SCHELL"/>
  </r>
  <r>
    <n v="1023366"/>
    <s v="VA"/>
    <s v="A"/>
    <n v="46135"/>
    <n v="46135"/>
    <m/>
    <n v="370"/>
    <s v="PS0005"/>
    <n v="8668"/>
    <n v="16556"/>
    <m/>
    <s v="400917******9020"/>
    <s v="Nac"/>
    <s v="COM"/>
    <x v="23"/>
    <n v="179"/>
    <x v="0"/>
    <n v="5.17"/>
    <n v="0.69"/>
    <n v="0.12"/>
    <n v="173.71"/>
    <n v="0"/>
    <m/>
    <n v="20260424"/>
    <m/>
    <s v="CREDITO"/>
    <n v="3974527"/>
    <s v="SCOTIABANK"/>
    <m/>
    <m/>
    <n v="0.66453703703703704"/>
    <s v="XIAOMI SCHELL"/>
  </r>
  <r>
    <n v="1023366"/>
    <s v="VA"/>
    <s v="A"/>
    <n v="46135"/>
    <n v="46135"/>
    <m/>
    <n v="370"/>
    <s v="PS0005"/>
    <n v="8670"/>
    <n v="89521"/>
    <n v="3"/>
    <s v="491914******6700"/>
    <s v="Nac"/>
    <s v="COM"/>
    <x v="23"/>
    <n v="229"/>
    <x v="0"/>
    <n v="10.63"/>
    <n v="1.35"/>
    <n v="0.24"/>
    <n v="218.13"/>
    <n v="0"/>
    <m/>
    <n v="20260424"/>
    <m/>
    <s v="CREDITO"/>
    <n v="3974527"/>
    <s v="BBVA"/>
    <s v="SI"/>
    <m/>
    <n v="0.68003472222222228"/>
    <s v="XIAOMI SCHELL"/>
  </r>
  <r>
    <n v="1023366"/>
    <s v="VA"/>
    <s v="A"/>
    <n v="46135"/>
    <n v="46135"/>
    <m/>
    <n v="370"/>
    <s v="PS0005"/>
    <n v="8672"/>
    <n v="7936"/>
    <m/>
    <s v="463401******9109"/>
    <s v="Nac"/>
    <s v="COM"/>
    <x v="23"/>
    <n v="349"/>
    <x v="0"/>
    <n v="10.09"/>
    <n v="2.76"/>
    <n v="0.5"/>
    <n v="338.41"/>
    <n v="0"/>
    <m/>
    <n v="20260424"/>
    <m/>
    <s v="CREDITO"/>
    <n v="3974527"/>
    <s v="BCP"/>
    <m/>
    <m/>
    <n v="0.69241898148148151"/>
    <s v="XIAOMI SCHELL"/>
  </r>
  <r>
    <n v="1023366"/>
    <s v="VA"/>
    <s v="A"/>
    <n v="46135"/>
    <n v="46135"/>
    <m/>
    <n v="370"/>
    <n v="65656565"/>
    <n v="8674"/>
    <n v="412070"/>
    <m/>
    <s v="454775******6194"/>
    <s v="Nac"/>
    <s v="COM"/>
    <x v="23"/>
    <n v="269"/>
    <x v="0"/>
    <n v="7.77"/>
    <n v="2.12"/>
    <n v="0.38"/>
    <n v="260.85000000000002"/>
    <n v="0"/>
    <m/>
    <n v="20260424"/>
    <m/>
    <s v="CREDITO"/>
    <n v="3974527"/>
    <s v="IBK PRIVADA"/>
    <m/>
    <s v="IBK Plin"/>
    <n v="0.69527777777777777"/>
    <s v="XIAOMI SCHELL"/>
  </r>
  <r>
    <n v="1023366"/>
    <s v="VA"/>
    <s v="A"/>
    <n v="46135"/>
    <n v="46135"/>
    <m/>
    <n v="370"/>
    <s v="PS0005"/>
    <n v="8678"/>
    <n v="7634"/>
    <n v="10"/>
    <s v="463402******7483"/>
    <s v="Nac"/>
    <s v="COM"/>
    <x v="23"/>
    <n v="1399"/>
    <x v="0"/>
    <n v="40.43"/>
    <n v="11.05"/>
    <n v="1.99"/>
    <n v="1356.58"/>
    <n v="0"/>
    <m/>
    <n v="20260424"/>
    <m/>
    <s v="CREDITO"/>
    <n v="3974527"/>
    <s v="BCP"/>
    <s v="NO"/>
    <m/>
    <n v="0.71481481481481479"/>
    <s v="XIAOMI SCHELL"/>
  </r>
  <r>
    <n v="1023366"/>
    <s v="VA"/>
    <s v="A"/>
    <n v="46135"/>
    <n v="46135"/>
    <m/>
    <n v="370"/>
    <s v="PS0005"/>
    <n v="8680"/>
    <n v="8903"/>
    <m/>
    <s v="463402******3287"/>
    <s v="Nac"/>
    <s v="COM"/>
    <x v="23"/>
    <n v="224"/>
    <x v="0"/>
    <n v="6.47"/>
    <n v="1.77"/>
    <n v="0.32"/>
    <n v="217.21"/>
    <n v="0"/>
    <m/>
    <n v="20260424"/>
    <m/>
    <s v="CREDITO"/>
    <n v="3974527"/>
    <s v="BCP"/>
    <m/>
    <m/>
    <n v="0.71619212962962964"/>
    <s v="XIAOMI SCHELL"/>
  </r>
  <r>
    <n v="1023366"/>
    <s v="VA"/>
    <s v="A"/>
    <n v="46135"/>
    <n v="46135"/>
    <m/>
    <n v="370"/>
    <s v="PS0005"/>
    <n v="8683"/>
    <n v="290094"/>
    <m/>
    <s v="491909******5157"/>
    <s v="Nac"/>
    <s v="COM"/>
    <x v="23"/>
    <n v="199"/>
    <x v="0"/>
    <n v="5.75"/>
    <n v="1.57"/>
    <n v="0.28000000000000003"/>
    <n v="192.97"/>
    <n v="0"/>
    <m/>
    <n v="20260424"/>
    <m/>
    <s v="CREDITO"/>
    <n v="3974527"/>
    <s v="BBVA"/>
    <m/>
    <m/>
    <n v="0.7239930555555556"/>
    <s v="XIAOMI SCHELL"/>
  </r>
  <r>
    <n v="1023366"/>
    <s v="VA"/>
    <s v="A"/>
    <n v="46135"/>
    <n v="46135"/>
    <m/>
    <n v="370"/>
    <s v="PS0005"/>
    <n v="8685"/>
    <n v="47862"/>
    <m/>
    <s v="454448******1564"/>
    <s v="Nac"/>
    <s v="COM"/>
    <x v="23"/>
    <n v="159"/>
    <x v="0"/>
    <n v="4.5999999999999996"/>
    <n v="1.26"/>
    <n v="0.23"/>
    <n v="154.16999999999999"/>
    <n v="0"/>
    <m/>
    <n v="20260424"/>
    <m/>
    <s v="CREDITO"/>
    <n v="3974527"/>
    <s v="SCOTIABANK"/>
    <m/>
    <m/>
    <n v="0.74966435185185187"/>
    <s v="XIAOMI SCHELL"/>
  </r>
  <r>
    <n v="1023366"/>
    <s v="VA"/>
    <s v="A"/>
    <n v="46135"/>
    <n v="46135"/>
    <m/>
    <n v="370"/>
    <s v="PS0005"/>
    <n v="8691"/>
    <n v="321094"/>
    <m/>
    <s v="438877******4409"/>
    <s v="Nac"/>
    <s v="COM"/>
    <x v="23"/>
    <n v="2199"/>
    <x v="0"/>
    <n v="63.55"/>
    <n v="28.37"/>
    <n v="5.1100000000000003"/>
    <n v="2130.34"/>
    <n v="0"/>
    <m/>
    <n v="20260424"/>
    <m/>
    <s v="DEBITO"/>
    <n v="3974527"/>
    <s v="VISA LOC"/>
    <m/>
    <m/>
    <n v="0.76236111111111116"/>
    <s v="XIAOMI SCHELL"/>
  </r>
  <r>
    <n v="1023366"/>
    <s v="VA"/>
    <s v="A"/>
    <n v="46135"/>
    <n v="46135"/>
    <m/>
    <n v="370"/>
    <s v="PS0005"/>
    <n v="8693"/>
    <n v="5455"/>
    <m/>
    <s v="445330******8349"/>
    <s v="Nac"/>
    <s v="COM"/>
    <x v="23"/>
    <n v="269"/>
    <x v="0"/>
    <n v="7.77"/>
    <n v="1.04"/>
    <n v="0.19"/>
    <n v="261.04000000000002"/>
    <n v="0"/>
    <m/>
    <n v="20260424"/>
    <m/>
    <s v="CREDITO"/>
    <n v="3974527"/>
    <s v="BCP"/>
    <m/>
    <m/>
    <n v="0.76620370370370372"/>
    <s v="XIAOMI SCHELL"/>
  </r>
  <r>
    <n v="1023366"/>
    <s v="VA"/>
    <s v="A"/>
    <n v="46135"/>
    <n v="46135"/>
    <m/>
    <n v="370"/>
    <s v="PS0005"/>
    <n v="8695"/>
    <n v="553277"/>
    <n v="12"/>
    <s v="414791******5253"/>
    <s v="Nac"/>
    <s v="COM"/>
    <x v="23"/>
    <n v="5999"/>
    <x v="0"/>
    <n v="623.29999999999995"/>
    <n v="35.39"/>
    <n v="6.37"/>
    <n v="5369.33"/>
    <n v="0"/>
    <m/>
    <n v="20260424"/>
    <m/>
    <s v="CREDITO"/>
    <n v="3974527"/>
    <s v="BBVA"/>
    <s v="SI"/>
    <m/>
    <n v="0.77320601851851856"/>
    <s v="XIAOMI SCHELL"/>
  </r>
  <r>
    <n v="1023366"/>
    <s v="VA"/>
    <s v="A"/>
    <n v="46135"/>
    <n v="46135"/>
    <m/>
    <n v="370"/>
    <s v="PS0005"/>
    <n v="8697"/>
    <n v="557957"/>
    <m/>
    <s v="414791******5253"/>
    <s v="Nac"/>
    <s v="COM"/>
    <x v="23"/>
    <n v="199"/>
    <x v="0"/>
    <n v="5.75"/>
    <n v="1.17"/>
    <n v="0.21"/>
    <n v="193.04"/>
    <n v="0"/>
    <m/>
    <n v="20260424"/>
    <m/>
    <s v="CREDITO"/>
    <n v="3974527"/>
    <s v="BBVA"/>
    <m/>
    <m/>
    <n v="0.77401620370370372"/>
    <s v="XIAOMI SCHELL"/>
  </r>
  <r>
    <n v="1023366"/>
    <s v="VA"/>
    <s v="A"/>
    <n v="46135"/>
    <n v="46135"/>
    <m/>
    <n v="370"/>
    <s v="PS0005"/>
    <n v="8699"/>
    <n v="450065"/>
    <m/>
    <s v="455788******2178"/>
    <s v="Nac"/>
    <s v="COM"/>
    <x v="23"/>
    <n v="54.9"/>
    <x v="0"/>
    <n v="1.59"/>
    <n v="0.71"/>
    <n v="0.13"/>
    <n v="53.18"/>
    <n v="0"/>
    <m/>
    <n v="20260424"/>
    <m/>
    <s v="DEBITO"/>
    <n v="3974527"/>
    <s v="VISA LOC"/>
    <m/>
    <m/>
    <n v="0.78907407407407404"/>
    <s v="XIAOMI SCHELL"/>
  </r>
  <r>
    <n v="1023366"/>
    <s v="VA"/>
    <s v="A"/>
    <n v="46135"/>
    <n v="46135"/>
    <m/>
    <n v="370"/>
    <n v="65656565"/>
    <n v="8701"/>
    <n v="473553"/>
    <m/>
    <s v="455788******4943"/>
    <s v="Nac"/>
    <s v="COM"/>
    <x v="23"/>
    <n v="130"/>
    <x v="0"/>
    <n v="3.75"/>
    <n v="1.67"/>
    <n v="0.3"/>
    <n v="125.95"/>
    <n v="0"/>
    <m/>
    <n v="20260424"/>
    <m/>
    <s v="DEBITO"/>
    <n v="3974527"/>
    <s v="BCP"/>
    <m/>
    <s v="Yape"/>
    <n v="0.79724537037037035"/>
    <s v="XIAOMI SCHELL"/>
  </r>
  <r>
    <n v="1023366"/>
    <s v="VA"/>
    <s v="A"/>
    <n v="46135"/>
    <n v="46135"/>
    <m/>
    <n v="370"/>
    <s v="PS0005"/>
    <n v="8704"/>
    <n v="728219"/>
    <m/>
    <s v="455788******1869"/>
    <s v="Nac"/>
    <s v="COM"/>
    <x v="23"/>
    <n v="109"/>
    <x v="0"/>
    <n v="3.15"/>
    <n v="1.41"/>
    <n v="0.25"/>
    <n v="105.6"/>
    <n v="0"/>
    <m/>
    <n v="20260424"/>
    <m/>
    <s v="DEBITO"/>
    <n v="3974527"/>
    <s v="BCP"/>
    <m/>
    <m/>
    <n v="0.79972222222222222"/>
    <s v="XIAOMI SCHELL"/>
  </r>
  <r>
    <n v="1023366"/>
    <s v="VA"/>
    <s v="A"/>
    <n v="46135"/>
    <n v="46135"/>
    <m/>
    <n v="370"/>
    <s v="PS0005"/>
    <n v="8706"/>
    <n v="727614"/>
    <m/>
    <s v="455103******3615"/>
    <s v="Nac"/>
    <s v="COM"/>
    <x v="23"/>
    <n v="499"/>
    <x v="0"/>
    <n v="14.42"/>
    <n v="6.44"/>
    <n v="1.1599999999999999"/>
    <n v="483.42"/>
    <n v="0"/>
    <m/>
    <n v="20260424"/>
    <m/>
    <s v="DEBITO"/>
    <n v="3974527"/>
    <s v="BBVA"/>
    <m/>
    <m/>
    <n v="0.80384259259259261"/>
    <s v="XIAOMI SCHELL"/>
  </r>
  <r>
    <n v="1023366"/>
    <s v="VA"/>
    <s v="A"/>
    <n v="46135"/>
    <n v="46135"/>
    <m/>
    <n v="370"/>
    <s v="PS0005"/>
    <n v="8708"/>
    <n v="230076"/>
    <m/>
    <s v="455696******1035"/>
    <s v="Nac"/>
    <s v="COM"/>
    <x v="23"/>
    <n v="134.5"/>
    <x v="0"/>
    <n v="3.89"/>
    <n v="0.53"/>
    <n v="0.1"/>
    <n v="130.51"/>
    <n v="0"/>
    <m/>
    <n v="20260424"/>
    <m/>
    <s v="CREDITO"/>
    <n v="3974527"/>
    <s v="IBK PRIVADA"/>
    <m/>
    <m/>
    <n v="0.80754629629629626"/>
    <s v="XIAOMI SCHELL"/>
  </r>
  <r>
    <n v="1023366"/>
    <s v="VA"/>
    <s v="A"/>
    <n v="46135"/>
    <n v="46135"/>
    <m/>
    <n v="370"/>
    <n v="65656565"/>
    <n v="8710"/>
    <n v="510143"/>
    <m/>
    <s v="455788******4943"/>
    <s v="Nac"/>
    <s v="COM"/>
    <x v="23"/>
    <n v="289"/>
    <x v="0"/>
    <n v="8.35"/>
    <n v="3.73"/>
    <n v="0.67"/>
    <n v="279.98"/>
    <n v="0"/>
    <m/>
    <n v="20260424"/>
    <m/>
    <s v="DEBITO"/>
    <n v="3974527"/>
    <s v="BCP"/>
    <m/>
    <s v="Yape"/>
    <n v="0.81002314814814813"/>
    <s v="XIAOMI SCHELL"/>
  </r>
  <r>
    <n v="1023366"/>
    <s v="VA"/>
    <s v="A"/>
    <n v="46135"/>
    <n v="46135"/>
    <m/>
    <n v="370"/>
    <s v="PS0005"/>
    <n v="8714"/>
    <n v="361271"/>
    <m/>
    <s v="435779******0796"/>
    <s v="Nac"/>
    <s v="COM"/>
    <x v="23"/>
    <n v="89.9"/>
    <x v="0"/>
    <n v="2.6"/>
    <n v="0.35"/>
    <n v="0.06"/>
    <n v="87.24"/>
    <n v="0"/>
    <m/>
    <n v="20260424"/>
    <m/>
    <s v="CREDITO"/>
    <n v="3974527"/>
    <s v="VISA LOC"/>
    <m/>
    <m/>
    <n v="0.81671296296296292"/>
    <s v="XIAOMI SCHELL"/>
  </r>
  <r>
    <n v="1023366"/>
    <s v="VA"/>
    <s v="A"/>
    <n v="46135"/>
    <n v="46135"/>
    <m/>
    <n v="370"/>
    <n v="65656565"/>
    <n v="8716"/>
    <n v="764091"/>
    <m/>
    <s v="455788******8096"/>
    <s v="Nac"/>
    <s v="COM"/>
    <x v="23"/>
    <n v="1799"/>
    <x v="0"/>
    <n v="51.99"/>
    <n v="23.21"/>
    <n v="4.18"/>
    <n v="1742.83"/>
    <n v="0"/>
    <m/>
    <n v="20260424"/>
    <m/>
    <s v="DEBITO"/>
    <n v="3974527"/>
    <s v="BCP"/>
    <m/>
    <s v="Yape"/>
    <n v="0.81763888888888892"/>
    <s v="XIAOMI SCHELL"/>
  </r>
  <r>
    <n v="1023366"/>
    <s v="VA"/>
    <s v="A"/>
    <n v="46135"/>
    <n v="46135"/>
    <m/>
    <n v="370"/>
    <s v="PS0005"/>
    <n v="8719"/>
    <n v="822196"/>
    <m/>
    <s v="444697******6367"/>
    <s v="Nac"/>
    <s v="COM"/>
    <x v="23"/>
    <n v="65"/>
    <x v="0"/>
    <n v="1.88"/>
    <n v="0.84"/>
    <n v="0.15"/>
    <n v="62.97"/>
    <n v="0"/>
    <m/>
    <n v="20260424"/>
    <m/>
    <s v="DEBITO"/>
    <n v="3974527"/>
    <s v="BCP"/>
    <m/>
    <m/>
    <n v="0.83910879629629631"/>
    <s v="XIAOMI SCHELL"/>
  </r>
  <r>
    <n v="1023366"/>
    <s v="VA"/>
    <s v="A"/>
    <n v="46135"/>
    <n v="46135"/>
    <m/>
    <n v="370"/>
    <s v="PS0005"/>
    <n v="8723"/>
    <n v="5032"/>
    <m/>
    <s v="428078******0007"/>
    <s v="Nac"/>
    <s v="COM"/>
    <x v="23"/>
    <n v="99"/>
    <x v="0"/>
    <n v="2.86"/>
    <n v="0.78"/>
    <n v="0.14000000000000001"/>
    <n v="96"/>
    <n v="0"/>
    <m/>
    <n v="20260424"/>
    <m/>
    <s v="CREDITO"/>
    <n v="3974527"/>
    <s v="BCP"/>
    <m/>
    <m/>
    <n v="0.85594907407407406"/>
    <s v="XIAOMI SCHELL"/>
  </r>
  <r>
    <n v="1023366"/>
    <s v="VA"/>
    <s v="A"/>
    <n v="46135"/>
    <n v="46135"/>
    <m/>
    <n v="370"/>
    <s v="PS0005"/>
    <n v="8725"/>
    <n v="6655"/>
    <m/>
    <s v="428078******9792"/>
    <s v="Nac"/>
    <s v="COM"/>
    <x v="23"/>
    <n v="54.9"/>
    <x v="0"/>
    <n v="1.59"/>
    <n v="0.44"/>
    <n v="0.08"/>
    <n v="53.23"/>
    <n v="20185.52"/>
    <n v="46136"/>
    <n v="20260424"/>
    <m/>
    <s v="CREDITO"/>
    <n v="3974527"/>
    <s v="BCP"/>
    <m/>
    <m/>
    <n v="0.85767361111111107"/>
    <s v="XIAOMI SCHELL"/>
  </r>
  <r>
    <n v="1023366"/>
    <s v="VK"/>
    <s v="A"/>
    <n v="46135"/>
    <n v="46135"/>
    <m/>
    <n v="668"/>
    <s v="PS0003"/>
    <n v="9208"/>
    <n v="45693"/>
    <m/>
    <s v="404071******6828"/>
    <s v="Nac"/>
    <s v="COM"/>
    <x v="23"/>
    <n v="269"/>
    <x v="0"/>
    <n v="7.77"/>
    <n v="2.12"/>
    <n v="0.38"/>
    <n v="260.85000000000002"/>
    <n v="260.85000000000002"/>
    <n v="46136"/>
    <n v="20260424"/>
    <m/>
    <s v="CREDITO"/>
    <s v="FD8B1962"/>
    <s v="SIP MC"/>
    <m/>
    <m/>
    <n v="0.59640046296296301"/>
    <s v="XIAOMI SCHELL"/>
  </r>
  <r>
    <n v="1023366"/>
    <s v="MC"/>
    <s v="A"/>
    <n v="46136"/>
    <n v="46136"/>
    <m/>
    <n v="371"/>
    <s v="PS0005"/>
    <n v="8777"/>
    <n v="465112"/>
    <m/>
    <s v="553650******5844"/>
    <s v="Nac"/>
    <s v="COM"/>
    <x v="24"/>
    <n v="159"/>
    <x v="0"/>
    <n v="4.5999999999999996"/>
    <n v="0.55000000000000004"/>
    <n v="0.1"/>
    <n v="154.30000000000001"/>
    <n v="0"/>
    <m/>
    <n v="20260427"/>
    <m/>
    <s v="CREDITO"/>
    <n v="3974527"/>
    <s v="BBVA"/>
    <m/>
    <m/>
    <n v="0.71090277777777777"/>
    <s v="XIAOMI SCHELL"/>
  </r>
  <r>
    <n v="1023366"/>
    <s v="MC"/>
    <s v="A"/>
    <n v="46136"/>
    <n v="46136"/>
    <m/>
    <n v="371"/>
    <s v="PS0005"/>
    <n v="8800"/>
    <n v="601542"/>
    <m/>
    <s v="534989******2215"/>
    <s v="Ext"/>
    <s v="COM"/>
    <x v="24"/>
    <n v="69"/>
    <x v="0"/>
    <n v="2.69"/>
    <n v="1.59"/>
    <n v="0.28999999999999998"/>
    <n v="66.02"/>
    <n v="220.32"/>
    <n v="46139"/>
    <n v="20260427"/>
    <m/>
    <s v="DEBITO"/>
    <n v="3974527"/>
    <s v="MCI C. INTER"/>
    <m/>
    <m/>
    <n v="0.80256944444444445"/>
    <s v="XIAOMI SCHELL"/>
  </r>
  <r>
    <n v="1023366"/>
    <s v="VA"/>
    <s v="A"/>
    <n v="46136"/>
    <n v="46136"/>
    <m/>
    <n v="669"/>
    <s v="PS0003"/>
    <n v="9216"/>
    <n v="808772"/>
    <m/>
    <s v="455788******0259"/>
    <s v="Nac"/>
    <s v="COM"/>
    <x v="24"/>
    <n v="179"/>
    <x v="0"/>
    <n v="5.17"/>
    <n v="2.31"/>
    <n v="0.42"/>
    <n v="173.41"/>
    <n v="0"/>
    <m/>
    <n v="20260427"/>
    <m/>
    <s v="DEBITO"/>
    <s v="FD8B1962"/>
    <s v="BCP"/>
    <m/>
    <m/>
    <n v="0.5818402777777778"/>
    <s v="XIAOMI SCHELL"/>
  </r>
  <r>
    <n v="1023366"/>
    <s v="VA"/>
    <s v="A"/>
    <n v="46136"/>
    <n v="46136"/>
    <m/>
    <n v="371"/>
    <s v="PS0005"/>
    <n v="8740"/>
    <n v="164661"/>
    <m/>
    <s v="483203******8479"/>
    <s v="Nac"/>
    <s v="COM"/>
    <x v="24"/>
    <n v="39"/>
    <x v="0"/>
    <n v="1.1299999999999999"/>
    <n v="0.51"/>
    <n v="0.09"/>
    <n v="37.78"/>
    <n v="0"/>
    <m/>
    <n v="20260427"/>
    <m/>
    <s v="DEBITO"/>
    <n v="3974527"/>
    <s v="BCP"/>
    <m/>
    <m/>
    <n v="0.44116898148148148"/>
    <s v="XIAOMI SCHELL"/>
  </r>
  <r>
    <n v="1023366"/>
    <s v="VA"/>
    <s v="A"/>
    <n v="46136"/>
    <n v="46136"/>
    <m/>
    <n v="371"/>
    <s v="PS0005"/>
    <n v="8742"/>
    <n v="50107"/>
    <m/>
    <s v="407067******9065"/>
    <s v="Nac"/>
    <s v="COM"/>
    <x v="24"/>
    <n v="68"/>
    <x v="0"/>
    <n v="1.97"/>
    <n v="0.27"/>
    <n v="0.05"/>
    <n v="65.98"/>
    <n v="0"/>
    <m/>
    <n v="20260427"/>
    <m/>
    <s v="CREDITO"/>
    <n v="3974527"/>
    <s v="SCOTIABANK"/>
    <m/>
    <m/>
    <n v="0.46921296296296294"/>
    <s v="XIAOMI SCHELL"/>
  </r>
  <r>
    <n v="1023366"/>
    <s v="VA"/>
    <s v="A"/>
    <n v="46136"/>
    <n v="46136"/>
    <m/>
    <n v="371"/>
    <s v="PS0005"/>
    <n v="8744"/>
    <n v="2294"/>
    <m/>
    <s v="445330******9670"/>
    <s v="Nac"/>
    <s v="COM"/>
    <x v="24"/>
    <n v="248.9"/>
    <x v="0"/>
    <n v="7.19"/>
    <n v="1.96"/>
    <n v="0.35"/>
    <n v="241.36"/>
    <n v="0"/>
    <m/>
    <n v="20260427"/>
    <m/>
    <s v="CREDITO"/>
    <n v="3974527"/>
    <s v="BCP"/>
    <m/>
    <m/>
    <n v="0.48947916666666669"/>
    <s v="XIAOMI SCHELL"/>
  </r>
  <r>
    <n v="1023366"/>
    <s v="VA"/>
    <s v="A"/>
    <n v="46136"/>
    <n v="46136"/>
    <m/>
    <n v="371"/>
    <n v="65656565"/>
    <n v="8746"/>
    <n v="385127"/>
    <m/>
    <s v="455788******4881"/>
    <s v="Nac"/>
    <s v="COM"/>
    <x v="24"/>
    <n v="239.9"/>
    <x v="0"/>
    <n v="6.93"/>
    <n v="3.09"/>
    <n v="0.56000000000000005"/>
    <n v="232.41"/>
    <n v="0"/>
    <m/>
    <n v="20260427"/>
    <m/>
    <s v="DEBITO"/>
    <n v="3974527"/>
    <s v="BCP"/>
    <m/>
    <s v="Yape"/>
    <n v="0.53827546296296291"/>
    <s v="XIAOMI SCHELL"/>
  </r>
  <r>
    <n v="1023366"/>
    <s v="VA"/>
    <s v="A"/>
    <n v="46136"/>
    <n v="46136"/>
    <m/>
    <n v="371"/>
    <s v="PS0005"/>
    <n v="8749"/>
    <n v="648262"/>
    <m/>
    <s v="491931******4964"/>
    <s v="Nac"/>
    <s v="COM"/>
    <x v="24"/>
    <n v="75"/>
    <x v="0"/>
    <n v="2.17"/>
    <n v="0.59"/>
    <n v="0.11"/>
    <n v="72.72"/>
    <n v="0"/>
    <m/>
    <n v="20260427"/>
    <m/>
    <s v="CREDITO"/>
    <n v="3974527"/>
    <s v="BBVA"/>
    <m/>
    <m/>
    <n v="0.54112268518518514"/>
    <s v="XIAOMI SCHELL"/>
  </r>
  <r>
    <n v="1023366"/>
    <s v="VA"/>
    <s v="A"/>
    <n v="46136"/>
    <n v="46136"/>
    <m/>
    <n v="371"/>
    <s v="PS0005"/>
    <n v="8751"/>
    <n v="614344"/>
    <m/>
    <s v="447409******0932"/>
    <s v="Nac"/>
    <s v="COM"/>
    <x v="24"/>
    <n v="75"/>
    <x v="0"/>
    <n v="2.17"/>
    <n v="0.59"/>
    <n v="0.11"/>
    <n v="72.72"/>
    <n v="0"/>
    <m/>
    <n v="20260427"/>
    <m/>
    <s v="CREDITO"/>
    <n v="3974527"/>
    <s v="BFALABELLA"/>
    <m/>
    <m/>
    <n v="0.54468749999999999"/>
    <s v="XIAOMI SCHELL"/>
  </r>
  <r>
    <n v="1023366"/>
    <s v="VA"/>
    <s v="A"/>
    <n v="46136"/>
    <n v="46136"/>
    <m/>
    <n v="371"/>
    <s v="PS0005"/>
    <n v="8754"/>
    <n v="24345"/>
    <m/>
    <s v="400394******0430"/>
    <s v="Ext"/>
    <s v="COM"/>
    <x v="24"/>
    <n v="159"/>
    <x v="0"/>
    <n v="6.2"/>
    <n v="4.46"/>
    <n v="0.8"/>
    <n v="152"/>
    <n v="0"/>
    <m/>
    <n v="20260427"/>
    <m/>
    <s v="CREDITO"/>
    <n v="3974527"/>
    <s v="VISA INT"/>
    <m/>
    <m/>
    <n v="0.54728009259259258"/>
    <s v="XIAOMI SCHELL"/>
  </r>
  <r>
    <n v="1023366"/>
    <s v="VA"/>
    <s v="A"/>
    <n v="46136"/>
    <n v="46136"/>
    <m/>
    <n v="371"/>
    <s v="PS0005"/>
    <n v="8756"/>
    <n v="296355"/>
    <m/>
    <s v="454776******7653"/>
    <s v="Nac"/>
    <s v="COM"/>
    <x v="24"/>
    <n v="149"/>
    <x v="0"/>
    <n v="4.3099999999999996"/>
    <n v="1.18"/>
    <n v="0.21"/>
    <n v="144.47999999999999"/>
    <n v="0"/>
    <m/>
    <n v="20260427"/>
    <m/>
    <s v="DEBITO"/>
    <n v="3974527"/>
    <s v="IBK PRIVADA"/>
    <m/>
    <m/>
    <n v="0.55318287037037039"/>
    <s v="XIAOMI SCHELL"/>
  </r>
  <r>
    <n v="1023366"/>
    <s v="VA"/>
    <s v="A"/>
    <n v="46136"/>
    <n v="46136"/>
    <m/>
    <n v="371"/>
    <s v="PS0005"/>
    <n v="8758"/>
    <n v="3061"/>
    <m/>
    <s v="463401******0296"/>
    <s v="Nac"/>
    <s v="COM"/>
    <x v="24"/>
    <n v="2899"/>
    <x v="0"/>
    <n v="83.78"/>
    <n v="22.9"/>
    <n v="4.12"/>
    <n v="2811.1"/>
    <n v="0"/>
    <m/>
    <n v="20260427"/>
    <m/>
    <s v="CREDITO"/>
    <n v="3974527"/>
    <s v="BCP"/>
    <m/>
    <m/>
    <n v="0.55619212962962961"/>
    <s v="XIAOMI SCHELL"/>
  </r>
  <r>
    <n v="1023366"/>
    <s v="VA"/>
    <s v="A"/>
    <n v="46136"/>
    <n v="46136"/>
    <m/>
    <n v="371"/>
    <s v="PS0005"/>
    <n v="8760"/>
    <n v="862813"/>
    <n v="3"/>
    <s v="414791******7033"/>
    <s v="Nac"/>
    <s v="COM"/>
    <x v="24"/>
    <n v="179"/>
    <x v="0"/>
    <n v="8.3000000000000007"/>
    <n v="1.05"/>
    <n v="0.19"/>
    <n v="170.51"/>
    <n v="0"/>
    <m/>
    <n v="20260427"/>
    <m/>
    <s v="CREDITO"/>
    <n v="3974527"/>
    <s v="BBVA"/>
    <s v="SI"/>
    <m/>
    <n v="0.58052083333333337"/>
    <s v="XIAOMI SCHELL"/>
  </r>
  <r>
    <n v="1023366"/>
    <s v="VA"/>
    <s v="A"/>
    <n v="46136"/>
    <n v="46136"/>
    <m/>
    <n v="371"/>
    <s v="PS0005"/>
    <n v="8762"/>
    <n v="81783"/>
    <m/>
    <s v="477289******9974"/>
    <s v="Nac"/>
    <s v="COM"/>
    <x v="24"/>
    <n v="1099"/>
    <x v="0"/>
    <n v="31.76"/>
    <n v="4.28"/>
    <n v="0.77"/>
    <n v="1066.47"/>
    <n v="0"/>
    <m/>
    <n v="20260427"/>
    <m/>
    <s v="CREDITO"/>
    <n v="3974527"/>
    <s v="IBK PRIVADA"/>
    <m/>
    <m/>
    <n v="0.58899305555555559"/>
    <s v="XIAOMI SCHELL"/>
  </r>
  <r>
    <n v="1023366"/>
    <s v="VA"/>
    <s v="A"/>
    <n v="46136"/>
    <n v="46136"/>
    <m/>
    <n v="371"/>
    <s v="PS0005"/>
    <n v="8764"/>
    <n v="1346"/>
    <n v="12"/>
    <s v="463403******7498"/>
    <s v="Nac"/>
    <s v="COM"/>
    <x v="24"/>
    <n v="2899"/>
    <x v="0"/>
    <n v="83.78"/>
    <n v="17.100000000000001"/>
    <n v="3.08"/>
    <n v="2812.14"/>
    <n v="0"/>
    <m/>
    <n v="20260427"/>
    <m/>
    <s v="CREDITO"/>
    <n v="3974527"/>
    <s v="BCP"/>
    <s v="NO"/>
    <m/>
    <n v="0.59381944444444446"/>
    <s v="XIAOMI SCHELL"/>
  </r>
  <r>
    <n v="1023366"/>
    <s v="VA"/>
    <s v="A"/>
    <n v="46136"/>
    <n v="46136"/>
    <m/>
    <n v="371"/>
    <s v="PS0005"/>
    <n v="8766"/>
    <n v="4833"/>
    <m/>
    <s v="445330******2121"/>
    <s v="Nac"/>
    <s v="COM"/>
    <x v="24"/>
    <n v="219"/>
    <x v="0"/>
    <n v="6.33"/>
    <n v="1.73"/>
    <n v="0.31"/>
    <n v="212.36"/>
    <n v="0"/>
    <m/>
    <n v="20260427"/>
    <m/>
    <s v="CREDITO"/>
    <n v="3974527"/>
    <s v="BCP"/>
    <m/>
    <m/>
    <n v="0.59731481481481485"/>
    <s v="XIAOMI SCHELL"/>
  </r>
  <r>
    <n v="1023366"/>
    <s v="VA"/>
    <s v="A"/>
    <n v="46136"/>
    <n v="46136"/>
    <m/>
    <n v="371"/>
    <n v="65656565"/>
    <n v="8768"/>
    <n v="699164"/>
    <m/>
    <s v="455788******5116"/>
    <s v="Nac"/>
    <s v="COM"/>
    <x v="24"/>
    <n v="109"/>
    <x v="0"/>
    <n v="3.15"/>
    <n v="1.41"/>
    <n v="0.25"/>
    <n v="105.6"/>
    <n v="0"/>
    <m/>
    <n v="20260427"/>
    <m/>
    <s v="DEBITO"/>
    <n v="3974527"/>
    <s v="BCP"/>
    <m/>
    <s v="Yape"/>
    <n v="0.66835648148148152"/>
    <s v="XIAOMI SCHELL"/>
  </r>
  <r>
    <n v="1023366"/>
    <s v="VA"/>
    <s v="A"/>
    <n v="46136"/>
    <n v="46136"/>
    <m/>
    <n v="371"/>
    <s v="PS0005"/>
    <n v="8771"/>
    <n v="317743"/>
    <m/>
    <s v="444355******5048"/>
    <s v="Nac"/>
    <s v="COM"/>
    <x v="24"/>
    <n v="189"/>
    <x v="0"/>
    <n v="5.46"/>
    <n v="1.1100000000000001"/>
    <n v="0.2"/>
    <n v="183.34"/>
    <n v="0"/>
    <m/>
    <n v="20260427"/>
    <m/>
    <s v="CREDITO"/>
    <n v="3974527"/>
    <s v="BBVA"/>
    <m/>
    <m/>
    <n v="0.679224537037037"/>
    <s v="XIAOMI SCHELL"/>
  </r>
  <r>
    <n v="1023366"/>
    <s v="VA"/>
    <s v="A"/>
    <n v="46136"/>
    <n v="46136"/>
    <m/>
    <n v="371"/>
    <s v="PS0005"/>
    <n v="8773"/>
    <n v="356423"/>
    <n v="3"/>
    <s v="414791******1117"/>
    <s v="Nac"/>
    <s v="COM"/>
    <x v="24"/>
    <n v="229"/>
    <x v="0"/>
    <n v="10.63"/>
    <n v="1.35"/>
    <n v="0.24"/>
    <n v="218.13"/>
    <n v="0"/>
    <m/>
    <n v="20260427"/>
    <m/>
    <s v="CREDITO"/>
    <n v="3974527"/>
    <s v="BBVA"/>
    <s v="SI"/>
    <m/>
    <n v="0.6877199074074074"/>
    <s v="XIAOMI SCHELL"/>
  </r>
  <r>
    <n v="1023366"/>
    <s v="VA"/>
    <s v="A"/>
    <n v="46136"/>
    <n v="46136"/>
    <m/>
    <n v="371"/>
    <s v="PS0005"/>
    <n v="8775"/>
    <n v="424388"/>
    <n v="3"/>
    <s v="491914******9624"/>
    <s v="Nac"/>
    <s v="COM"/>
    <x v="24"/>
    <n v="849"/>
    <x v="0"/>
    <n v="39.4"/>
    <n v="5.01"/>
    <n v="0.9"/>
    <n v="808.7"/>
    <n v="0"/>
    <m/>
    <n v="20260427"/>
    <m/>
    <s v="CREDITO"/>
    <n v="3974527"/>
    <s v="BBVA"/>
    <s v="SI"/>
    <m/>
    <n v="0.7023611111111111"/>
    <s v="XIAOMI SCHELL"/>
  </r>
  <r>
    <n v="1023366"/>
    <s v="VA"/>
    <s v="A"/>
    <n v="46136"/>
    <n v="46136"/>
    <m/>
    <n v="371"/>
    <s v="PS0005"/>
    <n v="8779"/>
    <n v="112984"/>
    <m/>
    <s v="455788******5145"/>
    <s v="Nac"/>
    <s v="COM"/>
    <x v="24"/>
    <n v="149"/>
    <x v="0"/>
    <n v="4.3099999999999996"/>
    <n v="1.93"/>
    <n v="0.35"/>
    <n v="144.34"/>
    <n v="0"/>
    <m/>
    <n v="20260427"/>
    <m/>
    <s v="DEBITO"/>
    <n v="3974527"/>
    <s v="BCP"/>
    <m/>
    <m/>
    <n v="0.72111111111111115"/>
    <s v="XIAOMI SCHELL"/>
  </r>
  <r>
    <n v="1023366"/>
    <s v="VA"/>
    <s v="A"/>
    <n v="46136"/>
    <n v="46136"/>
    <m/>
    <n v="371"/>
    <s v="PS0005"/>
    <n v="8781"/>
    <n v="33395"/>
    <m/>
    <s v="454448******5997"/>
    <s v="Nac"/>
    <s v="COM"/>
    <x v="24"/>
    <n v="2099"/>
    <x v="0"/>
    <n v="60.66"/>
    <n v="16.579999999999998"/>
    <n v="2.98"/>
    <n v="2035.36"/>
    <n v="0"/>
    <m/>
    <n v="20260427"/>
    <m/>
    <s v="CREDITO"/>
    <n v="3974527"/>
    <s v="SCOTIABANK"/>
    <m/>
    <m/>
    <n v="0.72863425925925929"/>
    <s v="XIAOMI SCHELL"/>
  </r>
  <r>
    <n v="1023366"/>
    <s v="VA"/>
    <s v="A"/>
    <n v="46136"/>
    <n v="46136"/>
    <m/>
    <n v="371"/>
    <s v="PS0005"/>
    <n v="8783"/>
    <n v="600945"/>
    <n v="3"/>
    <s v="414075******7230"/>
    <s v="Nac"/>
    <s v="COM"/>
    <x v="24"/>
    <n v="158"/>
    <x v="0"/>
    <n v="7.34"/>
    <n v="0.62"/>
    <n v="0.11"/>
    <n v="150.55000000000001"/>
    <n v="0"/>
    <m/>
    <n v="20260427"/>
    <m/>
    <s v="CREDITO"/>
    <n v="3974527"/>
    <s v="BBVA"/>
    <s v="SI"/>
    <m/>
    <n v="0.73731481481481487"/>
    <s v="XIAOMI SCHELL"/>
  </r>
  <r>
    <n v="1023366"/>
    <s v="VA"/>
    <s v="A"/>
    <n v="46136"/>
    <n v="46136"/>
    <m/>
    <n v="371"/>
    <n v="65656565"/>
    <n v="8785"/>
    <n v="180948"/>
    <m/>
    <s v="455788******4975"/>
    <s v="Nac"/>
    <s v="COM"/>
    <x v="24"/>
    <n v="55"/>
    <x v="0"/>
    <n v="1.58"/>
    <n v="0.7"/>
    <n v="0.13"/>
    <n v="53.29"/>
    <n v="0"/>
    <m/>
    <n v="20260427"/>
    <m/>
    <s v="DEBITO"/>
    <n v="3974527"/>
    <s v="BCP"/>
    <m/>
    <s v="Yape"/>
    <n v="0.7469675925925926"/>
    <s v="XIAOMI SCHELL"/>
  </r>
  <r>
    <n v="1023366"/>
    <s v="VA"/>
    <s v="A"/>
    <n v="46136"/>
    <n v="46136"/>
    <m/>
    <n v="371"/>
    <s v="PS0005"/>
    <n v="8788"/>
    <n v="995575"/>
    <m/>
    <s v="491257******9321"/>
    <s v="Nac"/>
    <s v="COM"/>
    <x v="24"/>
    <n v="189"/>
    <x v="0"/>
    <n v="5.46"/>
    <n v="2.44"/>
    <n v="0.44"/>
    <n v="183.1"/>
    <n v="0"/>
    <m/>
    <n v="20260427"/>
    <m/>
    <s v="DEBITO"/>
    <n v="3974527"/>
    <s v="BCP"/>
    <m/>
    <m/>
    <n v="0.75075231481481486"/>
    <s v="XIAOMI SCHELL"/>
  </r>
  <r>
    <n v="1023366"/>
    <s v="VA"/>
    <s v="A"/>
    <n v="46136"/>
    <n v="46136"/>
    <m/>
    <n v="371"/>
    <s v="PS0005"/>
    <n v="8792"/>
    <n v="774574"/>
    <m/>
    <s v="414791******5044"/>
    <s v="Nac"/>
    <s v="COM"/>
    <x v="24"/>
    <n v="399"/>
    <x v="0"/>
    <n v="11.53"/>
    <n v="2.35"/>
    <n v="0.42"/>
    <n v="387.05"/>
    <n v="0"/>
    <m/>
    <n v="20260427"/>
    <m/>
    <s v="CREDITO"/>
    <n v="3974527"/>
    <s v="BBVA"/>
    <m/>
    <m/>
    <n v="0.76829861111111108"/>
    <s v="XIAOMI SCHELL"/>
  </r>
  <r>
    <n v="1023366"/>
    <s v="VA"/>
    <s v="A"/>
    <n v="46136"/>
    <n v="46136"/>
    <m/>
    <n v="371"/>
    <s v="PS0005"/>
    <n v="8794"/>
    <n v="6567"/>
    <m/>
    <s v="428076******9125"/>
    <s v="Nac"/>
    <s v="COM"/>
    <x v="24"/>
    <n v="34.9"/>
    <x v="0"/>
    <n v="1.01"/>
    <n v="0.14000000000000001"/>
    <n v="0.03"/>
    <n v="33.86"/>
    <n v="0"/>
    <m/>
    <n v="20260427"/>
    <m/>
    <s v="CREDITO"/>
    <n v="3974527"/>
    <s v="BCP"/>
    <m/>
    <m/>
    <n v="0.77182870370370371"/>
    <s v="XIAOMI SCHELL"/>
  </r>
  <r>
    <n v="1023366"/>
    <s v="VA"/>
    <s v="A"/>
    <n v="46136"/>
    <n v="46136"/>
    <m/>
    <n v="371"/>
    <s v="PS0005"/>
    <n v="8798"/>
    <n v="326665"/>
    <m/>
    <s v="455788******7118"/>
    <s v="Nac"/>
    <s v="COM"/>
    <x v="24"/>
    <n v="69"/>
    <x v="0"/>
    <n v="1.99"/>
    <n v="0.89"/>
    <n v="0.16"/>
    <n v="66.849999999999994"/>
    <n v="0"/>
    <m/>
    <n v="20260427"/>
    <m/>
    <s v="DEBITO"/>
    <n v="3974527"/>
    <s v="BCP"/>
    <m/>
    <m/>
    <n v="0.79907407407407405"/>
    <s v="XIAOMI SCHELL"/>
  </r>
  <r>
    <n v="1023366"/>
    <s v="VA"/>
    <s v="A"/>
    <n v="46136"/>
    <n v="46136"/>
    <m/>
    <n v="371"/>
    <s v="PS0005"/>
    <n v="8803"/>
    <n v="51191"/>
    <m/>
    <s v="411539******7151"/>
    <s v="Nac"/>
    <s v="COM"/>
    <x v="24"/>
    <n v="75"/>
    <x v="0"/>
    <n v="2.17"/>
    <n v="0.97"/>
    <n v="0.17"/>
    <n v="72.66"/>
    <n v="0"/>
    <m/>
    <n v="20260427"/>
    <m/>
    <s v="DEBITO"/>
    <n v="3974527"/>
    <s v="VISA LOC"/>
    <m/>
    <m/>
    <n v="0.80391203703703706"/>
    <s v="XIAOMI SCHELL"/>
  </r>
  <r>
    <n v="1023366"/>
    <s v="VA"/>
    <s v="A"/>
    <n v="46136"/>
    <n v="46136"/>
    <m/>
    <n v="371"/>
    <s v="PS0005"/>
    <n v="8805"/>
    <n v="175127"/>
    <m/>
    <s v="455788******5447"/>
    <s v="Nac"/>
    <s v="COM"/>
    <x v="24"/>
    <n v="29.9"/>
    <x v="0"/>
    <n v="0.86"/>
    <n v="0.38"/>
    <n v="7.0000000000000007E-2"/>
    <n v="28.97"/>
    <n v="0"/>
    <m/>
    <n v="20260427"/>
    <m/>
    <s v="DEBITO"/>
    <n v="3974527"/>
    <s v="BCP"/>
    <m/>
    <m/>
    <n v="0.81337962962962962"/>
    <s v="XIAOMI SCHELL"/>
  </r>
  <r>
    <n v="1023366"/>
    <s v="VA"/>
    <s v="A"/>
    <n v="46136"/>
    <n v="46136"/>
    <m/>
    <n v="371"/>
    <s v="PS0005"/>
    <n v="8807"/>
    <n v="9379"/>
    <m/>
    <s v="428076******5546"/>
    <s v="Nac"/>
    <s v="COM"/>
    <x v="24"/>
    <n v="2599"/>
    <x v="0"/>
    <n v="75.11"/>
    <n v="10.130000000000001"/>
    <n v="1.82"/>
    <n v="2522.0700000000002"/>
    <n v="0"/>
    <m/>
    <n v="20260427"/>
    <m/>
    <s v="CREDITO"/>
    <n v="3974527"/>
    <s v="BCP"/>
    <m/>
    <m/>
    <n v="0.82405092592592588"/>
    <s v="XIAOMI SCHELL"/>
  </r>
  <r>
    <n v="1023366"/>
    <s v="VA"/>
    <s v="A"/>
    <n v="46136"/>
    <n v="46136"/>
    <m/>
    <n v="371"/>
    <s v="PS0005"/>
    <n v="8809"/>
    <n v="174253"/>
    <m/>
    <s v="455696******5584"/>
    <s v="Nac"/>
    <s v="COM"/>
    <x v="24"/>
    <n v="278"/>
    <x v="0"/>
    <n v="8.0299999999999994"/>
    <n v="1.64"/>
    <n v="0.3"/>
    <n v="269.67"/>
    <n v="15528.98"/>
    <n v="46139"/>
    <n v="20260427"/>
    <m/>
    <s v="CREDITO"/>
    <n v="3974527"/>
    <s v="IBK PRIVADA"/>
    <m/>
    <m/>
    <n v="0.84553240740740743"/>
    <s v="XIAOMI SCHELL"/>
  </r>
  <r>
    <n v="1023366"/>
    <s v="VK"/>
    <s v="A"/>
    <n v="46136"/>
    <n v="46136"/>
    <m/>
    <n v="371"/>
    <s v="PS0005"/>
    <n v="8790"/>
    <n v="76861"/>
    <m/>
    <s v="404071******5112"/>
    <s v="Nac"/>
    <s v="COM"/>
    <x v="24"/>
    <n v="19.899999999999999"/>
    <x v="0"/>
    <n v="0.57999999999999996"/>
    <n v="0.16"/>
    <n v="0.03"/>
    <n v="19.29"/>
    <n v="19.29"/>
    <n v="46139"/>
    <n v="20260427"/>
    <m/>
    <s v="CREDITO"/>
    <n v="3974527"/>
    <s v="SIP MC"/>
    <m/>
    <m/>
    <n v="0.76121527777777775"/>
    <s v="XIAOMI SCHELL"/>
  </r>
  <r>
    <n v="1023366"/>
    <s v="MC"/>
    <s v="A"/>
    <n v="46137"/>
    <n v="46137"/>
    <m/>
    <n v="372"/>
    <s v="PS0005"/>
    <n v="8897"/>
    <n v="104206"/>
    <m/>
    <s v="511842******4845"/>
    <s v="Nac"/>
    <s v="COM"/>
    <x v="25"/>
    <n v="529"/>
    <x v="0"/>
    <n v="15.29"/>
    <n v="6.03"/>
    <n v="1.0900000000000001"/>
    <n v="512.62"/>
    <n v="512.62"/>
    <n v="46139"/>
    <n v="20260427"/>
    <m/>
    <s v="DEBITO"/>
    <n v="3974527"/>
    <s v="SCOTIA DEBIT"/>
    <m/>
    <m/>
    <n v="0.71312500000000001"/>
    <s v="XIAOMI SCHELL"/>
  </r>
  <r>
    <n v="1023366"/>
    <s v="VA"/>
    <s v="A"/>
    <n v="46137"/>
    <n v="46137"/>
    <m/>
    <n v="670"/>
    <s v="PS0003"/>
    <n v="9221"/>
    <n v="5251"/>
    <m/>
    <s v="463402******0758"/>
    <s v="Nac"/>
    <s v="COM"/>
    <x v="25"/>
    <n v="27.5"/>
    <x v="0"/>
    <n v="0.79"/>
    <n v="0.21"/>
    <n v="0.04"/>
    <n v="26.67"/>
    <n v="0"/>
    <m/>
    <n v="20260427"/>
    <m/>
    <s v="CREDITO"/>
    <s v="FD8B1962"/>
    <s v="BCP"/>
    <m/>
    <m/>
    <n v="0.64538194444444441"/>
    <s v="XIAOMI SCHELL"/>
  </r>
  <r>
    <n v="1023366"/>
    <s v="VA"/>
    <s v="A"/>
    <n v="46137"/>
    <n v="46137"/>
    <m/>
    <n v="372"/>
    <s v="PS0005"/>
    <n v="8825"/>
    <s v="HAPKR2"/>
    <m/>
    <s v="472955******9960"/>
    <s v="Nac"/>
    <s v="COM"/>
    <x v="25"/>
    <n v="379"/>
    <x v="0"/>
    <n v="10.95"/>
    <n v="2.99"/>
    <n v="0.54"/>
    <n v="367.51"/>
    <n v="0"/>
    <m/>
    <n v="20260427"/>
    <m/>
    <s v="CREDITO"/>
    <n v="3974527"/>
    <s v="VISA LOC"/>
    <m/>
    <m/>
    <n v="0.44010416666666669"/>
    <s v="XIAOMI SCHELL"/>
  </r>
  <r>
    <n v="1023366"/>
    <s v="VA"/>
    <s v="A"/>
    <n v="46137"/>
    <n v="46137"/>
    <m/>
    <n v="372"/>
    <s v="PS0005"/>
    <n v="8827"/>
    <n v="518591"/>
    <n v="3"/>
    <s v="491914******8718"/>
    <s v="Nac"/>
    <s v="COM"/>
    <x v="25"/>
    <n v="743"/>
    <x v="0"/>
    <n v="34.47"/>
    <n v="4.38"/>
    <n v="0.79"/>
    <n v="707.74"/>
    <n v="0"/>
    <m/>
    <n v="20260427"/>
    <m/>
    <s v="CREDITO"/>
    <n v="3974527"/>
    <s v="BBVA"/>
    <s v="SI"/>
    <m/>
    <n v="0.44491898148148146"/>
    <s v="XIAOMI SCHELL"/>
  </r>
  <r>
    <n v="1023366"/>
    <s v="VA"/>
    <s v="A"/>
    <n v="46137"/>
    <n v="46137"/>
    <m/>
    <n v="372"/>
    <s v="PS0005"/>
    <n v="8829"/>
    <n v="8981"/>
    <m/>
    <s v="445331******7092"/>
    <s v="Nac"/>
    <s v="COM"/>
    <x v="25"/>
    <n v="52.9"/>
    <x v="0"/>
    <n v="1.53"/>
    <n v="0.31"/>
    <n v="0.06"/>
    <n v="51.31"/>
    <n v="0"/>
    <m/>
    <n v="20260427"/>
    <m/>
    <s v="CREDITO"/>
    <n v="3974527"/>
    <s v="BCP"/>
    <m/>
    <m/>
    <n v="0.50089120370370366"/>
    <s v="XIAOMI SCHELL"/>
  </r>
  <r>
    <n v="1023366"/>
    <s v="VA"/>
    <s v="A"/>
    <n v="46137"/>
    <n v="46137"/>
    <m/>
    <n v="372"/>
    <s v="PS0005"/>
    <n v="8832"/>
    <n v="264001"/>
    <m/>
    <s v="438877******0689"/>
    <s v="Nac"/>
    <s v="COM"/>
    <x v="25"/>
    <n v="69"/>
    <x v="0"/>
    <n v="1.99"/>
    <n v="0.89"/>
    <n v="0.16"/>
    <n v="66.849999999999994"/>
    <n v="0"/>
    <m/>
    <n v="20260427"/>
    <m/>
    <s v="DEBITO"/>
    <n v="3974527"/>
    <s v="VISA LOC"/>
    <m/>
    <m/>
    <n v="0.51021990740740741"/>
    <s v="XIAOMI SCHELL"/>
  </r>
  <r>
    <n v="1023366"/>
    <s v="VA"/>
    <s v="A"/>
    <n v="46137"/>
    <n v="46137"/>
    <m/>
    <n v="372"/>
    <s v="PS0005"/>
    <n v="8834"/>
    <n v="172672"/>
    <m/>
    <s v="455788******2084"/>
    <s v="Nac"/>
    <s v="COM"/>
    <x v="25"/>
    <n v="34.9"/>
    <x v="0"/>
    <n v="1.01"/>
    <n v="0.45"/>
    <n v="0.08"/>
    <n v="33.81"/>
    <n v="0"/>
    <m/>
    <n v="20260427"/>
    <m/>
    <s v="DEBITO"/>
    <n v="3974527"/>
    <s v="BCP"/>
    <m/>
    <m/>
    <n v="0.53127314814814819"/>
    <s v="XIAOMI SCHELL"/>
  </r>
  <r>
    <n v="1023366"/>
    <s v="VA"/>
    <s v="A"/>
    <n v="46137"/>
    <n v="46137"/>
    <m/>
    <n v="372"/>
    <s v="PS0005"/>
    <n v="8838"/>
    <n v="374571"/>
    <m/>
    <s v="455788******6482"/>
    <s v="Nac"/>
    <s v="COM"/>
    <x v="25"/>
    <n v="2399"/>
    <x v="0"/>
    <n v="69.33"/>
    <n v="30.95"/>
    <n v="5.57"/>
    <n v="2324.1"/>
    <n v="0"/>
    <m/>
    <n v="20260427"/>
    <m/>
    <s v="DEBITO"/>
    <n v="3974527"/>
    <s v="BCP"/>
    <m/>
    <m/>
    <n v="0.55114583333333333"/>
    <s v="XIAOMI SCHELL"/>
  </r>
  <r>
    <n v="1023366"/>
    <s v="VA"/>
    <s v="A"/>
    <n v="46137"/>
    <n v="46137"/>
    <m/>
    <n v="372"/>
    <s v="PS0005"/>
    <n v="8840"/>
    <n v="153638"/>
    <m/>
    <s v="455103******4706"/>
    <s v="Nac"/>
    <s v="COM"/>
    <x v="25"/>
    <n v="108.9"/>
    <x v="0"/>
    <n v="3.15"/>
    <n v="1.41"/>
    <n v="0.25"/>
    <n v="105.5"/>
    <n v="0"/>
    <m/>
    <n v="20260427"/>
    <m/>
    <s v="DEBITO"/>
    <n v="3974527"/>
    <s v="BBVA"/>
    <m/>
    <m/>
    <n v="0.55645833333333339"/>
    <s v="XIAOMI SCHELL"/>
  </r>
  <r>
    <n v="1023366"/>
    <s v="VA"/>
    <s v="A"/>
    <n v="46137"/>
    <n v="46137"/>
    <m/>
    <n v="372"/>
    <s v="PS0005"/>
    <n v="8842"/>
    <n v="395013"/>
    <m/>
    <s v="455788******6657"/>
    <s v="Nac"/>
    <s v="COM"/>
    <x v="25"/>
    <n v="249"/>
    <x v="0"/>
    <n v="7.2"/>
    <n v="3.22"/>
    <n v="0.57999999999999996"/>
    <n v="241.22"/>
    <n v="0"/>
    <m/>
    <n v="20260427"/>
    <m/>
    <s v="DEBITO"/>
    <n v="3974527"/>
    <s v="BCP"/>
    <m/>
    <m/>
    <n v="0.55827546296296293"/>
    <s v="XIAOMI SCHELL"/>
  </r>
  <r>
    <n v="1023366"/>
    <s v="VA"/>
    <s v="A"/>
    <n v="46137"/>
    <n v="46137"/>
    <m/>
    <n v="372"/>
    <s v="PS0005"/>
    <n v="8844"/>
    <n v="243372"/>
    <m/>
    <s v="414791******7801"/>
    <s v="Nac"/>
    <s v="COM"/>
    <x v="25"/>
    <n v="1399"/>
    <x v="0"/>
    <n v="40.43"/>
    <n v="8.25"/>
    <n v="1.49"/>
    <n v="1357.08"/>
    <n v="0"/>
    <m/>
    <n v="20260427"/>
    <m/>
    <s v="CREDITO"/>
    <n v="3974527"/>
    <s v="BBVA"/>
    <m/>
    <m/>
    <n v="0.57089120370370372"/>
    <s v="XIAOMI SCHELL"/>
  </r>
  <r>
    <n v="1023366"/>
    <s v="VA"/>
    <s v="A"/>
    <n v="46137"/>
    <n v="46137"/>
    <m/>
    <n v="372"/>
    <s v="PS0005"/>
    <n v="8846"/>
    <n v="250378"/>
    <n v="3"/>
    <s v="414075******8201"/>
    <s v="Nac"/>
    <s v="COM"/>
    <x v="25"/>
    <n v="428"/>
    <x v="0"/>
    <n v="19.86"/>
    <n v="1.67"/>
    <n v="0.3"/>
    <n v="407.84"/>
    <n v="0"/>
    <m/>
    <n v="20260427"/>
    <m/>
    <s v="CREDITO"/>
    <n v="3974527"/>
    <s v="BBVA"/>
    <s v="SI"/>
    <m/>
    <n v="0.5720601851851852"/>
    <s v="XIAOMI SCHELL"/>
  </r>
  <r>
    <n v="1023366"/>
    <s v="VA"/>
    <s v="A"/>
    <n v="46137"/>
    <n v="46137"/>
    <m/>
    <n v="372"/>
    <s v="PS0005"/>
    <n v="8850"/>
    <n v="382649"/>
    <m/>
    <s v="455103******3649"/>
    <s v="Nac"/>
    <s v="COM"/>
    <x v="25"/>
    <n v="149"/>
    <x v="0"/>
    <n v="4.3099999999999996"/>
    <n v="1.93"/>
    <n v="0.35"/>
    <n v="144.34"/>
    <n v="0"/>
    <m/>
    <n v="20260427"/>
    <m/>
    <s v="DEBITO"/>
    <n v="3974527"/>
    <s v="BBVA"/>
    <m/>
    <m/>
    <n v="0.59431712962962968"/>
    <s v="XIAOMI SCHELL"/>
  </r>
  <r>
    <n v="1023366"/>
    <s v="VA"/>
    <s v="A"/>
    <n v="46137"/>
    <n v="46137"/>
    <m/>
    <n v="372"/>
    <s v="PS0005"/>
    <n v="8854"/>
    <n v="9234"/>
    <m/>
    <s v="463402******7336"/>
    <s v="Nac"/>
    <s v="COM"/>
    <x v="25"/>
    <n v="1399"/>
    <x v="0"/>
    <n v="40.43"/>
    <n v="11.05"/>
    <n v="1.99"/>
    <n v="1356.58"/>
    <n v="0"/>
    <m/>
    <n v="20260427"/>
    <m/>
    <s v="CREDITO"/>
    <n v="3974527"/>
    <s v="BCP"/>
    <m/>
    <m/>
    <n v="0.61109953703703701"/>
    <s v="XIAOMI SCHELL"/>
  </r>
  <r>
    <n v="1023366"/>
    <s v="VA"/>
    <s v="A"/>
    <n v="46137"/>
    <n v="46137"/>
    <m/>
    <n v="372"/>
    <s v="PS0005"/>
    <n v="8856"/>
    <n v="14530"/>
    <m/>
    <s v="424138******1996"/>
    <s v="Nac"/>
    <s v="COM"/>
    <x v="25"/>
    <n v="143.9"/>
    <x v="0"/>
    <n v="4.16"/>
    <n v="0.85"/>
    <n v="0.15"/>
    <n v="139.59"/>
    <n v="0"/>
    <m/>
    <n v="20260427"/>
    <m/>
    <s v="CREDITO"/>
    <n v="3974527"/>
    <s v="SCOTIABANK"/>
    <m/>
    <m/>
    <n v="0.63741898148148146"/>
    <s v="XIAOMI SCHELL"/>
  </r>
  <r>
    <n v="1023366"/>
    <s v="VA"/>
    <s v="A"/>
    <n v="46137"/>
    <n v="46137"/>
    <m/>
    <n v="372"/>
    <s v="PS0005"/>
    <n v="8858"/>
    <n v="202762"/>
    <m/>
    <s v="411090******3798"/>
    <s v="Nac"/>
    <s v="COM"/>
    <x v="25"/>
    <n v="1448"/>
    <x v="0"/>
    <n v="41.85"/>
    <n v="8.5500000000000007"/>
    <n v="1.54"/>
    <n v="1404.61"/>
    <n v="0"/>
    <m/>
    <n v="20260427"/>
    <m/>
    <s v="CREDITO"/>
    <n v="3974527"/>
    <s v="IBK PRIVADA"/>
    <m/>
    <m/>
    <n v="0.63910879629629624"/>
    <s v="XIAOMI SCHELL"/>
  </r>
  <r>
    <n v="1023366"/>
    <s v="VA"/>
    <s v="A"/>
    <n v="46137"/>
    <n v="46137"/>
    <m/>
    <n v="372"/>
    <s v="PS0005"/>
    <n v="8865"/>
    <n v="8245"/>
    <m/>
    <s v="428076******8794"/>
    <s v="Nac"/>
    <s v="COM"/>
    <x v="25"/>
    <n v="69"/>
    <x v="0"/>
    <n v="1.99"/>
    <n v="0.26"/>
    <n v="0.05"/>
    <n v="66.959999999999994"/>
    <n v="0"/>
    <m/>
    <n v="20260427"/>
    <m/>
    <s v="CREDITO"/>
    <n v="3974527"/>
    <s v="BCP"/>
    <m/>
    <m/>
    <n v="0.65762731481481485"/>
    <s v="XIAOMI SCHELL"/>
  </r>
  <r>
    <n v="1023366"/>
    <s v="VA"/>
    <s v="A"/>
    <n v="46137"/>
    <n v="46137"/>
    <m/>
    <n v="372"/>
    <s v="PS0005"/>
    <n v="8867"/>
    <n v="21319"/>
    <m/>
    <s v="407067******0432"/>
    <s v="Nac"/>
    <s v="COM"/>
    <x v="25"/>
    <n v="75"/>
    <x v="0"/>
    <n v="2.17"/>
    <n v="0.44"/>
    <n v="0.08"/>
    <n v="72.75"/>
    <n v="0"/>
    <m/>
    <n v="20260427"/>
    <m/>
    <s v="CREDITO"/>
    <n v="3974527"/>
    <s v="SCOTIABANK"/>
    <m/>
    <m/>
    <n v="0.65832175925925929"/>
    <s v="XIAOMI SCHELL"/>
  </r>
  <r>
    <n v="1023366"/>
    <s v="VA"/>
    <s v="A"/>
    <n v="46137"/>
    <n v="46137"/>
    <m/>
    <n v="372"/>
    <s v="PS0005"/>
    <n v="8874"/>
    <n v="768050"/>
    <m/>
    <s v="438466******7305"/>
    <s v="Nac"/>
    <s v="COM"/>
    <x v="25"/>
    <n v="269"/>
    <x v="0"/>
    <n v="7.77"/>
    <n v="1.58"/>
    <n v="0.28000000000000003"/>
    <n v="260.95"/>
    <n v="0"/>
    <m/>
    <n v="20260427"/>
    <m/>
    <s v="CREDITO"/>
    <n v="3974527"/>
    <s v="VISA LOC"/>
    <m/>
    <m/>
    <n v="0.66673611111111108"/>
    <s v="XIAOMI SCHELL"/>
  </r>
  <r>
    <n v="1023366"/>
    <s v="VA"/>
    <s v="A"/>
    <n v="46137"/>
    <n v="46137"/>
    <m/>
    <n v="372"/>
    <s v="PS0005"/>
    <n v="8876"/>
    <n v="391831"/>
    <m/>
    <s v="455788******2867"/>
    <s v="Nac"/>
    <s v="COM"/>
    <x v="25"/>
    <n v="69"/>
    <x v="0"/>
    <n v="1.99"/>
    <n v="0.89"/>
    <n v="0.16"/>
    <n v="66.849999999999994"/>
    <n v="0"/>
    <m/>
    <n v="20260427"/>
    <m/>
    <s v="DEBITO"/>
    <n v="3974527"/>
    <s v="BCP"/>
    <m/>
    <m/>
    <n v="0.66991898148148143"/>
    <s v="XIAOMI SCHELL"/>
  </r>
  <r>
    <n v="1023366"/>
    <s v="VA"/>
    <s v="A"/>
    <n v="46137"/>
    <n v="46137"/>
    <m/>
    <n v="372"/>
    <s v="PS0005"/>
    <n v="8879"/>
    <n v="795699"/>
    <m/>
    <s v="438466******2387"/>
    <s v="Nac"/>
    <s v="COM"/>
    <x v="25"/>
    <n v="2260"/>
    <x v="0"/>
    <n v="65.31"/>
    <n v="29.15"/>
    <n v="5.25"/>
    <n v="2189.44"/>
    <n v="0"/>
    <m/>
    <n v="20260427"/>
    <m/>
    <s v="DEBITO"/>
    <n v="3974527"/>
    <s v="VISA LOC"/>
    <m/>
    <m/>
    <n v="0.67212962962962963"/>
    <s v="XIAOMI SCHELL"/>
  </r>
  <r>
    <n v="1023366"/>
    <s v="VA"/>
    <s v="A"/>
    <n v="46137"/>
    <n v="46137"/>
    <m/>
    <n v="372"/>
    <s v="PS0005"/>
    <n v="8882"/>
    <n v="227608"/>
    <m/>
    <s v="401602******1235"/>
    <s v="Nac"/>
    <s v="COM"/>
    <x v="25"/>
    <n v="538"/>
    <x v="0"/>
    <n v="15.55"/>
    <n v="6.94"/>
    <n v="1.25"/>
    <n v="521.20000000000005"/>
    <n v="0"/>
    <m/>
    <n v="20260427"/>
    <m/>
    <s v="DEBITO"/>
    <n v="3974527"/>
    <s v="VISA LOC"/>
    <m/>
    <m/>
    <n v="0.68530092592592595"/>
    <s v="XIAOMI SCHELL"/>
  </r>
  <r>
    <n v="1023366"/>
    <s v="VA"/>
    <s v="A"/>
    <n v="46137"/>
    <n v="46137"/>
    <m/>
    <n v="372"/>
    <s v="PS0005"/>
    <n v="8884"/>
    <n v="437626"/>
    <m/>
    <s v="455788******3052"/>
    <s v="Nac"/>
    <s v="COM"/>
    <x v="25"/>
    <n v="75"/>
    <x v="0"/>
    <n v="2.17"/>
    <n v="0.97"/>
    <n v="0.17"/>
    <n v="72.66"/>
    <n v="0"/>
    <m/>
    <n v="20260427"/>
    <m/>
    <s v="DEBITO"/>
    <n v="3974527"/>
    <s v="BCP"/>
    <m/>
    <m/>
    <n v="0.6881018518518518"/>
    <s v="XIAOMI SCHELL"/>
  </r>
  <r>
    <n v="1023366"/>
    <s v="VA"/>
    <s v="A"/>
    <n v="46137"/>
    <n v="46137"/>
    <m/>
    <n v="372"/>
    <s v="PS0005"/>
    <n v="8886"/>
    <n v="239094"/>
    <m/>
    <s v="455696******6830"/>
    <s v="Nac"/>
    <s v="COM"/>
    <x v="25"/>
    <n v="62.25"/>
    <x v="0"/>
    <n v="1.8"/>
    <n v="0.8"/>
    <n v="0.14000000000000001"/>
    <n v="60.31"/>
    <n v="0"/>
    <m/>
    <n v="20260427"/>
    <m/>
    <s v="DEBITO"/>
    <n v="3974527"/>
    <s v="IBK PRIVADA"/>
    <m/>
    <m/>
    <n v="0.68877314814814816"/>
    <s v="XIAOMI SCHELL"/>
  </r>
  <r>
    <n v="1023366"/>
    <s v="VA"/>
    <s v="A"/>
    <n v="46137"/>
    <n v="46137"/>
    <m/>
    <n v="372"/>
    <s v="PS0005"/>
    <n v="8888"/>
    <n v="445284"/>
    <m/>
    <s v="492124******0296"/>
    <s v="Nac"/>
    <s v="COM"/>
    <x v="25"/>
    <n v="149"/>
    <x v="0"/>
    <n v="4.3099999999999996"/>
    <n v="1.93"/>
    <n v="0.35"/>
    <n v="144.34"/>
    <n v="0"/>
    <m/>
    <n v="20260427"/>
    <m/>
    <s v="DEBITO"/>
    <n v="3974527"/>
    <s v="BCP"/>
    <m/>
    <m/>
    <n v="0.69113425925925931"/>
    <s v="XIAOMI SCHELL"/>
  </r>
  <r>
    <n v="1023366"/>
    <s v="VA"/>
    <s v="A"/>
    <n v="46137"/>
    <n v="46137"/>
    <m/>
    <n v="372"/>
    <s v="PS0005"/>
    <n v="8890"/>
    <n v="380657"/>
    <m/>
    <s v="455696******7075"/>
    <s v="Nac"/>
    <s v="COM"/>
    <x v="25"/>
    <n v="269"/>
    <x v="0"/>
    <n v="7.77"/>
    <n v="1.58"/>
    <n v="0.28000000000000003"/>
    <n v="260.95"/>
    <n v="0"/>
    <m/>
    <n v="20260427"/>
    <m/>
    <s v="CREDITO"/>
    <n v="3974527"/>
    <s v="IBK PRIVADA"/>
    <m/>
    <m/>
    <n v="0.69303240740740746"/>
    <s v="XIAOMI SCHELL"/>
  </r>
  <r>
    <n v="1023366"/>
    <s v="VA"/>
    <s v="A"/>
    <n v="46137"/>
    <n v="46137"/>
    <m/>
    <n v="372"/>
    <s v="PS0005"/>
    <n v="8892"/>
    <n v="504216"/>
    <m/>
    <s v="421355******2629"/>
    <s v="Nac"/>
    <s v="COM"/>
    <x v="25"/>
    <n v="17.899999999999999"/>
    <x v="0"/>
    <n v="0.52"/>
    <n v="0.23"/>
    <n v="0.04"/>
    <n v="17.34"/>
    <n v="0"/>
    <m/>
    <n v="20260427"/>
    <m/>
    <s v="DEBITO"/>
    <n v="3974527"/>
    <s v="IBK PRIVADA"/>
    <m/>
    <m/>
    <n v="0.70505787037037038"/>
    <s v="XIAOMI SCHELL"/>
  </r>
  <r>
    <n v="1023366"/>
    <s v="VA"/>
    <s v="A"/>
    <n v="46137"/>
    <n v="46137"/>
    <m/>
    <n v="372"/>
    <s v="PS0005"/>
    <n v="8895"/>
    <n v="643510"/>
    <m/>
    <s v="438877******3989"/>
    <s v="Nac"/>
    <s v="COM"/>
    <x v="25"/>
    <n v="52"/>
    <x v="0"/>
    <n v="1.5"/>
    <n v="0.67"/>
    <n v="0.12"/>
    <n v="50.38"/>
    <n v="0"/>
    <m/>
    <n v="20260427"/>
    <m/>
    <s v="DEBITO"/>
    <n v="3974527"/>
    <s v="VISA LOC"/>
    <m/>
    <m/>
    <n v="0.7088888888888889"/>
    <s v="XIAOMI SCHELL"/>
  </r>
  <r>
    <n v="1023366"/>
    <s v="VA"/>
    <s v="A"/>
    <n v="46137"/>
    <n v="46137"/>
    <m/>
    <n v="372"/>
    <s v="PS0005"/>
    <n v="8899"/>
    <n v="986617"/>
    <n v="2"/>
    <s v="447409******6887"/>
    <s v="Nac"/>
    <s v="COM"/>
    <x v="25"/>
    <n v="199"/>
    <x v="0"/>
    <n v="5.75"/>
    <n v="1.57"/>
    <n v="0.28000000000000003"/>
    <n v="192.97"/>
    <n v="0"/>
    <m/>
    <n v="20260427"/>
    <m/>
    <s v="CREDITO"/>
    <n v="3974527"/>
    <s v="BFALABELLA"/>
    <s v="NO"/>
    <m/>
    <n v="0.71668981481481486"/>
    <s v="XIAOMI SCHELL"/>
  </r>
  <r>
    <n v="1023366"/>
    <s v="VA"/>
    <s v="A"/>
    <n v="46137"/>
    <n v="46137"/>
    <m/>
    <n v="372"/>
    <s v="PS0005"/>
    <n v="8905"/>
    <n v="1741"/>
    <m/>
    <s v="445330******6539"/>
    <s v="Nac"/>
    <s v="COM"/>
    <x v="25"/>
    <n v="109"/>
    <x v="0"/>
    <n v="3.15"/>
    <n v="0.86"/>
    <n v="0.15"/>
    <n v="105.7"/>
    <n v="0"/>
    <m/>
    <n v="20260427"/>
    <m/>
    <s v="CREDITO"/>
    <n v="3974527"/>
    <s v="BCP"/>
    <m/>
    <m/>
    <n v="0.76961805555555551"/>
    <s v="XIAOMI SCHELL"/>
  </r>
  <r>
    <n v="1023366"/>
    <s v="VA"/>
    <s v="A"/>
    <n v="46137"/>
    <n v="46137"/>
    <m/>
    <n v="372"/>
    <s v="PS0005"/>
    <n v="8908"/>
    <s v="03865D"/>
    <m/>
    <s v="411398******4920"/>
    <s v="Ext"/>
    <s v="COM"/>
    <x v="25"/>
    <n v="548"/>
    <x v="0"/>
    <n v="21.37"/>
    <n v="10.52"/>
    <n v="1.89"/>
    <n v="524.74"/>
    <n v="0"/>
    <m/>
    <n v="20260427"/>
    <m/>
    <s v="CREDITO"/>
    <n v="3974527"/>
    <s v="VISA INT"/>
    <m/>
    <m/>
    <n v="0.78824074074074069"/>
    <s v="XIAOMI SCHELL"/>
  </r>
  <r>
    <n v="1023366"/>
    <s v="VA"/>
    <s v="A"/>
    <n v="46137"/>
    <n v="46137"/>
    <m/>
    <n v="372"/>
    <s v="PS0005"/>
    <n v="8910"/>
    <n v="452023"/>
    <m/>
    <s v="414791******8409"/>
    <s v="Nac"/>
    <s v="COM"/>
    <x v="25"/>
    <n v="696"/>
    <x v="0"/>
    <n v="20.11"/>
    <n v="4.0999999999999996"/>
    <n v="0.74"/>
    <n v="675.15"/>
    <n v="0"/>
    <m/>
    <n v="20260427"/>
    <m/>
    <s v="CREDITO"/>
    <n v="3974527"/>
    <s v="BBVA"/>
    <m/>
    <m/>
    <n v="0.79415509259259254"/>
    <s v="XIAOMI SCHELL"/>
  </r>
  <r>
    <n v="1023366"/>
    <s v="VA"/>
    <s v="A"/>
    <n v="46137"/>
    <n v="46137"/>
    <m/>
    <n v="372"/>
    <s v="PS0005"/>
    <n v="8912"/>
    <n v="26481"/>
    <m/>
    <s v="455788******2165"/>
    <s v="Nac"/>
    <s v="COM"/>
    <x v="25"/>
    <n v="69"/>
    <x v="0"/>
    <n v="1.99"/>
    <n v="0.89"/>
    <n v="0.16"/>
    <n v="66.849999999999994"/>
    <n v="0"/>
    <m/>
    <n v="20260427"/>
    <m/>
    <s v="DEBITO"/>
    <n v="3974527"/>
    <s v="BCP"/>
    <m/>
    <m/>
    <n v="0.7983217592592593"/>
    <s v="XIAOMI SCHELL"/>
  </r>
  <r>
    <n v="1023366"/>
    <s v="VA"/>
    <s v="A"/>
    <n v="46137"/>
    <n v="46137"/>
    <m/>
    <n v="372"/>
    <s v="PS0005"/>
    <n v="8914"/>
    <n v="6544"/>
    <m/>
    <s v="428076******5346"/>
    <s v="Nac"/>
    <s v="COM"/>
    <x v="25"/>
    <n v="35"/>
    <x v="0"/>
    <n v="1.01"/>
    <n v="0.13"/>
    <n v="0.02"/>
    <n v="33.97"/>
    <n v="0"/>
    <m/>
    <n v="20260427"/>
    <m/>
    <s v="CREDITO"/>
    <n v="3974527"/>
    <s v="BCP"/>
    <m/>
    <m/>
    <n v="0.8036226851851852"/>
    <s v="XIAOMI SCHELL"/>
  </r>
  <r>
    <n v="1023366"/>
    <s v="VA"/>
    <s v="A"/>
    <n v="46137"/>
    <n v="46137"/>
    <m/>
    <n v="372"/>
    <s v="PS0005"/>
    <n v="8917"/>
    <n v="302941"/>
    <m/>
    <s v="483099******9889"/>
    <s v="Ext"/>
    <s v="COM"/>
    <x v="25"/>
    <n v="35"/>
    <x v="0"/>
    <n v="1.37"/>
    <n v="0.73"/>
    <n v="0.13"/>
    <n v="33.5"/>
    <n v="0"/>
    <m/>
    <n v="20260427"/>
    <m/>
    <s v="DEBITO"/>
    <n v="3974527"/>
    <s v="VISA INT"/>
    <m/>
    <m/>
    <n v="0.81497685185185187"/>
    <s v="XIAOMI SCHELL"/>
  </r>
  <r>
    <n v="1023366"/>
    <s v="VA"/>
    <s v="A"/>
    <n v="46137"/>
    <n v="46137"/>
    <m/>
    <n v="372"/>
    <s v="PS0005"/>
    <n v="8919"/>
    <n v="72151"/>
    <m/>
    <s v="407912******2864"/>
    <s v="Nac"/>
    <s v="COM"/>
    <x v="25"/>
    <n v="55"/>
    <x v="0"/>
    <n v="1.59"/>
    <n v="0.32"/>
    <n v="0.06"/>
    <n v="53.35"/>
    <n v="0"/>
    <m/>
    <n v="20260427"/>
    <m/>
    <s v="CREDITO"/>
    <n v="3974527"/>
    <s v="CSF PRIV"/>
    <m/>
    <m/>
    <n v="0.81855324074074076"/>
    <s v="XIAOMI SCHELL"/>
  </r>
  <r>
    <n v="1023366"/>
    <s v="VA"/>
    <s v="A"/>
    <n v="46137"/>
    <n v="46137"/>
    <m/>
    <n v="372"/>
    <s v="PS0005"/>
    <n v="8921"/>
    <n v="499748"/>
    <m/>
    <s v="421355******6992"/>
    <s v="Nac"/>
    <s v="COM"/>
    <x v="25"/>
    <n v="69"/>
    <x v="0"/>
    <n v="1.99"/>
    <n v="0.89"/>
    <n v="0.16"/>
    <n v="66.849999999999994"/>
    <n v="0"/>
    <m/>
    <n v="20260427"/>
    <m/>
    <s v="DEBITO"/>
    <n v="3974527"/>
    <s v="IBK PRIVADA"/>
    <m/>
    <m/>
    <n v="0.83135416666666662"/>
    <s v="XIAOMI SCHELL"/>
  </r>
  <r>
    <n v="1023366"/>
    <s v="VA"/>
    <s v="A"/>
    <n v="46137"/>
    <n v="46137"/>
    <m/>
    <n v="372"/>
    <s v="PS0005"/>
    <n v="8923"/>
    <n v="738730"/>
    <m/>
    <s v="455103******3615"/>
    <s v="Nac"/>
    <s v="COM"/>
    <x v="25"/>
    <n v="1018.9"/>
    <x v="0"/>
    <n v="29.45"/>
    <n v="13.15"/>
    <n v="2.37"/>
    <n v="987.08"/>
    <n v="15259.04"/>
    <n v="46139"/>
    <n v="20260427"/>
    <m/>
    <s v="DEBITO"/>
    <n v="3974527"/>
    <s v="BBVA"/>
    <m/>
    <m/>
    <n v="0.84547453703703701"/>
    <s v="XIAOMI SCHELL"/>
  </r>
  <r>
    <n v="1023366"/>
    <s v="VA"/>
    <s v="A"/>
    <n v="46138"/>
    <n v="46138"/>
    <m/>
    <n v="373"/>
    <s v="PS0005"/>
    <n v="8939"/>
    <n v="637107"/>
    <m/>
    <s v="454776******6711"/>
    <s v="Nac"/>
    <s v="COM"/>
    <x v="26"/>
    <n v="312.89999999999998"/>
    <x v="0"/>
    <n v="9.0399999999999991"/>
    <n v="2.4700000000000002"/>
    <n v="0.44"/>
    <n v="303.42"/>
    <n v="0"/>
    <m/>
    <n v="20260427"/>
    <m/>
    <s v="DEBITO"/>
    <n v="3974527"/>
    <s v="IBK PRIVADA"/>
    <m/>
    <m/>
    <n v="0.48365740740740742"/>
    <s v="XIAOMI SCHELL"/>
  </r>
  <r>
    <n v="1023366"/>
    <s v="VA"/>
    <s v="A"/>
    <n v="46138"/>
    <n v="46138"/>
    <m/>
    <n v="373"/>
    <s v="PS0005"/>
    <n v="8941"/>
    <n v="183074"/>
    <n v="12"/>
    <s v="447409******4352"/>
    <s v="Nac"/>
    <s v="COM"/>
    <x v="26"/>
    <n v="1549"/>
    <x v="0"/>
    <n v="44.77"/>
    <n v="12.24"/>
    <n v="2.2000000000000002"/>
    <n v="1502.03"/>
    <n v="0"/>
    <m/>
    <n v="20260427"/>
    <m/>
    <s v="CREDITO"/>
    <n v="3974527"/>
    <s v="BFALABELLA"/>
    <s v="NO"/>
    <m/>
    <n v="0.48743055555555553"/>
    <s v="XIAOMI SCHELL"/>
  </r>
  <r>
    <n v="1023366"/>
    <s v="VA"/>
    <s v="A"/>
    <n v="46138"/>
    <n v="46138"/>
    <m/>
    <n v="373"/>
    <s v="PS0005"/>
    <n v="8945"/>
    <n v="8393"/>
    <m/>
    <s v="428076******0866"/>
    <s v="Nac"/>
    <s v="COM"/>
    <x v="26"/>
    <n v="159"/>
    <x v="0"/>
    <n v="4.5999999999999996"/>
    <n v="0.62"/>
    <n v="0.11"/>
    <n v="154.29"/>
    <n v="0"/>
    <m/>
    <n v="20260427"/>
    <m/>
    <s v="CREDITO"/>
    <n v="3974527"/>
    <s v="BCP"/>
    <m/>
    <m/>
    <n v="0.49896990740740743"/>
    <s v="XIAOMI SCHELL"/>
  </r>
  <r>
    <n v="1023366"/>
    <s v="VA"/>
    <s v="A"/>
    <n v="46138"/>
    <n v="46138"/>
    <m/>
    <n v="373"/>
    <s v="PS0005"/>
    <n v="8947"/>
    <n v="43550"/>
    <m/>
    <s v="455696******4620"/>
    <s v="Nac"/>
    <s v="COM"/>
    <x v="26"/>
    <n v="188"/>
    <x v="0"/>
    <n v="5.43"/>
    <n v="1.1100000000000001"/>
    <n v="0.2"/>
    <n v="182.37"/>
    <n v="0"/>
    <m/>
    <n v="20260427"/>
    <m/>
    <s v="CREDITO"/>
    <n v="3974527"/>
    <s v="IBK PRIVADA"/>
    <m/>
    <m/>
    <n v="0.50309027777777782"/>
    <s v="XIAOMI SCHELL"/>
  </r>
  <r>
    <n v="1023366"/>
    <s v="VA"/>
    <s v="A"/>
    <n v="46138"/>
    <n v="46138"/>
    <m/>
    <n v="373"/>
    <s v="PS0005"/>
    <n v="8951"/>
    <n v="590376"/>
    <m/>
    <s v="414791******1574"/>
    <s v="Nac"/>
    <s v="COM"/>
    <x v="26"/>
    <n v="159"/>
    <x v="0"/>
    <n v="4.5999999999999996"/>
    <n v="0.94"/>
    <n v="0.17"/>
    <n v="154.22999999999999"/>
    <n v="0"/>
    <m/>
    <n v="20260427"/>
    <m/>
    <s v="CREDITO"/>
    <n v="3974527"/>
    <s v="BBVA"/>
    <m/>
    <m/>
    <n v="0.55608796296296292"/>
    <s v="XIAOMI SCHELL"/>
  </r>
  <r>
    <n v="1023366"/>
    <s v="VA"/>
    <s v="A"/>
    <n v="46138"/>
    <n v="46138"/>
    <m/>
    <n v="373"/>
    <s v="PS0005"/>
    <n v="8953"/>
    <n v="7905"/>
    <m/>
    <s v="463402******7560"/>
    <s v="Nac"/>
    <s v="COM"/>
    <x v="26"/>
    <n v="52.9"/>
    <x v="0"/>
    <n v="1.53"/>
    <n v="0.42"/>
    <n v="0.08"/>
    <n v="51.29"/>
    <n v="0"/>
    <m/>
    <n v="20260427"/>
    <m/>
    <s v="CREDITO"/>
    <n v="3974527"/>
    <s v="BCP"/>
    <m/>
    <m/>
    <n v="0.56195601851851851"/>
    <s v="XIAOMI SCHELL"/>
  </r>
  <r>
    <n v="1023366"/>
    <s v="VA"/>
    <s v="A"/>
    <n v="46138"/>
    <n v="46138"/>
    <m/>
    <n v="373"/>
    <s v="PS0005"/>
    <n v="8955"/>
    <n v="9546"/>
    <m/>
    <s v="445330******6636"/>
    <s v="Nac"/>
    <s v="COM"/>
    <x v="26"/>
    <n v="189"/>
    <x v="0"/>
    <n v="5.46"/>
    <n v="1.49"/>
    <n v="0.27"/>
    <n v="183.27"/>
    <n v="0"/>
    <m/>
    <n v="20260427"/>
    <m/>
    <s v="CREDITO"/>
    <n v="3974527"/>
    <s v="BCP"/>
    <m/>
    <m/>
    <n v="0.58346064814814813"/>
    <s v="XIAOMI SCHELL"/>
  </r>
  <r>
    <n v="1023366"/>
    <s v="VA"/>
    <s v="A"/>
    <n v="46138"/>
    <n v="46138"/>
    <m/>
    <n v="373"/>
    <s v="PS0005"/>
    <n v="8957"/>
    <n v="798643"/>
    <m/>
    <s v="414791******4418"/>
    <s v="Nac"/>
    <s v="COM"/>
    <x v="26"/>
    <n v="86.9"/>
    <x v="0"/>
    <n v="2.5099999999999998"/>
    <n v="0.51"/>
    <n v="0.09"/>
    <n v="84.3"/>
    <n v="0"/>
    <m/>
    <n v="20260427"/>
    <m/>
    <s v="CREDITO"/>
    <n v="3974527"/>
    <s v="BBVA"/>
    <m/>
    <m/>
    <n v="0.59699074074074077"/>
    <s v="XIAOMI SCHELL"/>
  </r>
  <r>
    <n v="1023366"/>
    <s v="VA"/>
    <s v="A"/>
    <n v="46138"/>
    <n v="46138"/>
    <m/>
    <n v="373"/>
    <s v="PS0005"/>
    <n v="8959"/>
    <s v="1WQ9LB"/>
    <m/>
    <s v="454792******1634"/>
    <s v="Ext"/>
    <s v="COM"/>
    <x v="26"/>
    <n v="89"/>
    <x v="0"/>
    <n v="3.47"/>
    <n v="1.71"/>
    <n v="0.31"/>
    <n v="85.22"/>
    <n v="0"/>
    <m/>
    <n v="20260427"/>
    <m/>
    <s v="DEBITO"/>
    <n v="3974527"/>
    <s v="VISA INT"/>
    <m/>
    <m/>
    <n v="0.65923611111111113"/>
    <s v="XIAOMI SCHELL"/>
  </r>
  <r>
    <n v="1023366"/>
    <s v="VA"/>
    <s v="A"/>
    <n v="46138"/>
    <n v="46138"/>
    <m/>
    <n v="373"/>
    <s v="PS0005"/>
    <n v="8961"/>
    <n v="533757"/>
    <m/>
    <s v="421355******5026"/>
    <s v="Nac"/>
    <s v="COM"/>
    <x v="26"/>
    <n v="149"/>
    <x v="0"/>
    <n v="4.3099999999999996"/>
    <n v="1.93"/>
    <n v="0.35"/>
    <n v="144.34"/>
    <n v="0"/>
    <m/>
    <n v="20260427"/>
    <m/>
    <s v="DEBITO"/>
    <n v="3974527"/>
    <s v="IBK PRIVADA"/>
    <m/>
    <m/>
    <n v="0.6656481481481481"/>
    <s v="XIAOMI SCHELL"/>
  </r>
  <r>
    <n v="1023366"/>
    <s v="VA"/>
    <s v="A"/>
    <n v="46138"/>
    <n v="46138"/>
    <m/>
    <n v="373"/>
    <s v="PS0005"/>
    <n v="8963"/>
    <n v="127106"/>
    <m/>
    <s v="414791******6117"/>
    <s v="Nac"/>
    <s v="COM"/>
    <x v="26"/>
    <n v="2099"/>
    <x v="0"/>
    <n v="60.66"/>
    <n v="12.38"/>
    <n v="2.23"/>
    <n v="2036.11"/>
    <n v="0"/>
    <m/>
    <n v="20260427"/>
    <m/>
    <s v="CREDITO"/>
    <n v="3974527"/>
    <s v="BBVA"/>
    <m/>
    <m/>
    <n v="0.67211805555555559"/>
    <s v="XIAOMI SCHELL"/>
  </r>
  <r>
    <n v="1023366"/>
    <s v="VA"/>
    <s v="A"/>
    <n v="46138"/>
    <n v="46138"/>
    <m/>
    <n v="373"/>
    <n v="65656565"/>
    <n v="8967"/>
    <n v="141121"/>
    <m/>
    <s v="455788******3226"/>
    <s v="Nac"/>
    <s v="COM"/>
    <x v="26"/>
    <n v="908"/>
    <x v="0"/>
    <n v="26.24"/>
    <n v="11.71"/>
    <n v="2.11"/>
    <n v="879.65"/>
    <n v="0"/>
    <m/>
    <n v="20260427"/>
    <m/>
    <s v="DEBITO"/>
    <n v="3974527"/>
    <s v="BCP"/>
    <m/>
    <s v="Yape"/>
    <n v="0.70052083333333337"/>
    <s v="XIAOMI SCHELL"/>
  </r>
  <r>
    <n v="1023366"/>
    <s v="VA"/>
    <s v="A"/>
    <n v="46138"/>
    <n v="46138"/>
    <m/>
    <n v="373"/>
    <s v="PS0005"/>
    <n v="8970"/>
    <n v="171271"/>
    <m/>
    <s v="455788******7278"/>
    <s v="Nac"/>
    <s v="COM"/>
    <x v="26"/>
    <n v="556.29999999999995"/>
    <x v="0"/>
    <n v="16.079999999999998"/>
    <n v="7.18"/>
    <n v="1.29"/>
    <n v="538.92999999999995"/>
    <n v="0"/>
    <m/>
    <n v="20260427"/>
    <m/>
    <s v="DEBITO"/>
    <n v="3974527"/>
    <s v="BCP"/>
    <m/>
    <m/>
    <n v="0.71439814814814817"/>
    <s v="XIAOMI SCHELL"/>
  </r>
  <r>
    <n v="1023366"/>
    <s v="VA"/>
    <s v="A"/>
    <n v="46138"/>
    <n v="46138"/>
    <m/>
    <n v="373"/>
    <n v="65656565"/>
    <n v="8972"/>
    <n v="630251"/>
    <m/>
    <s v="428581******0267"/>
    <s v="Nac"/>
    <s v="COM"/>
    <x v="26"/>
    <n v="240"/>
    <x v="0"/>
    <n v="6.93"/>
    <n v="3.09"/>
    <n v="0.56000000000000005"/>
    <n v="232.51"/>
    <n v="0"/>
    <m/>
    <n v="20260427"/>
    <m/>
    <s v="DEBITO"/>
    <n v="3974527"/>
    <s v="SCOTIABANK"/>
    <m/>
    <s v="SBK Plin"/>
    <n v="0.71616898148148145"/>
    <s v="XIAOMI SCHELL"/>
  </r>
  <r>
    <n v="1023366"/>
    <s v="VA"/>
    <s v="A"/>
    <n v="46138"/>
    <n v="46138"/>
    <m/>
    <n v="373"/>
    <n v="65656565"/>
    <n v="8975"/>
    <n v="630305"/>
    <m/>
    <s v="428581******0267"/>
    <s v="Nac"/>
    <s v="COM"/>
    <x v="26"/>
    <n v="199"/>
    <x v="0"/>
    <n v="5.75"/>
    <n v="2.57"/>
    <n v="0.46"/>
    <n v="192.79"/>
    <n v="0"/>
    <m/>
    <n v="20260427"/>
    <m/>
    <s v="DEBITO"/>
    <n v="3974527"/>
    <s v="SCOTIABANK"/>
    <m/>
    <s v="SBK Plin"/>
    <n v="0.71690972222222227"/>
    <s v="XIAOMI SCHELL"/>
  </r>
  <r>
    <n v="1023366"/>
    <s v="VA"/>
    <s v="A"/>
    <n v="46138"/>
    <n v="46138"/>
    <m/>
    <n v="373"/>
    <s v="PS0005"/>
    <n v="8979"/>
    <n v="329754"/>
    <m/>
    <s v="438466******5151"/>
    <s v="Nac"/>
    <s v="COM"/>
    <x v="26"/>
    <n v="199"/>
    <x v="0"/>
    <n v="5.75"/>
    <n v="2.57"/>
    <n v="0.46"/>
    <n v="192.79"/>
    <n v="0"/>
    <m/>
    <n v="20260427"/>
    <m/>
    <s v="DEBITO"/>
    <n v="3974527"/>
    <s v="VISA LOC"/>
    <m/>
    <m/>
    <n v="0.72215277777777775"/>
    <s v="XIAOMI SCHELL"/>
  </r>
  <r>
    <n v="1023366"/>
    <s v="VA"/>
    <s v="A"/>
    <n v="46138"/>
    <n v="46138"/>
    <m/>
    <n v="373"/>
    <s v="PS0005"/>
    <n v="8981"/>
    <n v="455286"/>
    <m/>
    <s v="491246******3311"/>
    <s v="Nac"/>
    <s v="COM"/>
    <x v="26"/>
    <n v="1199"/>
    <x v="0"/>
    <n v="34.65"/>
    <n v="9.4700000000000006"/>
    <n v="1.7"/>
    <n v="1162.6500000000001"/>
    <n v="0"/>
    <m/>
    <n v="20260427"/>
    <m/>
    <s v="DEBITO"/>
    <n v="3974527"/>
    <s v="BCP"/>
    <m/>
    <m/>
    <n v="0.75535879629629632"/>
    <s v="XIAOMI SCHELL"/>
  </r>
  <r>
    <n v="1023366"/>
    <s v="VA"/>
    <s v="A"/>
    <n v="46138"/>
    <n v="46138"/>
    <m/>
    <n v="373"/>
    <n v="65656565"/>
    <n v="8983"/>
    <n v="658180"/>
    <m/>
    <s v="421355******1466"/>
    <s v="Nac"/>
    <s v="COM"/>
    <x v="26"/>
    <n v="4"/>
    <x v="0"/>
    <n v="0.11"/>
    <n v="0.05"/>
    <n v="0.01"/>
    <n v="3.88"/>
    <n v="0"/>
    <m/>
    <n v="20260427"/>
    <m/>
    <s v="DEBITO"/>
    <n v="3974527"/>
    <s v="IBK PRIVADA"/>
    <m/>
    <s v="IBK Plin"/>
    <n v="0.76042824074074078"/>
    <s v="XIAOMI SCHELL"/>
  </r>
  <r>
    <n v="1023366"/>
    <s v="VA"/>
    <s v="A"/>
    <n v="46138"/>
    <n v="46138"/>
    <m/>
    <n v="373"/>
    <s v="PS0005"/>
    <n v="8986"/>
    <n v="615749"/>
    <m/>
    <s v="491246******6237"/>
    <s v="Nac"/>
    <s v="COM"/>
    <x v="26"/>
    <n v="188"/>
    <x v="0"/>
    <n v="5.43"/>
    <n v="1.48"/>
    <n v="0.27"/>
    <n v="182.3"/>
    <n v="0"/>
    <m/>
    <n v="20260427"/>
    <m/>
    <s v="DEBITO"/>
    <n v="3974527"/>
    <s v="BCP"/>
    <m/>
    <m/>
    <n v="0.76217592592592598"/>
    <s v="XIAOMI SCHELL"/>
  </r>
  <r>
    <n v="1023366"/>
    <s v="VA"/>
    <s v="A"/>
    <n v="46138"/>
    <n v="46138"/>
    <m/>
    <n v="373"/>
    <s v="PS0005"/>
    <n v="8988"/>
    <n v="501999"/>
    <m/>
    <s v="444355******6055"/>
    <s v="Nac"/>
    <s v="COM"/>
    <x v="26"/>
    <n v="55"/>
    <x v="0"/>
    <n v="1.59"/>
    <n v="0.43"/>
    <n v="0.08"/>
    <n v="53.33"/>
    <n v="0"/>
    <m/>
    <n v="20260427"/>
    <m/>
    <s v="CREDITO"/>
    <n v="3974527"/>
    <s v="BBVA"/>
    <m/>
    <m/>
    <n v="0.76339120370370372"/>
    <s v="XIAOMI SCHELL"/>
  </r>
  <r>
    <n v="1023366"/>
    <s v="VA"/>
    <s v="A"/>
    <n v="46138"/>
    <n v="46138"/>
    <m/>
    <n v="373"/>
    <s v="PS0005"/>
    <n v="8990"/>
    <n v="170019"/>
    <m/>
    <s v="451775******4040"/>
    <s v="Nac"/>
    <s v="COM"/>
    <x v="26"/>
    <n v="104"/>
    <x v="0"/>
    <n v="3.01"/>
    <n v="1.35"/>
    <n v="0.24"/>
    <n v="100.75"/>
    <n v="0"/>
    <m/>
    <n v="20260427"/>
    <m/>
    <s v="DEBITO"/>
    <n v="3974527"/>
    <s v="BIF"/>
    <m/>
    <m/>
    <n v="0.76509259259259255"/>
    <s v="XIAOMI SCHELL"/>
  </r>
  <r>
    <n v="1023366"/>
    <s v="VA"/>
    <s v="A"/>
    <n v="46138"/>
    <n v="46138"/>
    <m/>
    <n v="373"/>
    <s v="PS0005"/>
    <n v="8992"/>
    <n v="242877"/>
    <m/>
    <s v="421355******8611"/>
    <s v="Nac"/>
    <s v="COM"/>
    <x v="26"/>
    <n v="199"/>
    <x v="0"/>
    <n v="5.75"/>
    <n v="2.57"/>
    <n v="0.46"/>
    <n v="192.79"/>
    <n v="0"/>
    <m/>
    <n v="20260427"/>
    <m/>
    <s v="DEBITO"/>
    <n v="3974527"/>
    <s v="IBK PRIVADA"/>
    <m/>
    <m/>
    <n v="0.77075231481481477"/>
    <s v="XIAOMI SCHELL"/>
  </r>
  <r>
    <n v="1023366"/>
    <s v="VA"/>
    <s v="A"/>
    <n v="46138"/>
    <n v="46138"/>
    <m/>
    <n v="373"/>
    <s v="PS0005"/>
    <n v="8994"/>
    <n v="43027"/>
    <n v="12"/>
    <s v="407912******5340"/>
    <s v="Nac"/>
    <s v="COM"/>
    <x v="26"/>
    <n v="1048"/>
    <x v="0"/>
    <n v="30.29"/>
    <n v="6.19"/>
    <n v="1.1100000000000001"/>
    <n v="1016.6"/>
    <n v="0"/>
    <m/>
    <n v="20260427"/>
    <m/>
    <s v="CREDITO"/>
    <n v="3974527"/>
    <s v="CSF PRIV"/>
    <s v="NO"/>
    <m/>
    <n v="0.78445601851851854"/>
    <s v="XIAOMI SCHELL"/>
  </r>
  <r>
    <n v="1023366"/>
    <s v="VA"/>
    <s v="A"/>
    <n v="46138"/>
    <n v="46138"/>
    <m/>
    <n v="373"/>
    <s v="PS0005"/>
    <n v="8996"/>
    <n v="991415"/>
    <m/>
    <s v="421355******6907"/>
    <s v="Nac"/>
    <s v="COM"/>
    <x v="26"/>
    <n v="69"/>
    <x v="0"/>
    <n v="1.99"/>
    <n v="0.89"/>
    <n v="0.16"/>
    <n v="66.849999999999994"/>
    <n v="0"/>
    <m/>
    <n v="20260427"/>
    <m/>
    <s v="DEBITO"/>
    <n v="3974527"/>
    <s v="IBK PRIVADA"/>
    <m/>
    <m/>
    <n v="0.78716435185185185"/>
    <s v="XIAOMI SCHELL"/>
  </r>
  <r>
    <n v="1023366"/>
    <s v="VA"/>
    <s v="A"/>
    <n v="46138"/>
    <n v="46138"/>
    <m/>
    <n v="373"/>
    <s v="PS0005"/>
    <n v="8998"/>
    <n v="333800"/>
    <n v="12"/>
    <s v="447410******9919"/>
    <s v="Nac"/>
    <s v="COM"/>
    <x v="26"/>
    <n v="1899"/>
    <x v="0"/>
    <n v="54.88"/>
    <n v="11.2"/>
    <n v="2.02"/>
    <n v="1842.1"/>
    <n v="0"/>
    <m/>
    <n v="20260427"/>
    <m/>
    <s v="CREDITO"/>
    <n v="3974527"/>
    <s v="BFALABELLA"/>
    <s v="NO"/>
    <m/>
    <n v="0.7880787037037037"/>
    <s v="XIAOMI SCHELL"/>
  </r>
  <r>
    <n v="1023366"/>
    <s v="VA"/>
    <s v="A"/>
    <n v="46138"/>
    <n v="46138"/>
    <m/>
    <n v="373"/>
    <s v="PS0005"/>
    <n v="9000"/>
    <n v="1702"/>
    <m/>
    <s v="428076******7246"/>
    <s v="Nac"/>
    <s v="COM"/>
    <x v="26"/>
    <n v="338"/>
    <x v="0"/>
    <n v="9.77"/>
    <n v="1.32"/>
    <n v="0.24"/>
    <n v="327.99"/>
    <n v="0"/>
    <m/>
    <n v="20260427"/>
    <m/>
    <s v="CREDITO"/>
    <n v="3974527"/>
    <s v="BCP"/>
    <m/>
    <m/>
    <n v="0.79302083333333329"/>
    <s v="XIAOMI SCHELL"/>
  </r>
  <r>
    <n v="1023366"/>
    <s v="VA"/>
    <s v="A"/>
    <n v="46138"/>
    <n v="46138"/>
    <m/>
    <n v="373"/>
    <s v="PS0005"/>
    <n v="9002"/>
    <n v="46009"/>
    <m/>
    <s v="407912******7033"/>
    <s v="Nac"/>
    <s v="COM"/>
    <x v="26"/>
    <n v="169"/>
    <x v="0"/>
    <n v="4.88"/>
    <n v="0.99"/>
    <n v="0.18"/>
    <n v="163.94"/>
    <n v="0"/>
    <m/>
    <n v="20260427"/>
    <m/>
    <s v="CREDITO"/>
    <n v="3974527"/>
    <s v="CSF PRIV"/>
    <m/>
    <m/>
    <n v="0.7949074074074074"/>
    <s v="XIAOMI SCHELL"/>
  </r>
  <r>
    <n v="1023366"/>
    <s v="VA"/>
    <s v="A"/>
    <n v="46138"/>
    <n v="46138"/>
    <m/>
    <n v="373"/>
    <s v="PS0005"/>
    <n v="9004"/>
    <n v="562556"/>
    <m/>
    <s v="491257******5627"/>
    <s v="Nac"/>
    <s v="COM"/>
    <x v="26"/>
    <n v="109"/>
    <x v="0"/>
    <n v="3.15"/>
    <n v="1.41"/>
    <n v="0.25"/>
    <n v="105.6"/>
    <n v="0"/>
    <m/>
    <n v="20260427"/>
    <m/>
    <s v="DEBITO"/>
    <n v="3974527"/>
    <s v="BCP"/>
    <m/>
    <m/>
    <n v="0.79853009259259256"/>
    <s v="XIAOMI SCHELL"/>
  </r>
  <r>
    <n v="1023366"/>
    <s v="VA"/>
    <s v="A"/>
    <n v="46138"/>
    <n v="46138"/>
    <m/>
    <n v="373"/>
    <s v="PS0005"/>
    <n v="9007"/>
    <n v="740719"/>
    <m/>
    <s v="475211******8457"/>
    <s v="Ext"/>
    <s v="COM"/>
    <x v="26"/>
    <n v="169.9"/>
    <x v="0"/>
    <n v="6.63"/>
    <n v="3.27"/>
    <n v="0.59"/>
    <n v="162.68"/>
    <n v="0"/>
    <m/>
    <n v="20260427"/>
    <m/>
    <s v="DEBITO"/>
    <n v="3974527"/>
    <s v="VISA INT"/>
    <m/>
    <m/>
    <n v="0.80399305555555556"/>
    <s v="XIAOMI SCHELL"/>
  </r>
  <r>
    <n v="1023366"/>
    <s v="VA"/>
    <s v="A"/>
    <n v="46138"/>
    <n v="46138"/>
    <m/>
    <n v="373"/>
    <s v="PS0005"/>
    <n v="9009"/>
    <n v="9418"/>
    <m/>
    <s v="428082******7737"/>
    <s v="Nac"/>
    <s v="COM"/>
    <x v="26"/>
    <n v="808"/>
    <x v="0"/>
    <n v="23.35"/>
    <n v="4.7699999999999996"/>
    <n v="0.86"/>
    <n v="783.79"/>
    <n v="0"/>
    <m/>
    <n v="20260427"/>
    <m/>
    <s v="CREDITO"/>
    <n v="3974527"/>
    <s v="BCP"/>
    <m/>
    <m/>
    <n v="0.8223611111111111"/>
    <s v="XIAOMI SCHELL"/>
  </r>
  <r>
    <n v="1023366"/>
    <s v="VA"/>
    <s v="A"/>
    <n v="46138"/>
    <n v="46138"/>
    <m/>
    <n v="373"/>
    <n v="65656565"/>
    <n v="9011"/>
    <n v="736141"/>
    <m/>
    <s v="455788******6786"/>
    <s v="Nac"/>
    <s v="COM"/>
    <x v="26"/>
    <n v="35"/>
    <x v="0"/>
    <n v="1.01"/>
    <n v="0.45"/>
    <n v="0.08"/>
    <n v="33.909999999999997"/>
    <n v="0"/>
    <m/>
    <n v="20260427"/>
    <m/>
    <s v="DEBITO"/>
    <n v="3974527"/>
    <s v="BCP"/>
    <m/>
    <s v="Yape"/>
    <n v="0.82737268518518514"/>
    <s v="XIAOMI SCHELL"/>
  </r>
  <r>
    <n v="1023366"/>
    <s v="VA"/>
    <s v="A"/>
    <n v="46138"/>
    <n v="46138"/>
    <m/>
    <n v="373"/>
    <s v="PS0005"/>
    <n v="9014"/>
    <n v="7846"/>
    <m/>
    <s v="445330******7499"/>
    <s v="Nac"/>
    <s v="COM"/>
    <x v="26"/>
    <n v="159"/>
    <x v="0"/>
    <n v="4.5999999999999996"/>
    <n v="0.94"/>
    <n v="0.17"/>
    <n v="154.22999999999999"/>
    <n v="0"/>
    <m/>
    <n v="20260427"/>
    <m/>
    <s v="CREDITO"/>
    <n v="3974527"/>
    <s v="BCP"/>
    <m/>
    <m/>
    <n v="0.83133101851851854"/>
    <s v="XIAOMI SCHELL"/>
  </r>
  <r>
    <n v="1023366"/>
    <s v="VA"/>
    <s v="A"/>
    <n v="46138"/>
    <n v="46138"/>
    <m/>
    <n v="373"/>
    <n v="65656565"/>
    <n v="9016"/>
    <n v="463368"/>
    <m/>
    <s v="455788******9333"/>
    <s v="Nac"/>
    <s v="COM"/>
    <x v="26"/>
    <n v="529"/>
    <x v="0"/>
    <n v="15.28"/>
    <n v="6.82"/>
    <n v="1.23"/>
    <n v="512.49"/>
    <n v="0"/>
    <m/>
    <n v="20260427"/>
    <m/>
    <s v="DEBITO"/>
    <n v="3974527"/>
    <s v="BCP"/>
    <m/>
    <s v="Yape"/>
    <n v="0.83506944444444442"/>
    <s v="XIAOMI SCHELL"/>
  </r>
  <r>
    <n v="1023366"/>
    <s v="VA"/>
    <s v="A"/>
    <n v="46138"/>
    <n v="46138"/>
    <m/>
    <n v="373"/>
    <s v="PS0005"/>
    <n v="9020"/>
    <n v="93084"/>
    <m/>
    <s v="401047******3507"/>
    <s v="Ext"/>
    <s v="COM"/>
    <x v="26"/>
    <n v="138"/>
    <x v="0"/>
    <n v="5.38"/>
    <n v="3.87"/>
    <n v="0.7"/>
    <n v="131.91999999999999"/>
    <n v="0"/>
    <m/>
    <n v="20260427"/>
    <m/>
    <s v="CREDITO"/>
    <n v="3974527"/>
    <s v="VISA INT"/>
    <m/>
    <m/>
    <n v="0.83681712962962962"/>
    <s v="XIAOMI SCHELL"/>
  </r>
  <r>
    <n v="1023366"/>
    <s v="VA"/>
    <s v="A"/>
    <n v="46138"/>
    <n v="46138"/>
    <m/>
    <n v="373"/>
    <s v="PS0005"/>
    <n v="9022"/>
    <n v="4428"/>
    <m/>
    <s v="445330******0825"/>
    <s v="Nac"/>
    <s v="COM"/>
    <x v="26"/>
    <n v="198"/>
    <x v="0"/>
    <n v="5.72"/>
    <n v="0.77"/>
    <n v="0.14000000000000001"/>
    <n v="192.14"/>
    <n v="14107.48"/>
    <n v="46139"/>
    <n v="20260427"/>
    <m/>
    <s v="CREDITO"/>
    <n v="3974527"/>
    <s v="BCP"/>
    <m/>
    <m/>
    <n v="0.83841435185185187"/>
    <s v="XIAOMI SCHELL"/>
  </r>
  <r>
    <n v="1023366"/>
    <s v="VK"/>
    <s v="A"/>
    <n v="46138"/>
    <n v="46138"/>
    <m/>
    <n v="373"/>
    <s v="PS0005"/>
    <n v="8965"/>
    <n v="68445"/>
    <m/>
    <s v="404071******5647"/>
    <s v="Nac"/>
    <s v="COM"/>
    <x v="26"/>
    <n v="269"/>
    <x v="0"/>
    <n v="7.77"/>
    <n v="2.12"/>
    <n v="0.38"/>
    <n v="260.85000000000002"/>
    <n v="260.85000000000002"/>
    <n v="46139"/>
    <n v="20260427"/>
    <m/>
    <s v="CREDITO"/>
    <n v="3974527"/>
    <s v="SIP MC"/>
    <m/>
    <m/>
    <n v="0.69495370370370368"/>
    <s v="XIAOMI SCHELL"/>
  </r>
  <r>
    <n v="1023366"/>
    <s v="MC"/>
    <s v="A"/>
    <n v="46139"/>
    <n v="46139"/>
    <m/>
    <n v="374"/>
    <s v="PS0005"/>
    <n v="9048"/>
    <s v="R62395"/>
    <m/>
    <s v="230650******8308"/>
    <s v="Ext"/>
    <s v="COM"/>
    <x v="27"/>
    <n v="353"/>
    <x v="0"/>
    <n v="13.77"/>
    <n v="8.1199999999999992"/>
    <n v="1.46"/>
    <n v="337.77"/>
    <n v="0"/>
    <m/>
    <n v="20260428"/>
    <m/>
    <s v="CREDITO"/>
    <n v="3974527"/>
    <s v="MCI C. INTER"/>
    <m/>
    <m/>
    <n v="0.5562731481481481"/>
    <s v="XIAOMI SCHELL"/>
  </r>
  <r>
    <n v="1023366"/>
    <s v="MC"/>
    <s v="A"/>
    <n v="46139"/>
    <n v="46139"/>
    <m/>
    <n v="374"/>
    <s v="PS0005"/>
    <n v="9051"/>
    <s v="69841Z"/>
    <m/>
    <s v="521400******3041"/>
    <s v="Ext"/>
    <s v="COM"/>
    <x v="27"/>
    <n v="328"/>
    <x v="0"/>
    <n v="12.79"/>
    <n v="6.3"/>
    <n v="1.1299999999999999"/>
    <n v="314.08"/>
    <n v="651.85"/>
    <n v="46140"/>
    <n v="20260428"/>
    <m/>
    <s v="CREDITO"/>
    <n v="3974527"/>
    <s v="MCI C. INTER"/>
    <m/>
    <m/>
    <n v="0.56168981481481484"/>
    <s v="XIAOMI SCHELL"/>
  </r>
  <r>
    <n v="1023366"/>
    <s v="VA"/>
    <s v="A"/>
    <n v="46139"/>
    <n v="46139"/>
    <m/>
    <n v="374"/>
    <s v="PS0005"/>
    <n v="9037"/>
    <n v="396946"/>
    <m/>
    <s v="455788******0899"/>
    <s v="Nac"/>
    <s v="COM"/>
    <x v="27"/>
    <n v="52.9"/>
    <x v="0"/>
    <n v="1.53"/>
    <n v="0.68"/>
    <n v="0.12"/>
    <n v="51.25"/>
    <n v="0"/>
    <m/>
    <n v="20260428"/>
    <m/>
    <s v="DEBITO"/>
    <n v="3974527"/>
    <s v="BCP"/>
    <m/>
    <m/>
    <n v="0.44780092592592591"/>
    <s v="XIAOMI SCHELL"/>
  </r>
  <r>
    <n v="1023366"/>
    <s v="VA"/>
    <s v="A"/>
    <n v="46139"/>
    <n v="46139"/>
    <m/>
    <n v="374"/>
    <s v="PS0005"/>
    <n v="9043"/>
    <n v="506522"/>
    <m/>
    <s v="455103******3572"/>
    <s v="Nac"/>
    <s v="COM"/>
    <x v="27"/>
    <n v="756"/>
    <x v="0"/>
    <n v="21.85"/>
    <n v="9.75"/>
    <n v="1.76"/>
    <n v="732.39"/>
    <n v="0"/>
    <m/>
    <n v="20260428"/>
    <m/>
    <s v="DEBITO"/>
    <n v="3974527"/>
    <s v="BBVA"/>
    <m/>
    <m/>
    <n v="0.54090277777777773"/>
    <s v="XIAOMI SCHELL"/>
  </r>
  <r>
    <n v="1023366"/>
    <s v="VA"/>
    <s v="A"/>
    <n v="46139"/>
    <n v="46139"/>
    <m/>
    <n v="374"/>
    <s v="PS0005"/>
    <n v="9045"/>
    <n v="522981"/>
    <m/>
    <s v="444354******9719"/>
    <s v="Nac"/>
    <s v="COM"/>
    <x v="27"/>
    <n v="49"/>
    <x v="0"/>
    <n v="1.42"/>
    <n v="0.19"/>
    <n v="0.03"/>
    <n v="47.55"/>
    <n v="0"/>
    <m/>
    <n v="20260428"/>
    <m/>
    <s v="CREDITO"/>
    <n v="3974527"/>
    <s v="BBVA"/>
    <m/>
    <m/>
    <n v="0.54401620370370374"/>
    <s v="XIAOMI SCHELL"/>
  </r>
  <r>
    <n v="1023366"/>
    <s v="VA"/>
    <s v="A"/>
    <n v="46139"/>
    <n v="46139"/>
    <m/>
    <n v="374"/>
    <s v="PS0005"/>
    <n v="9055"/>
    <n v="799531"/>
    <m/>
    <s v="444355******3253"/>
    <s v="Nac"/>
    <s v="COM"/>
    <x v="27"/>
    <n v="139"/>
    <x v="0"/>
    <n v="4.0199999999999996"/>
    <n v="1.8"/>
    <n v="0.32"/>
    <n v="134.66"/>
    <n v="0"/>
    <m/>
    <n v="20260428"/>
    <m/>
    <s v="DEBITO"/>
    <n v="3974527"/>
    <s v="BBVA"/>
    <m/>
    <m/>
    <n v="0.59684027777777782"/>
    <s v="XIAOMI SCHELL"/>
  </r>
  <r>
    <n v="1023366"/>
    <s v="VA"/>
    <s v="A"/>
    <n v="46139"/>
    <n v="46139"/>
    <m/>
    <n v="374"/>
    <s v="PS0005"/>
    <n v="9060"/>
    <n v="890282"/>
    <m/>
    <s v="414791******3310"/>
    <s v="Nac"/>
    <s v="COM"/>
    <x v="27"/>
    <n v="204"/>
    <x v="0"/>
    <n v="5.9"/>
    <n v="1.21"/>
    <n v="0.22"/>
    <n v="197.88"/>
    <n v="0"/>
    <m/>
    <n v="20260428"/>
    <m/>
    <s v="CREDITO"/>
    <n v="3974527"/>
    <s v="BBVA"/>
    <m/>
    <m/>
    <n v="0.61708333333333332"/>
    <s v="XIAOMI SCHELL"/>
  </r>
  <r>
    <n v="1023366"/>
    <s v="VA"/>
    <s v="A"/>
    <n v="46139"/>
    <n v="46139"/>
    <m/>
    <n v="374"/>
    <s v="PS0005"/>
    <n v="9062"/>
    <n v="332671"/>
    <m/>
    <s v="491337******0408"/>
    <s v="Nac"/>
    <s v="COM"/>
    <x v="27"/>
    <n v="55"/>
    <x v="0"/>
    <n v="1.59"/>
    <n v="0.43"/>
    <n v="0.08"/>
    <n v="53.33"/>
    <n v="0"/>
    <m/>
    <n v="20260428"/>
    <m/>
    <s v="CREDITO"/>
    <n v="3974527"/>
    <s v="IBK PRIVADA"/>
    <m/>
    <m/>
    <n v="0.64812499999999995"/>
    <s v="XIAOMI SCHELL"/>
  </r>
  <r>
    <n v="1023366"/>
    <s v="VA"/>
    <s v="A"/>
    <n v="46139"/>
    <n v="46139"/>
    <m/>
    <n v="374"/>
    <s v="PS0005"/>
    <n v="9069"/>
    <s v="08989D"/>
    <m/>
    <s v="411398******3745"/>
    <s v="Ext"/>
    <s v="COM"/>
    <x v="27"/>
    <n v="214"/>
    <x v="0"/>
    <n v="8.35"/>
    <n v="4.12"/>
    <n v="0.74"/>
    <n v="204.91"/>
    <n v="0"/>
    <m/>
    <n v="20260428"/>
    <m/>
    <s v="CREDITO"/>
    <n v="3974527"/>
    <s v="VISA INT"/>
    <m/>
    <m/>
    <n v="0.66342592592592597"/>
    <s v="XIAOMI SCHELL"/>
  </r>
  <r>
    <n v="1023366"/>
    <s v="VA"/>
    <s v="A"/>
    <n v="46139"/>
    <n v="46139"/>
    <m/>
    <n v="374"/>
    <s v="PS0005"/>
    <n v="9071"/>
    <n v="993874"/>
    <m/>
    <s v="455788******6009"/>
    <s v="Nac"/>
    <s v="COM"/>
    <x v="27"/>
    <n v="2599"/>
    <x v="0"/>
    <n v="75.11"/>
    <n v="33.53"/>
    <n v="6.04"/>
    <n v="2517.85"/>
    <n v="0"/>
    <m/>
    <n v="20260428"/>
    <m/>
    <s v="DEBITO"/>
    <n v="3974527"/>
    <s v="BCP"/>
    <m/>
    <m/>
    <n v="0.67594907407407412"/>
    <s v="XIAOMI SCHELL"/>
  </r>
  <r>
    <n v="1023366"/>
    <s v="VA"/>
    <s v="A"/>
    <n v="46139"/>
    <n v="46139"/>
    <m/>
    <n v="374"/>
    <n v="65656565"/>
    <n v="9073"/>
    <n v="663609"/>
    <m/>
    <s v="455788******7279"/>
    <s v="Nac"/>
    <s v="COM"/>
    <x v="27"/>
    <n v="69"/>
    <x v="0"/>
    <n v="1.99"/>
    <n v="0.89"/>
    <n v="0.16"/>
    <n v="66.849999999999994"/>
    <n v="0"/>
    <m/>
    <n v="20260428"/>
    <m/>
    <s v="DEBITO"/>
    <n v="3974527"/>
    <s v="BCP"/>
    <m/>
    <s v="Yape"/>
    <n v="0.68071759259259257"/>
    <s v="XIAOMI SCHELL"/>
  </r>
  <r>
    <n v="1023366"/>
    <s v="VA"/>
    <s v="A"/>
    <n v="46139"/>
    <n v="46139"/>
    <m/>
    <n v="374"/>
    <s v="PS0005"/>
    <n v="9078"/>
    <s v="3II36H"/>
    <m/>
    <s v="470458******5444"/>
    <s v="Nac"/>
    <s v="COM"/>
    <x v="27"/>
    <n v="159"/>
    <x v="0"/>
    <n v="4.5999999999999996"/>
    <n v="1.26"/>
    <n v="0.23"/>
    <n v="154.16999999999999"/>
    <n v="0"/>
    <m/>
    <n v="20260428"/>
    <m/>
    <s v="CREDITO"/>
    <n v="3974527"/>
    <s v="BCP"/>
    <m/>
    <m/>
    <n v="0.70212962962962966"/>
    <s v="XIAOMI SCHELL"/>
  </r>
  <r>
    <n v="1023366"/>
    <s v="VA"/>
    <s v="A"/>
    <n v="46139"/>
    <n v="46139"/>
    <m/>
    <n v="374"/>
    <s v="PS0005"/>
    <n v="9080"/>
    <n v="3934"/>
    <m/>
    <s v="463403******4336"/>
    <s v="Nac"/>
    <s v="COM"/>
    <x v="27"/>
    <n v="1499"/>
    <x v="0"/>
    <n v="43.32"/>
    <n v="8.84"/>
    <n v="1.59"/>
    <n v="1454.09"/>
    <n v="0"/>
    <m/>
    <n v="20260428"/>
    <m/>
    <s v="CREDITO"/>
    <n v="3974527"/>
    <s v="BCP"/>
    <m/>
    <m/>
    <n v="0.71273148148148147"/>
    <s v="XIAOMI SCHELL"/>
  </r>
  <r>
    <n v="1023366"/>
    <s v="VA"/>
    <s v="A"/>
    <n v="46139"/>
    <n v="46139"/>
    <m/>
    <n v="374"/>
    <s v="PS0005"/>
    <n v="9083"/>
    <s v="VMRCUS"/>
    <m/>
    <s v="472955******3376"/>
    <s v="Nac"/>
    <s v="COM"/>
    <x v="27"/>
    <n v="159"/>
    <x v="0"/>
    <n v="4.5999999999999996"/>
    <n v="1.26"/>
    <n v="0.23"/>
    <n v="154.16999999999999"/>
    <n v="0"/>
    <m/>
    <n v="20260428"/>
    <m/>
    <s v="CREDITO"/>
    <n v="3974527"/>
    <s v="VISA LOC"/>
    <m/>
    <m/>
    <n v="0.71659722222222222"/>
    <s v="XIAOMI SCHELL"/>
  </r>
  <r>
    <n v="1023366"/>
    <s v="VA"/>
    <s v="A"/>
    <n v="46139"/>
    <n v="46139"/>
    <m/>
    <n v="374"/>
    <s v="PS0005"/>
    <n v="9087"/>
    <n v="191668"/>
    <m/>
    <s v="421355******7085"/>
    <s v="Nac"/>
    <s v="COM"/>
    <x v="27"/>
    <n v="109"/>
    <x v="0"/>
    <n v="3.15"/>
    <n v="1.41"/>
    <n v="0.25"/>
    <n v="105.6"/>
    <n v="0"/>
    <m/>
    <n v="20260428"/>
    <m/>
    <s v="DEBITO"/>
    <n v="3974527"/>
    <s v="IBK PRIVADA"/>
    <m/>
    <m/>
    <n v="0.74949074074074074"/>
    <s v="XIAOMI SCHELL"/>
  </r>
  <r>
    <n v="1023366"/>
    <s v="VA"/>
    <s v="A"/>
    <n v="46139"/>
    <n v="46139"/>
    <m/>
    <n v="374"/>
    <s v="PS0005"/>
    <n v="9090"/>
    <s v="745TV3"/>
    <n v="3"/>
    <s v="417400******3440"/>
    <s v="Ext"/>
    <s v="COM"/>
    <x v="27"/>
    <n v="269"/>
    <x v="0"/>
    <n v="10.49"/>
    <n v="7.54"/>
    <n v="1.36"/>
    <n v="257.14999999999998"/>
    <n v="0"/>
    <m/>
    <n v="20260428"/>
    <m/>
    <s v="CREDITO"/>
    <n v="3974527"/>
    <s v="VISA INT"/>
    <s v="NO"/>
    <m/>
    <n v="0.75535879629629632"/>
    <s v="XIAOMI SCHELL"/>
  </r>
  <r>
    <n v="1023366"/>
    <s v="VA"/>
    <s v="A"/>
    <n v="46139"/>
    <n v="46139"/>
    <m/>
    <n v="374"/>
    <s v="PS0005"/>
    <n v="9092"/>
    <n v="608772"/>
    <m/>
    <s v="414791******4177"/>
    <s v="Nac"/>
    <s v="COM"/>
    <x v="27"/>
    <n v="55"/>
    <x v="0"/>
    <n v="1.59"/>
    <n v="0.32"/>
    <n v="0.06"/>
    <n v="53.35"/>
    <n v="0"/>
    <m/>
    <n v="20260428"/>
    <m/>
    <s v="CREDITO"/>
    <n v="3974527"/>
    <s v="BBVA"/>
    <m/>
    <m/>
    <n v="0.77109953703703704"/>
    <s v="XIAOMI SCHELL"/>
  </r>
  <r>
    <n v="1023366"/>
    <s v="VA"/>
    <s v="A"/>
    <n v="46139"/>
    <n v="46139"/>
    <m/>
    <n v="374"/>
    <n v="65656565"/>
    <n v="9094"/>
    <n v="255645"/>
    <m/>
    <s v="455788******1477"/>
    <s v="Nac"/>
    <s v="COM"/>
    <x v="27"/>
    <n v="55"/>
    <x v="0"/>
    <n v="1.58"/>
    <n v="0.7"/>
    <n v="0.13"/>
    <n v="53.29"/>
    <n v="0"/>
    <m/>
    <n v="20260428"/>
    <m/>
    <s v="DEBITO"/>
    <n v="3974527"/>
    <s v="BCP"/>
    <m/>
    <s v="Yape"/>
    <n v="0.77506944444444448"/>
    <s v="XIAOMI SCHELL"/>
  </r>
  <r>
    <n v="1023366"/>
    <s v="VA"/>
    <s v="A"/>
    <n v="46139"/>
    <n v="46139"/>
    <m/>
    <n v="374"/>
    <s v="PS0005"/>
    <n v="9097"/>
    <n v="1925"/>
    <m/>
    <s v="445330******5991"/>
    <s v="Nac"/>
    <s v="COM"/>
    <x v="27"/>
    <n v="2999"/>
    <x v="0"/>
    <n v="86.67"/>
    <n v="17.690000000000001"/>
    <n v="3.18"/>
    <n v="2909.15"/>
    <n v="0"/>
    <m/>
    <n v="20260428"/>
    <m/>
    <s v="CREDITO"/>
    <n v="3974527"/>
    <s v="BCP"/>
    <m/>
    <m/>
    <n v="0.80928240740740742"/>
    <s v="XIAOMI SCHELL"/>
  </r>
  <r>
    <n v="1023366"/>
    <s v="VA"/>
    <s v="A"/>
    <n v="46139"/>
    <n v="46139"/>
    <m/>
    <n v="374"/>
    <s v="PS0005"/>
    <n v="9099"/>
    <n v="75900"/>
    <m/>
    <s v="455788******2865"/>
    <s v="Nac"/>
    <s v="COM"/>
    <x v="27"/>
    <n v="1549"/>
    <x v="0"/>
    <n v="44.77"/>
    <n v="19.989999999999998"/>
    <n v="3.6"/>
    <n v="1500.63"/>
    <n v="10648.27"/>
    <n v="46140"/>
    <n v="20260428"/>
    <m/>
    <s v="DEBITO"/>
    <n v="3974527"/>
    <s v="BCP"/>
    <m/>
    <m/>
    <n v="0.83211805555555551"/>
    <s v="XIAOMI SCHELL"/>
  </r>
  <r>
    <n v="1023366"/>
    <s v="VK"/>
    <s v="A"/>
    <n v="46139"/>
    <n v="46139"/>
    <m/>
    <n v="374"/>
    <s v="PS0005"/>
    <n v="9053"/>
    <n v="37718"/>
    <m/>
    <s v="404071******1364"/>
    <s v="Nac"/>
    <s v="COM"/>
    <x v="27"/>
    <n v="139"/>
    <x v="0"/>
    <n v="4.0199999999999996"/>
    <n v="1.1000000000000001"/>
    <n v="0.2"/>
    <n v="134.78"/>
    <n v="0"/>
    <m/>
    <n v="20260428"/>
    <m/>
    <s v="CREDITO"/>
    <n v="3974527"/>
    <s v="SIP MC"/>
    <m/>
    <m/>
    <n v="0.59197916666666661"/>
    <s v="XIAOMI SCHELL"/>
  </r>
  <r>
    <n v="1023366"/>
    <s v="VK"/>
    <s v="A"/>
    <n v="46139"/>
    <n v="46139"/>
    <m/>
    <n v="374"/>
    <s v="PS0005"/>
    <n v="9064"/>
    <n v="46253"/>
    <n v="6"/>
    <s v="404071******5400"/>
    <s v="Nac"/>
    <s v="COM"/>
    <x v="27"/>
    <n v="2999"/>
    <x v="0"/>
    <n v="86.67"/>
    <n v="23.69"/>
    <n v="4.26"/>
    <n v="2908.07"/>
    <n v="3042.85"/>
    <n v="46140"/>
    <n v="20260428"/>
    <m/>
    <s v="CREDITO"/>
    <n v="3974527"/>
    <s v="SIP MC"/>
    <s v="NO"/>
    <m/>
    <n v="0.65105324074074078"/>
    <s v="XIAOMI SCHELL"/>
  </r>
  <r>
    <n v="1023366"/>
    <s v="MC"/>
    <s v="A"/>
    <n v="46140"/>
    <n v="46140"/>
    <m/>
    <n v="375"/>
    <s v="PS0005"/>
    <n v="9125"/>
    <n v="358336"/>
    <m/>
    <s v="554029******4211"/>
    <s v="Ext"/>
    <s v="COM"/>
    <x v="28"/>
    <n v="269"/>
    <x v="0"/>
    <n v="10.49"/>
    <n v="5.51"/>
    <n v="0.99"/>
    <n v="257.52"/>
    <n v="0"/>
    <m/>
    <n v="20260429"/>
    <m/>
    <s v="CREDITO"/>
    <n v="3974527"/>
    <s v="MCI C. INTER"/>
    <m/>
    <m/>
    <n v="0.50935185185185183"/>
    <s v="XIAOMI SCHELL"/>
  </r>
  <r>
    <n v="1023366"/>
    <s v="MC"/>
    <s v="A"/>
    <n v="46140"/>
    <n v="46140"/>
    <m/>
    <n v="375"/>
    <s v="PS0005"/>
    <n v="9138"/>
    <n v="58738"/>
    <m/>
    <s v="511842******3168"/>
    <s v="Nac"/>
    <s v="COM"/>
    <x v="28"/>
    <n v="69"/>
    <x v="0"/>
    <n v="1.99"/>
    <n v="0.78"/>
    <n v="0.14000000000000001"/>
    <n v="66.87"/>
    <n v="324.39"/>
    <n v="46141"/>
    <n v="20260429"/>
    <m/>
    <s v="DEBITO"/>
    <n v="3974527"/>
    <s v="SCOTIA DEBIT"/>
    <m/>
    <m/>
    <n v="0.60326388888888893"/>
    <s v="XIAOMI SCHELL"/>
  </r>
  <r>
    <n v="1023366"/>
    <s v="VA"/>
    <s v="A"/>
    <n v="46140"/>
    <n v="46140"/>
    <m/>
    <n v="671"/>
    <s v="PS0003"/>
    <n v="9229"/>
    <n v="899517"/>
    <m/>
    <s v="411513******7057"/>
    <s v="Nac"/>
    <s v="COM"/>
    <x v="28"/>
    <n v="380"/>
    <x v="0"/>
    <n v="10.98"/>
    <n v="4.9000000000000004"/>
    <n v="0.88"/>
    <n v="368.14"/>
    <n v="0"/>
    <m/>
    <n v="20260429"/>
    <m/>
    <s v="DEBITO"/>
    <s v="FD8B1962"/>
    <s v="VISA LOC"/>
    <m/>
    <m/>
    <n v="0.7024421296296296"/>
    <s v="XIAOMI SCHELL"/>
  </r>
  <r>
    <n v="1023366"/>
    <s v="VA"/>
    <s v="A"/>
    <n v="46140"/>
    <n v="46140"/>
    <m/>
    <n v="671"/>
    <s v="PS0003"/>
    <n v="9231"/>
    <n v="911192"/>
    <m/>
    <s v="414075******3712"/>
    <s v="Nac"/>
    <s v="COM"/>
    <x v="28"/>
    <n v="146"/>
    <x v="0"/>
    <n v="4.22"/>
    <n v="0.56999999999999995"/>
    <n v="0.1"/>
    <n v="141.68"/>
    <n v="0"/>
    <m/>
    <n v="20260429"/>
    <m/>
    <s v="CREDITO"/>
    <s v="FD8B1962"/>
    <s v="BBVA"/>
    <m/>
    <m/>
    <n v="0.80122685185185183"/>
    <s v="XIAOMI SCHELL"/>
  </r>
  <r>
    <n v="1023366"/>
    <s v="VA"/>
    <s v="A"/>
    <n v="46140"/>
    <n v="46140"/>
    <m/>
    <n v="375"/>
    <s v="PS0005"/>
    <n v="9116"/>
    <n v="40164"/>
    <m/>
    <s v="450792******5572"/>
    <s v="Nac"/>
    <s v="COM"/>
    <x v="28"/>
    <n v="1000"/>
    <x v="0"/>
    <n v="28.9"/>
    <n v="3.9"/>
    <n v="0.7"/>
    <n v="970.4"/>
    <n v="0"/>
    <m/>
    <n v="20260429"/>
    <m/>
    <s v="CREDITO"/>
    <n v="3974527"/>
    <s v="SCOTIABANK"/>
    <m/>
    <m/>
    <n v="0.44594907407407408"/>
    <s v="XIAOMI SCHELL"/>
  </r>
  <r>
    <n v="1023366"/>
    <s v="VA"/>
    <s v="A"/>
    <n v="46140"/>
    <n v="46140"/>
    <m/>
    <n v="375"/>
    <s v="PS0005"/>
    <n v="9118"/>
    <n v="43261"/>
    <m/>
    <s v="438993******2690"/>
    <s v="Nac"/>
    <s v="COM"/>
    <x v="28"/>
    <n v="1283"/>
    <x v="0"/>
    <n v="37.08"/>
    <n v="7.57"/>
    <n v="1.36"/>
    <n v="1244.56"/>
    <n v="0"/>
    <m/>
    <n v="20260429"/>
    <m/>
    <s v="CREDITO"/>
    <n v="3974527"/>
    <s v="SCOTIABANK"/>
    <m/>
    <m/>
    <n v="0.45685185185185184"/>
    <s v="XIAOMI SCHELL"/>
  </r>
  <r>
    <n v="1023366"/>
    <s v="VA"/>
    <s v="A"/>
    <n v="46140"/>
    <n v="46140"/>
    <m/>
    <n v="375"/>
    <s v="PS0005"/>
    <n v="9120"/>
    <n v="510360"/>
    <m/>
    <s v="455696******8405"/>
    <s v="Nac"/>
    <s v="COM"/>
    <x v="28"/>
    <n v="199"/>
    <x v="0"/>
    <n v="5.75"/>
    <n v="0.77"/>
    <n v="0.14000000000000001"/>
    <n v="193.11"/>
    <n v="0"/>
    <m/>
    <n v="20260429"/>
    <m/>
    <s v="CREDITO"/>
    <n v="3974527"/>
    <s v="IBK PRIVADA"/>
    <m/>
    <m/>
    <n v="0.49369212962962961"/>
    <s v="XIAOMI SCHELL"/>
  </r>
  <r>
    <n v="1023366"/>
    <s v="VA"/>
    <s v="A"/>
    <n v="46140"/>
    <n v="46140"/>
    <m/>
    <n v="375"/>
    <s v="PS0005"/>
    <n v="9122"/>
    <n v="7938"/>
    <m/>
    <s v="428083******6288"/>
    <s v="Nac"/>
    <s v="COM"/>
    <x v="28"/>
    <n v="189"/>
    <x v="0"/>
    <n v="5.46"/>
    <n v="0.73"/>
    <n v="0.13"/>
    <n v="183.41"/>
    <n v="0"/>
    <m/>
    <n v="20260429"/>
    <m/>
    <s v="CREDITO"/>
    <n v="3974527"/>
    <s v="BCP"/>
    <m/>
    <m/>
    <n v="0.50100694444444449"/>
    <s v="XIAOMI SCHELL"/>
  </r>
  <r>
    <n v="1023366"/>
    <s v="VA"/>
    <s v="A"/>
    <n v="46140"/>
    <n v="46140"/>
    <m/>
    <n v="375"/>
    <s v="PS0005"/>
    <n v="9127"/>
    <n v="74172"/>
    <m/>
    <s v="414165******6695"/>
    <s v="Nac"/>
    <s v="COM"/>
    <x v="28"/>
    <n v="19"/>
    <x v="0"/>
    <n v="0.55000000000000004"/>
    <n v="0.11"/>
    <n v="0.02"/>
    <n v="18.43"/>
    <n v="0"/>
    <m/>
    <n v="20260429"/>
    <m/>
    <s v="CREDITO"/>
    <n v="3974527"/>
    <s v="SCOTIABANK"/>
    <m/>
    <m/>
    <n v="0.55887731481481484"/>
    <s v="XIAOMI SCHELL"/>
  </r>
  <r>
    <n v="1023366"/>
    <s v="VA"/>
    <s v="A"/>
    <n v="46140"/>
    <n v="46140"/>
    <m/>
    <n v="375"/>
    <s v="PS0005"/>
    <n v="9129"/>
    <n v="364245"/>
    <m/>
    <s v="491257******0083"/>
    <s v="Nac"/>
    <s v="COM"/>
    <x v="28"/>
    <n v="159"/>
    <x v="0"/>
    <n v="4.5999999999999996"/>
    <n v="2.06"/>
    <n v="0.37"/>
    <n v="154.03"/>
    <n v="0"/>
    <m/>
    <n v="20260429"/>
    <m/>
    <s v="DEBITO"/>
    <n v="3974527"/>
    <s v="BCP"/>
    <m/>
    <m/>
    <n v="0.56626157407407407"/>
    <s v="XIAOMI SCHELL"/>
  </r>
  <r>
    <n v="1023366"/>
    <s v="VA"/>
    <s v="A"/>
    <n v="46140"/>
    <n v="46140"/>
    <m/>
    <n v="375"/>
    <s v="PS0005"/>
    <n v="9133"/>
    <n v="956126"/>
    <m/>
    <s v="421355******8912"/>
    <s v="Nac"/>
    <s v="COM"/>
    <x v="28"/>
    <n v="199"/>
    <x v="0"/>
    <n v="5.75"/>
    <n v="2.57"/>
    <n v="0.46"/>
    <n v="192.79"/>
    <n v="0"/>
    <m/>
    <n v="20260429"/>
    <m/>
    <s v="DEBITO"/>
    <n v="3974527"/>
    <s v="IBK PRIVADA"/>
    <m/>
    <m/>
    <n v="0.58567129629629633"/>
    <s v="XIAOMI SCHELL"/>
  </r>
  <r>
    <n v="1023366"/>
    <s v="VA"/>
    <s v="A"/>
    <n v="46140"/>
    <n v="46140"/>
    <m/>
    <n v="375"/>
    <s v="PS0005"/>
    <n v="9136"/>
    <n v="924230"/>
    <m/>
    <s v="438466******9641"/>
    <s v="Nac"/>
    <s v="COM"/>
    <x v="28"/>
    <n v="1099"/>
    <x v="0"/>
    <n v="31.76"/>
    <n v="6.48"/>
    <n v="1.17"/>
    <n v="1066.07"/>
    <n v="0"/>
    <m/>
    <n v="20260429"/>
    <m/>
    <s v="CREDITO"/>
    <n v="3974527"/>
    <s v="VISA LOC"/>
    <m/>
    <m/>
    <n v="0.5929861111111111"/>
    <s v="XIAOMI SCHELL"/>
  </r>
  <r>
    <n v="1023366"/>
    <s v="VA"/>
    <s v="A"/>
    <n v="46140"/>
    <n v="46140"/>
    <m/>
    <n v="375"/>
    <s v="PS0005"/>
    <n v="9140"/>
    <n v="3411"/>
    <m/>
    <s v="428082******6335"/>
    <s v="Nac"/>
    <s v="COM"/>
    <x v="28"/>
    <n v="359"/>
    <x v="0"/>
    <n v="10.38"/>
    <n v="2.12"/>
    <n v="0.38"/>
    <n v="348.24"/>
    <n v="0"/>
    <m/>
    <n v="20260429"/>
    <m/>
    <s v="CREDITO"/>
    <n v="3974527"/>
    <s v="BCP"/>
    <m/>
    <m/>
    <n v="0.60442129629629626"/>
    <s v="XIAOMI SCHELL"/>
  </r>
  <r>
    <n v="1023366"/>
    <s v="VA"/>
    <s v="A"/>
    <n v="46140"/>
    <n v="46140"/>
    <m/>
    <n v="375"/>
    <s v="PS0005"/>
    <n v="9144"/>
    <n v="764094"/>
    <m/>
    <s v="447410******0753"/>
    <s v="Nac"/>
    <s v="COM"/>
    <x v="28"/>
    <n v="204"/>
    <x v="0"/>
    <n v="5.9"/>
    <n v="1.21"/>
    <n v="0.22"/>
    <n v="197.88"/>
    <n v="0"/>
    <m/>
    <n v="20260429"/>
    <m/>
    <s v="CREDITO"/>
    <n v="3974527"/>
    <s v="BFALABELLA"/>
    <m/>
    <m/>
    <n v="0.64299768518518519"/>
    <s v="XIAOMI SCHELL"/>
  </r>
  <r>
    <n v="1023366"/>
    <s v="VA"/>
    <s v="A"/>
    <n v="46140"/>
    <n v="46140"/>
    <m/>
    <n v="375"/>
    <s v="PS0005"/>
    <n v="9146"/>
    <n v="523508"/>
    <m/>
    <s v="455788******3930"/>
    <s v="Nac"/>
    <s v="COM"/>
    <x v="28"/>
    <n v="69"/>
    <x v="0"/>
    <n v="1.99"/>
    <n v="0.89"/>
    <n v="0.16"/>
    <n v="66.849999999999994"/>
    <n v="0"/>
    <m/>
    <n v="20260429"/>
    <m/>
    <s v="DEBITO"/>
    <n v="3974527"/>
    <s v="BCP"/>
    <m/>
    <m/>
    <n v="0.65887731481481482"/>
    <s v="XIAOMI SCHELL"/>
  </r>
  <r>
    <n v="1023366"/>
    <s v="VA"/>
    <s v="A"/>
    <n v="46140"/>
    <n v="46140"/>
    <m/>
    <n v="375"/>
    <s v="PS0005"/>
    <n v="9148"/>
    <n v="947262"/>
    <m/>
    <s v="454776******4945"/>
    <s v="Nac"/>
    <s v="COM"/>
    <x v="28"/>
    <n v="1899"/>
    <x v="0"/>
    <n v="54.88"/>
    <n v="15"/>
    <n v="2.7"/>
    <n v="1841.42"/>
    <n v="0"/>
    <m/>
    <n v="20260429"/>
    <m/>
    <s v="DEBITO"/>
    <n v="3974527"/>
    <s v="IBK PRIVADA"/>
    <m/>
    <m/>
    <n v="0.6804513888888889"/>
    <s v="XIAOMI SCHELL"/>
  </r>
  <r>
    <n v="1023366"/>
    <s v="VA"/>
    <s v="A"/>
    <n v="46140"/>
    <n v="46140"/>
    <m/>
    <n v="375"/>
    <s v="PS0005"/>
    <n v="9150"/>
    <n v="301206"/>
    <m/>
    <s v="444355******0554"/>
    <s v="Nac"/>
    <s v="COM"/>
    <x v="28"/>
    <n v="189"/>
    <x v="0"/>
    <n v="5.46"/>
    <n v="2.44"/>
    <n v="0.44"/>
    <n v="183.1"/>
    <n v="0"/>
    <m/>
    <n v="20260429"/>
    <m/>
    <s v="DEBITO"/>
    <n v="3974527"/>
    <s v="BBVA"/>
    <m/>
    <m/>
    <n v="0.68212962962962964"/>
    <s v="XIAOMI SCHELL"/>
  </r>
  <r>
    <n v="1023366"/>
    <s v="VA"/>
    <s v="A"/>
    <n v="46140"/>
    <n v="46140"/>
    <m/>
    <n v="375"/>
    <s v="PS0005"/>
    <n v="9152"/>
    <n v="87252"/>
    <m/>
    <s v="428582******1246"/>
    <s v="Nac"/>
    <s v="COM"/>
    <x v="28"/>
    <n v="178"/>
    <x v="0"/>
    <n v="5.14"/>
    <n v="2.29"/>
    <n v="0.41"/>
    <n v="172.45"/>
    <n v="0"/>
    <m/>
    <n v="20260429"/>
    <m/>
    <s v="DEBITO"/>
    <n v="3974527"/>
    <s v="SCOTIABANK"/>
    <m/>
    <m/>
    <n v="0.74192129629629633"/>
    <s v="XIAOMI SCHELL"/>
  </r>
  <r>
    <n v="1023366"/>
    <s v="VA"/>
    <s v="A"/>
    <n v="46140"/>
    <n v="46140"/>
    <m/>
    <n v="375"/>
    <s v="PS0005"/>
    <n v="9154"/>
    <n v="100131"/>
    <m/>
    <s v="428581******4766"/>
    <s v="Nac"/>
    <s v="COM"/>
    <x v="28"/>
    <n v="52.9"/>
    <x v="0"/>
    <n v="1.53"/>
    <n v="0.68"/>
    <n v="0.12"/>
    <n v="51.25"/>
    <n v="0"/>
    <m/>
    <n v="20260429"/>
    <m/>
    <s v="DEBITO"/>
    <n v="3974527"/>
    <s v="SCOTIABANK"/>
    <m/>
    <m/>
    <n v="0.79159722222222217"/>
    <s v="XIAOMI SCHELL"/>
  </r>
  <r>
    <n v="1023366"/>
    <s v="VA"/>
    <s v="A"/>
    <n v="46140"/>
    <n v="46140"/>
    <m/>
    <n v="375"/>
    <n v="65656565"/>
    <n v="9156"/>
    <n v="54149"/>
    <m/>
    <s v="411090******6129"/>
    <s v="Nac"/>
    <s v="COM"/>
    <x v="28"/>
    <n v="1899"/>
    <x v="0"/>
    <n v="54.88"/>
    <n v="11.2"/>
    <n v="2.02"/>
    <n v="1842.1"/>
    <n v="0"/>
    <m/>
    <n v="20260429"/>
    <m/>
    <s v="CREDITO"/>
    <n v="3974527"/>
    <s v="IBK PRIVADA"/>
    <m/>
    <s v="IBK Plin"/>
    <n v="0.7955092592592593"/>
    <s v="XIAOMI SCHELL"/>
  </r>
  <r>
    <n v="1023366"/>
    <s v="VA"/>
    <s v="A"/>
    <n v="46140"/>
    <n v="46140"/>
    <m/>
    <n v="375"/>
    <s v="PS0005"/>
    <n v="9159"/>
    <n v="632778"/>
    <m/>
    <s v="455788******7429"/>
    <s v="Nac"/>
    <s v="COM"/>
    <x v="28"/>
    <n v="55"/>
    <x v="0"/>
    <n v="1.59"/>
    <n v="0.71"/>
    <n v="0.13"/>
    <n v="53.28"/>
    <n v="0"/>
    <m/>
    <n v="20260429"/>
    <m/>
    <s v="DEBITO"/>
    <n v="3974527"/>
    <s v="BCP"/>
    <m/>
    <m/>
    <n v="0.80924768518518519"/>
    <s v="XIAOMI SCHELL"/>
  </r>
  <r>
    <n v="1023366"/>
    <s v="VA"/>
    <s v="A"/>
    <n v="46140"/>
    <n v="46140"/>
    <m/>
    <n v="375"/>
    <s v="PS0005"/>
    <n v="9161"/>
    <n v="1855"/>
    <m/>
    <s v="463402******6045"/>
    <s v="Nac"/>
    <s v="COM"/>
    <x v="28"/>
    <n v="149"/>
    <x v="0"/>
    <n v="4.3099999999999996"/>
    <n v="1.18"/>
    <n v="0.21"/>
    <n v="144.47999999999999"/>
    <n v="0"/>
    <m/>
    <n v="20260429"/>
    <m/>
    <s v="CREDITO"/>
    <n v="3974527"/>
    <s v="BCP"/>
    <m/>
    <m/>
    <n v="0.81111111111111112"/>
    <s v="XIAOMI SCHELL"/>
  </r>
  <r>
    <n v="1023366"/>
    <s v="VA"/>
    <s v="A"/>
    <n v="46140"/>
    <n v="46140"/>
    <m/>
    <n v="375"/>
    <s v="PS0005"/>
    <n v="9164"/>
    <n v="3903"/>
    <m/>
    <s v="438466******8780"/>
    <s v="Nac"/>
    <s v="COM"/>
    <x v="28"/>
    <n v="79"/>
    <x v="0"/>
    <n v="2.2799999999999998"/>
    <n v="0.62"/>
    <n v="0.11"/>
    <n v="76.61"/>
    <n v="0"/>
    <m/>
    <n v="20260429"/>
    <m/>
    <s v="CREDITO"/>
    <n v="3974527"/>
    <s v="VISA LOC"/>
    <m/>
    <m/>
    <n v="0.81768518518518518"/>
    <s v="XIAOMI SCHELL"/>
  </r>
  <r>
    <n v="1023366"/>
    <s v="VA"/>
    <s v="A"/>
    <n v="46140"/>
    <n v="46140"/>
    <m/>
    <n v="375"/>
    <s v="PS0005"/>
    <n v="9166"/>
    <n v="550615"/>
    <m/>
    <s v="421355******1716"/>
    <s v="Nac"/>
    <s v="COM"/>
    <x v="28"/>
    <n v="89"/>
    <x v="0"/>
    <n v="2.57"/>
    <n v="1.1499999999999999"/>
    <n v="0.21"/>
    <n v="86.22"/>
    <n v="0"/>
    <m/>
    <n v="20260429"/>
    <m/>
    <s v="DEBITO"/>
    <n v="3974527"/>
    <s v="IBK PRIVADA"/>
    <m/>
    <m/>
    <n v="0.8271412037037037"/>
    <s v="XIAOMI SCHELL"/>
  </r>
  <r>
    <n v="1023366"/>
    <s v="VA"/>
    <s v="A"/>
    <n v="46140"/>
    <n v="46140"/>
    <m/>
    <n v="375"/>
    <s v="PS0005"/>
    <n v="9168"/>
    <n v="48996"/>
    <m/>
    <s v="455788******3394"/>
    <s v="Nac"/>
    <s v="COM"/>
    <x v="28"/>
    <n v="69"/>
    <x v="0"/>
    <n v="1.99"/>
    <n v="0.89"/>
    <n v="0.16"/>
    <n v="66.849999999999994"/>
    <n v="0"/>
    <m/>
    <n v="20260429"/>
    <m/>
    <s v="DEBITO"/>
    <n v="3974527"/>
    <s v="BCP"/>
    <m/>
    <m/>
    <n v="0.83408564814814812"/>
    <s v="XIAOMI SCHELL"/>
  </r>
  <r>
    <n v="1023366"/>
    <s v="VA"/>
    <s v="A"/>
    <n v="46140"/>
    <n v="46140"/>
    <m/>
    <n v="375"/>
    <s v="PS0005"/>
    <n v="9171"/>
    <s v="YI42AK"/>
    <m/>
    <s v="472955******4179"/>
    <s v="Nac"/>
    <s v="COM"/>
    <x v="28"/>
    <n v="1899"/>
    <x v="0"/>
    <n v="54.88"/>
    <n v="15"/>
    <n v="2.7"/>
    <n v="1841.42"/>
    <n v="0"/>
    <m/>
    <n v="20260429"/>
    <m/>
    <s v="CREDITO"/>
    <n v="3974527"/>
    <s v="VISA LOC"/>
    <m/>
    <m/>
    <n v="0.86099537037037033"/>
    <s v="XIAOMI SCHELL"/>
  </r>
  <r>
    <n v="1023366"/>
    <s v="VA"/>
    <s v="A"/>
    <n v="46140"/>
    <n v="46140"/>
    <m/>
    <n v="375"/>
    <n v="65656565"/>
    <n v="9173"/>
    <n v="154877"/>
    <m/>
    <s v="455788******4572"/>
    <s v="Nac"/>
    <s v="COM"/>
    <x v="28"/>
    <n v="49"/>
    <x v="0"/>
    <n v="1.41"/>
    <n v="0.63"/>
    <n v="0.11"/>
    <n v="47.48"/>
    <n v="11552.25"/>
    <n v="46141"/>
    <n v="20260429"/>
    <m/>
    <s v="DEBITO"/>
    <n v="3974527"/>
    <s v="BCP"/>
    <m/>
    <s v="Yape"/>
    <n v="0.87554398148148149"/>
    <s v="XIAOMI SCHELL"/>
  </r>
  <r>
    <n v="1023366"/>
    <s v="MC"/>
    <s v="A"/>
    <n v="46141"/>
    <n v="46141"/>
    <m/>
    <n v="376"/>
    <s v="PS0005"/>
    <n v="9228"/>
    <n v="224048"/>
    <m/>
    <s v="552035******0886"/>
    <s v="Ext"/>
    <s v="COM"/>
    <x v="29"/>
    <n v="29.8"/>
    <x v="0"/>
    <n v="1.1599999999999999"/>
    <n v="0.68"/>
    <n v="0.12"/>
    <n v="28.52"/>
    <n v="0"/>
    <m/>
    <n v="20260430"/>
    <m/>
    <s v="DEBITO"/>
    <n v="3974527"/>
    <s v="MCI C. INTER"/>
    <m/>
    <m/>
    <n v="0.67607638888888888"/>
    <s v="XIAOMI SCHELL"/>
  </r>
  <r>
    <n v="1023366"/>
    <s v="MC"/>
    <s v="A"/>
    <n v="46141"/>
    <n v="46141"/>
    <m/>
    <n v="376"/>
    <s v="PS0005"/>
    <n v="9230"/>
    <n v="224272"/>
    <m/>
    <s v="552035******7258"/>
    <s v="Ext"/>
    <s v="COM"/>
    <x v="29"/>
    <n v="14.9"/>
    <x v="0"/>
    <n v="0.57999999999999996"/>
    <n v="0.34"/>
    <n v="0.06"/>
    <n v="14.26"/>
    <n v="0"/>
    <m/>
    <n v="20260430"/>
    <m/>
    <s v="DEBITO"/>
    <n v="3974527"/>
    <s v="MCI C. INTER"/>
    <m/>
    <m/>
    <n v="0.67719907407407409"/>
    <s v="XIAOMI SCHELL"/>
  </r>
  <r>
    <n v="1023366"/>
    <s v="MC"/>
    <s v="A"/>
    <n v="46141"/>
    <n v="46141"/>
    <m/>
    <n v="376"/>
    <s v="PS0005"/>
    <n v="9249"/>
    <n v="174650"/>
    <m/>
    <s v="531259******5679"/>
    <s v="Ext"/>
    <s v="COM"/>
    <x v="29"/>
    <n v="687"/>
    <x v="0"/>
    <n v="26.79"/>
    <n v="15.8"/>
    <n v="2.84"/>
    <n v="657.37"/>
    <n v="0"/>
    <m/>
    <n v="20260430"/>
    <m/>
    <s v="DEBITO"/>
    <n v="3974527"/>
    <s v="MCI C. INTER"/>
    <m/>
    <m/>
    <n v="0.73998842592592595"/>
    <s v="XIAOMI SCHELL"/>
  </r>
  <r>
    <n v="1023366"/>
    <s v="MC"/>
    <s v="A"/>
    <n v="46141"/>
    <n v="46141"/>
    <m/>
    <n v="376"/>
    <s v="PS0005"/>
    <n v="9267"/>
    <s v="T4085J"/>
    <m/>
    <s v="531096******9889"/>
    <s v="Ext"/>
    <s v="COM"/>
    <x v="29"/>
    <n v="149"/>
    <x v="0"/>
    <n v="5.81"/>
    <n v="2.86"/>
    <n v="0.51"/>
    <n v="142.68"/>
    <n v="0"/>
    <m/>
    <n v="20260430"/>
    <m/>
    <s v="DEBITO"/>
    <n v="3974527"/>
    <s v="MCI C. INTER"/>
    <m/>
    <m/>
    <n v="0.82041666666666668"/>
    <s v="XIAOMI SCHELL"/>
  </r>
  <r>
    <n v="1023366"/>
    <s v="MC"/>
    <s v="A"/>
    <n v="46141"/>
    <n v="46141"/>
    <m/>
    <n v="376"/>
    <s v="PS0005"/>
    <n v="9270"/>
    <n v="195253"/>
    <m/>
    <s v="534966******0812"/>
    <s v="Ext"/>
    <s v="COM"/>
    <x v="29"/>
    <n v="123.9"/>
    <x v="0"/>
    <n v="4.83"/>
    <n v="2.85"/>
    <n v="0.51"/>
    <n v="118.56"/>
    <n v="961.39"/>
    <n v="46142"/>
    <n v="20260430"/>
    <m/>
    <s v="DEBITO"/>
    <n v="3974527"/>
    <s v="MCI C. INTER"/>
    <m/>
    <m/>
    <n v="0.82837962962962963"/>
    <s v="XIAOMI SCHELL"/>
  </r>
  <r>
    <n v="1023366"/>
    <s v="VA"/>
    <s v="A"/>
    <n v="46141"/>
    <n v="46141"/>
    <m/>
    <n v="672"/>
    <s v="PS0003"/>
    <n v="9237"/>
    <n v="925930"/>
    <m/>
    <s v="491246******5974"/>
    <s v="Nac"/>
    <s v="COM"/>
    <x v="29"/>
    <n v="2099"/>
    <x v="0"/>
    <n v="60.66"/>
    <n v="16.579999999999998"/>
    <n v="2.98"/>
    <n v="2035.36"/>
    <n v="0"/>
    <m/>
    <n v="20260430"/>
    <m/>
    <s v="DEBITO"/>
    <s v="FD8B1962"/>
    <s v="BCP"/>
    <m/>
    <m/>
    <n v="0.67880787037037038"/>
    <s v="XIAOMI SCHELL"/>
  </r>
  <r>
    <n v="1023366"/>
    <s v="VA"/>
    <s v="A"/>
    <n v="46141"/>
    <n v="46141"/>
    <m/>
    <n v="376"/>
    <s v="PS0005"/>
    <n v="9189"/>
    <n v="306498"/>
    <m/>
    <s v="455788******4604"/>
    <s v="Nac"/>
    <s v="COM"/>
    <x v="29"/>
    <n v="229"/>
    <x v="0"/>
    <n v="6.62"/>
    <n v="2.96"/>
    <n v="0.53"/>
    <n v="221.85"/>
    <n v="0"/>
    <m/>
    <n v="20260430"/>
    <m/>
    <s v="DEBITO"/>
    <n v="3974527"/>
    <s v="BCP"/>
    <m/>
    <m/>
    <n v="0.41958333333333331"/>
    <s v="XIAOMI SCHELL"/>
  </r>
  <r>
    <n v="1023366"/>
    <s v="VA"/>
    <s v="A"/>
    <n v="46141"/>
    <n v="46141"/>
    <m/>
    <n v="376"/>
    <s v="PS0005"/>
    <n v="9191"/>
    <n v="44481"/>
    <m/>
    <s v="414165******4656"/>
    <s v="Nac"/>
    <s v="COM"/>
    <x v="29"/>
    <n v="19.899999999999999"/>
    <x v="0"/>
    <n v="0.57999999999999996"/>
    <n v="0.12"/>
    <n v="0.02"/>
    <n v="19.3"/>
    <n v="0"/>
    <m/>
    <n v="20260430"/>
    <m/>
    <s v="CREDITO"/>
    <n v="3974527"/>
    <s v="SCOTIABANK"/>
    <m/>
    <m/>
    <n v="0.45914351851851853"/>
    <s v="XIAOMI SCHELL"/>
  </r>
  <r>
    <n v="1023366"/>
    <s v="VA"/>
    <s v="A"/>
    <n v="46141"/>
    <n v="46141"/>
    <m/>
    <n v="376"/>
    <s v="PS0005"/>
    <n v="9193"/>
    <n v="598781"/>
    <m/>
    <s v="491914******0769"/>
    <s v="Nac"/>
    <s v="COM"/>
    <x v="29"/>
    <n v="949"/>
    <x v="0"/>
    <n v="27.43"/>
    <n v="5.6"/>
    <n v="1.01"/>
    <n v="920.56"/>
    <n v="0"/>
    <m/>
    <n v="20260430"/>
    <m/>
    <s v="CREDITO"/>
    <n v="3974527"/>
    <s v="BBVA"/>
    <m/>
    <m/>
    <n v="0.4962037037037037"/>
    <s v="XIAOMI SCHELL"/>
  </r>
  <r>
    <n v="1023366"/>
    <s v="VA"/>
    <s v="A"/>
    <n v="46141"/>
    <n v="46141"/>
    <m/>
    <n v="376"/>
    <s v="PS0005"/>
    <n v="9196"/>
    <n v="370955"/>
    <m/>
    <s v="405951******0995"/>
    <s v="Ext"/>
    <s v="COM"/>
    <x v="29"/>
    <n v="69"/>
    <x v="0"/>
    <n v="2.69"/>
    <n v="1.94"/>
    <n v="0.35"/>
    <n v="65.959999999999994"/>
    <n v="0"/>
    <m/>
    <n v="20260430"/>
    <m/>
    <s v="DEBITO"/>
    <n v="3974527"/>
    <s v="VISA INT"/>
    <m/>
    <m/>
    <n v="0.525787037037037"/>
    <s v="XIAOMI SCHELL"/>
  </r>
  <r>
    <n v="1023366"/>
    <s v="VA"/>
    <s v="A"/>
    <n v="46141"/>
    <n v="46141"/>
    <m/>
    <n v="376"/>
    <s v="PS0005"/>
    <n v="9198"/>
    <n v="895078"/>
    <m/>
    <s v="455788******7451"/>
    <s v="Nac"/>
    <s v="COM"/>
    <x v="29"/>
    <n v="149"/>
    <x v="0"/>
    <n v="4.3099999999999996"/>
    <n v="1.93"/>
    <n v="0.35"/>
    <n v="144.34"/>
    <n v="0"/>
    <m/>
    <n v="20260430"/>
    <m/>
    <s v="DEBITO"/>
    <n v="3974527"/>
    <s v="BCP"/>
    <m/>
    <m/>
    <n v="0.53729166666666661"/>
    <s v="XIAOMI SCHELL"/>
  </r>
  <r>
    <n v="1023366"/>
    <s v="VA"/>
    <s v="A"/>
    <n v="46141"/>
    <n v="46141"/>
    <m/>
    <n v="376"/>
    <s v="PS0005"/>
    <n v="9200"/>
    <n v="967094"/>
    <m/>
    <s v="447410******4552"/>
    <s v="Nac"/>
    <s v="COM"/>
    <x v="29"/>
    <n v="55"/>
    <x v="0"/>
    <n v="1.59"/>
    <n v="0.32"/>
    <n v="0.06"/>
    <n v="53.35"/>
    <n v="0"/>
    <m/>
    <n v="20260430"/>
    <m/>
    <s v="CREDITO"/>
    <n v="3974527"/>
    <s v="BFALABELLA"/>
    <m/>
    <m/>
    <n v="0.5408680555555555"/>
    <s v="XIAOMI SCHELL"/>
  </r>
  <r>
    <n v="1023366"/>
    <s v="VA"/>
    <s v="A"/>
    <n v="46141"/>
    <n v="46141"/>
    <m/>
    <n v="376"/>
    <s v="PS0005"/>
    <n v="9202"/>
    <n v="164521"/>
    <m/>
    <s v="421355******1576"/>
    <s v="Nac"/>
    <s v="COM"/>
    <x v="29"/>
    <n v="1898"/>
    <x v="0"/>
    <n v="54.85"/>
    <n v="24.48"/>
    <n v="4.41"/>
    <n v="1838.74"/>
    <n v="0"/>
    <m/>
    <n v="20260430"/>
    <m/>
    <s v="DEBITO"/>
    <n v="3974527"/>
    <s v="IBK PRIVADA"/>
    <m/>
    <m/>
    <n v="0.55666666666666664"/>
    <s v="XIAOMI SCHELL"/>
  </r>
  <r>
    <n v="1023366"/>
    <s v="VA"/>
    <s v="A"/>
    <n v="46141"/>
    <n v="46141"/>
    <m/>
    <n v="376"/>
    <s v="PS0005"/>
    <n v="9204"/>
    <n v="950162"/>
    <m/>
    <s v="455788******2436"/>
    <s v="Nac"/>
    <s v="COM"/>
    <x v="29"/>
    <n v="69"/>
    <x v="0"/>
    <n v="1.99"/>
    <n v="0.89"/>
    <n v="0.16"/>
    <n v="66.849999999999994"/>
    <n v="0"/>
    <m/>
    <n v="20260430"/>
    <m/>
    <s v="DEBITO"/>
    <n v="3974527"/>
    <s v="BCP"/>
    <m/>
    <m/>
    <n v="0.56475694444444446"/>
    <s v="XIAOMI SCHELL"/>
  </r>
  <r>
    <n v="1023366"/>
    <s v="VA"/>
    <s v="A"/>
    <n v="46141"/>
    <n v="46141"/>
    <m/>
    <n v="376"/>
    <n v="65656565"/>
    <n v="9206"/>
    <n v="537888"/>
    <m/>
    <s v="421355******3184"/>
    <s v="Nac"/>
    <s v="COM"/>
    <x v="29"/>
    <n v="94"/>
    <x v="0"/>
    <n v="2.71"/>
    <n v="1.21"/>
    <n v="0.22"/>
    <n v="91.07"/>
    <n v="0"/>
    <m/>
    <n v="20260430"/>
    <m/>
    <s v="DEBITO"/>
    <n v="3974527"/>
    <s v="IBK PRIVADA"/>
    <m/>
    <s v="IBK Plin"/>
    <n v="0.56969907407407405"/>
    <s v="XIAOMI SCHELL"/>
  </r>
  <r>
    <n v="1023366"/>
    <s v="VA"/>
    <s v="A"/>
    <n v="46141"/>
    <n v="46141"/>
    <m/>
    <n v="376"/>
    <s v="PS0005"/>
    <n v="9209"/>
    <n v="991952"/>
    <m/>
    <s v="455788******2436"/>
    <s v="Nac"/>
    <s v="COM"/>
    <x v="29"/>
    <n v="69"/>
    <x v="0"/>
    <n v="1.99"/>
    <n v="0.89"/>
    <n v="0.16"/>
    <n v="66.849999999999994"/>
    <n v="0"/>
    <m/>
    <n v="20260430"/>
    <m/>
    <s v="DEBITO"/>
    <n v="3974527"/>
    <s v="BCP"/>
    <m/>
    <m/>
    <n v="0.57247685185185182"/>
    <s v="XIAOMI SCHELL"/>
  </r>
  <r>
    <n v="1023366"/>
    <s v="VA"/>
    <s v="A"/>
    <n v="46141"/>
    <n v="46141"/>
    <m/>
    <n v="376"/>
    <s v="PS0005"/>
    <n v="9214"/>
    <n v="5180"/>
    <m/>
    <s v="445330******4556"/>
    <s v="Nac"/>
    <s v="COM"/>
    <x v="29"/>
    <n v="259.89999999999998"/>
    <x v="0"/>
    <n v="7.51"/>
    <n v="2.0499999999999998"/>
    <n v="0.37"/>
    <n v="252.02"/>
    <n v="0"/>
    <m/>
    <n v="20260430"/>
    <m/>
    <s v="CREDITO"/>
    <n v="3974527"/>
    <s v="BCP"/>
    <m/>
    <m/>
    <n v="0.58278935185185188"/>
    <s v="XIAOMI SCHELL"/>
  </r>
  <r>
    <n v="1023366"/>
    <s v="VA"/>
    <s v="A"/>
    <n v="46141"/>
    <n v="46141"/>
    <m/>
    <n v="376"/>
    <s v="PS0005"/>
    <n v="9217"/>
    <n v="59660"/>
    <m/>
    <s v="411513******8330"/>
    <s v="Nac"/>
    <s v="COM"/>
    <x v="29"/>
    <n v="199"/>
    <x v="0"/>
    <n v="5.75"/>
    <n v="2.57"/>
    <n v="0.46"/>
    <n v="192.79"/>
    <n v="0"/>
    <m/>
    <n v="20260430"/>
    <m/>
    <s v="DEBITO"/>
    <n v="3974527"/>
    <s v="VISA LOC"/>
    <m/>
    <m/>
    <n v="0.58474537037037033"/>
    <s v="XIAOMI SCHELL"/>
  </r>
  <r>
    <n v="1023366"/>
    <s v="VA"/>
    <s v="A"/>
    <n v="46141"/>
    <n v="46141"/>
    <m/>
    <n v="376"/>
    <s v="PS0005"/>
    <n v="9223"/>
    <n v="5307"/>
    <m/>
    <s v="445330******9197"/>
    <s v="Nac"/>
    <s v="COM"/>
    <x v="29"/>
    <n v="79"/>
    <x v="0"/>
    <n v="2.2799999999999998"/>
    <n v="0.3"/>
    <n v="0.05"/>
    <n v="76.67"/>
    <n v="0"/>
    <m/>
    <n v="20260430"/>
    <m/>
    <s v="CREDITO"/>
    <n v="3974527"/>
    <s v="BCP"/>
    <m/>
    <m/>
    <n v="0.62703703703703706"/>
    <s v="XIAOMI SCHELL"/>
  </r>
  <r>
    <n v="1023366"/>
    <s v="VA"/>
    <s v="A"/>
    <n v="46141"/>
    <n v="46141"/>
    <m/>
    <n v="376"/>
    <s v="PS0005"/>
    <n v="9226"/>
    <n v="6178"/>
    <m/>
    <s v="438829******2121"/>
    <s v="Nac"/>
    <s v="COM"/>
    <x v="29"/>
    <n v="599"/>
    <x v="0"/>
    <n v="17.309999999999999"/>
    <n v="4.7300000000000004"/>
    <n v="0.85"/>
    <n v="580.84"/>
    <n v="0"/>
    <m/>
    <n v="20260430"/>
    <m/>
    <s v="CREDITO"/>
    <n v="3974527"/>
    <s v="VISA LOC"/>
    <m/>
    <m/>
    <n v="0.6529166666666667"/>
    <s v="XIAOMI SCHELL"/>
  </r>
  <r>
    <n v="1023366"/>
    <s v="VA"/>
    <s v="A"/>
    <n v="46141"/>
    <n v="46141"/>
    <m/>
    <n v="376"/>
    <s v="PS0005"/>
    <n v="9232"/>
    <n v="508891"/>
    <n v="3"/>
    <s v="491914******6676"/>
    <s v="Nac"/>
    <s v="COM"/>
    <x v="29"/>
    <n v="1899"/>
    <x v="0"/>
    <n v="88.11"/>
    <n v="11.2"/>
    <n v="2.02"/>
    <n v="1808.87"/>
    <n v="0"/>
    <m/>
    <n v="20260430"/>
    <m/>
    <s v="CREDITO"/>
    <n v="3974527"/>
    <s v="BBVA"/>
    <s v="SI"/>
    <m/>
    <n v="0.6814351851851852"/>
    <s v="XIAOMI SCHELL"/>
  </r>
  <r>
    <n v="1023366"/>
    <s v="VA"/>
    <s v="A"/>
    <n v="46141"/>
    <n v="46141"/>
    <m/>
    <n v="376"/>
    <s v="PS0005"/>
    <n v="9234"/>
    <n v="526525"/>
    <m/>
    <s v="455170******9298"/>
    <s v="Nac"/>
    <s v="COM"/>
    <x v="29"/>
    <n v="349"/>
    <x v="0"/>
    <n v="10.09"/>
    <n v="4.51"/>
    <n v="0.81"/>
    <n v="338.1"/>
    <n v="0"/>
    <m/>
    <n v="20260430"/>
    <m/>
    <s v="DEBITO"/>
    <n v="3974527"/>
    <s v="BBVA"/>
    <m/>
    <m/>
    <n v="0.68527777777777776"/>
    <s v="XIAOMI SCHELL"/>
  </r>
  <r>
    <n v="1023366"/>
    <s v="VA"/>
    <s v="A"/>
    <n v="46141"/>
    <n v="46141"/>
    <m/>
    <n v="376"/>
    <s v="PS0005"/>
    <n v="9236"/>
    <n v="604495"/>
    <m/>
    <s v="428597******9955"/>
    <s v="Nac"/>
    <s v="COM"/>
    <x v="29"/>
    <n v="676"/>
    <x v="0"/>
    <n v="19.54"/>
    <n v="5.34"/>
    <n v="0.96"/>
    <n v="655.5"/>
    <n v="0"/>
    <m/>
    <n v="20260430"/>
    <m/>
    <s v="DEBITO"/>
    <n v="3974527"/>
    <s v="BBVA"/>
    <m/>
    <m/>
    <n v="0.70203703703703701"/>
    <s v="XIAOMI SCHELL"/>
  </r>
  <r>
    <n v="1023366"/>
    <s v="VA"/>
    <s v="A"/>
    <n v="46141"/>
    <n v="46141"/>
    <m/>
    <n v="376"/>
    <s v="PS0005"/>
    <n v="9238"/>
    <n v="993381"/>
    <m/>
    <s v="421355******5689"/>
    <s v="Nac"/>
    <s v="COM"/>
    <x v="29"/>
    <n v="159"/>
    <x v="0"/>
    <n v="4.5999999999999996"/>
    <n v="2.06"/>
    <n v="0.37"/>
    <n v="154.03"/>
    <n v="0"/>
    <m/>
    <n v="20260430"/>
    <m/>
    <s v="DEBITO"/>
    <n v="3974527"/>
    <s v="IBK PRIVADA"/>
    <m/>
    <m/>
    <n v="0.70268518518518519"/>
    <s v="XIAOMI SCHELL"/>
  </r>
  <r>
    <n v="1023366"/>
    <s v="VA"/>
    <s v="A"/>
    <n v="46141"/>
    <n v="46141"/>
    <m/>
    <n v="376"/>
    <s v="PS0005"/>
    <n v="9240"/>
    <n v="345927"/>
    <m/>
    <s v="421355******6596"/>
    <s v="Nac"/>
    <s v="COM"/>
    <x v="29"/>
    <n v="269"/>
    <x v="0"/>
    <n v="7.77"/>
    <n v="3.47"/>
    <n v="0.62"/>
    <n v="260.61"/>
    <n v="0"/>
    <m/>
    <n v="20260430"/>
    <m/>
    <s v="DEBITO"/>
    <n v="3974527"/>
    <s v="IBK PRIVADA"/>
    <m/>
    <m/>
    <n v="0.70976851851851852"/>
    <s v="XIAOMI SCHELL"/>
  </r>
  <r>
    <n v="1023366"/>
    <s v="VA"/>
    <s v="A"/>
    <n v="46141"/>
    <n v="46141"/>
    <m/>
    <n v="376"/>
    <s v="PS0005"/>
    <n v="9242"/>
    <n v="712910"/>
    <m/>
    <s v="455103******0362"/>
    <s v="Nac"/>
    <s v="COM"/>
    <x v="29"/>
    <n v="2899"/>
    <x v="0"/>
    <n v="83.78"/>
    <n v="37.4"/>
    <n v="6.73"/>
    <n v="2808.49"/>
    <n v="0"/>
    <m/>
    <n v="20260430"/>
    <m/>
    <s v="DEBITO"/>
    <n v="3974527"/>
    <s v="BBVA"/>
    <m/>
    <m/>
    <n v="0.72379629629629627"/>
    <s v="XIAOMI SCHELL"/>
  </r>
  <r>
    <n v="1023366"/>
    <s v="VA"/>
    <s v="A"/>
    <n v="46141"/>
    <n v="46141"/>
    <m/>
    <n v="376"/>
    <s v="PS0005"/>
    <n v="9246"/>
    <n v="35756"/>
    <m/>
    <s v="451787******5553"/>
    <s v="Nac"/>
    <s v="COM"/>
    <x v="29"/>
    <n v="229"/>
    <x v="0"/>
    <n v="6.62"/>
    <n v="1.35"/>
    <n v="0.24"/>
    <n v="222.14"/>
    <n v="0"/>
    <m/>
    <n v="20260430"/>
    <m/>
    <s v="CREDITO"/>
    <n v="3974527"/>
    <s v="BFALABELLA"/>
    <m/>
    <m/>
    <n v="0.728912037037037"/>
    <s v="XIAOMI SCHELL"/>
  </r>
  <r>
    <n v="1023366"/>
    <s v="VA"/>
    <s v="A"/>
    <n v="46141"/>
    <n v="46141"/>
    <m/>
    <n v="376"/>
    <s v="PS0005"/>
    <n v="9252"/>
    <n v="154039"/>
    <m/>
    <s v="411539******3222"/>
    <s v="Nac"/>
    <s v="COM"/>
    <x v="29"/>
    <n v="1899"/>
    <x v="0"/>
    <n v="54.88"/>
    <n v="24.5"/>
    <n v="4.41"/>
    <n v="1839.71"/>
    <n v="0"/>
    <m/>
    <n v="20260430"/>
    <m/>
    <s v="DEBITO"/>
    <n v="3974527"/>
    <s v="VISA LOC"/>
    <m/>
    <m/>
    <n v="0.76709490740740738"/>
    <s v="XIAOMI SCHELL"/>
  </r>
  <r>
    <n v="1023366"/>
    <s v="VA"/>
    <s v="A"/>
    <n v="46141"/>
    <n v="46141"/>
    <m/>
    <n v="376"/>
    <n v="65656565"/>
    <n v="9254"/>
    <n v="517144"/>
    <m/>
    <s v="455788******9991"/>
    <s v="Nac"/>
    <s v="COM"/>
    <x v="29"/>
    <n v="169"/>
    <x v="0"/>
    <n v="4.88"/>
    <n v="2.1800000000000002"/>
    <n v="0.39"/>
    <n v="163.72999999999999"/>
    <n v="0"/>
    <m/>
    <n v="20260430"/>
    <m/>
    <s v="DEBITO"/>
    <n v="3974527"/>
    <s v="BCP"/>
    <m/>
    <s v="Yape"/>
    <n v="0.77001157407407406"/>
    <s v="XIAOMI SCHELL"/>
  </r>
  <r>
    <n v="1023366"/>
    <s v="VA"/>
    <s v="A"/>
    <n v="46141"/>
    <n v="46141"/>
    <m/>
    <n v="376"/>
    <s v="PS0005"/>
    <n v="9259"/>
    <n v="544357"/>
    <m/>
    <s v="455696******7651"/>
    <s v="Nac"/>
    <s v="COM"/>
    <x v="29"/>
    <n v="159"/>
    <x v="0"/>
    <n v="4.5999999999999996"/>
    <n v="0.94"/>
    <n v="0.17"/>
    <n v="154.22999999999999"/>
    <n v="0"/>
    <m/>
    <n v="20260430"/>
    <m/>
    <s v="CREDITO"/>
    <n v="3974527"/>
    <s v="IBK PRIVADA"/>
    <m/>
    <m/>
    <n v="0.78789351851851852"/>
    <s v="XIAOMI SCHELL"/>
  </r>
  <r>
    <n v="1023366"/>
    <s v="VA"/>
    <s v="A"/>
    <n v="46141"/>
    <n v="46141"/>
    <m/>
    <n v="376"/>
    <s v="PS0005"/>
    <n v="9261"/>
    <n v="617480"/>
    <m/>
    <s v="455788******5435"/>
    <s v="Nac"/>
    <s v="COM"/>
    <x v="29"/>
    <n v="159"/>
    <x v="0"/>
    <n v="4.5999999999999996"/>
    <n v="2.06"/>
    <n v="0.37"/>
    <n v="154.03"/>
    <n v="0"/>
    <m/>
    <n v="20260430"/>
    <m/>
    <s v="DEBITO"/>
    <n v="3974527"/>
    <s v="BCP"/>
    <m/>
    <m/>
    <n v="0.80356481481481479"/>
    <s v="XIAOMI SCHELL"/>
  </r>
  <r>
    <n v="1023366"/>
    <s v="VA"/>
    <s v="A"/>
    <n v="46141"/>
    <n v="46141"/>
    <m/>
    <n v="376"/>
    <s v="PS0005"/>
    <n v="9264"/>
    <n v="599311"/>
    <m/>
    <s v="472955******0803"/>
    <s v="Nac"/>
    <s v="COM"/>
    <x v="29"/>
    <n v="35"/>
    <x v="0"/>
    <n v="1.01"/>
    <n v="0.45"/>
    <n v="0.08"/>
    <n v="33.909999999999997"/>
    <n v="0"/>
    <m/>
    <n v="20260430"/>
    <m/>
    <s v="DEBITO"/>
    <n v="3974527"/>
    <s v="VISA LOC"/>
    <m/>
    <m/>
    <n v="0.80502314814814813"/>
    <s v="XIAOMI SCHELL"/>
  </r>
  <r>
    <n v="1023366"/>
    <s v="VA"/>
    <s v="A"/>
    <n v="46141"/>
    <n v="46141"/>
    <m/>
    <n v="376"/>
    <s v="PS0005"/>
    <n v="9272"/>
    <n v="42769"/>
    <m/>
    <s v="455696******5386"/>
    <s v="Nac"/>
    <s v="COM"/>
    <x v="29"/>
    <n v="2499"/>
    <x v="0"/>
    <n v="72.22"/>
    <n v="9.74"/>
    <n v="1.75"/>
    <n v="2425.0300000000002"/>
    <n v="0"/>
    <m/>
    <n v="20260430"/>
    <m/>
    <s v="CREDITO"/>
    <n v="3974527"/>
    <s v="IBK PRIVADA"/>
    <m/>
    <m/>
    <n v="0.83633101851851854"/>
    <s v="XIAOMI SCHELL"/>
  </r>
  <r>
    <n v="1023366"/>
    <s v="VA"/>
    <s v="A"/>
    <n v="46141"/>
    <n v="46141"/>
    <m/>
    <n v="376"/>
    <s v="PS0005"/>
    <n v="9274"/>
    <n v="58520"/>
    <m/>
    <s v="421355******9329"/>
    <s v="Nac"/>
    <s v="COM"/>
    <x v="29"/>
    <n v="14.9"/>
    <x v="0"/>
    <n v="0.43"/>
    <n v="0.19"/>
    <n v="0.03"/>
    <n v="14.44"/>
    <n v="0"/>
    <m/>
    <n v="20260430"/>
    <m/>
    <s v="DEBITO"/>
    <n v="3974527"/>
    <s v="IBK PRIVADA"/>
    <m/>
    <m/>
    <n v="0.84136574074074078"/>
    <s v="XIAOMI SCHELL"/>
  </r>
  <r>
    <n v="1023366"/>
    <s v="VA"/>
    <s v="A"/>
    <n v="46141"/>
    <n v="46141"/>
    <m/>
    <n v="376"/>
    <s v="PS0005"/>
    <n v="9277"/>
    <n v="388389"/>
    <m/>
    <s v="438877******3779"/>
    <s v="Nac"/>
    <s v="COM"/>
    <x v="29"/>
    <n v="229"/>
    <x v="0"/>
    <n v="6.62"/>
    <n v="2.96"/>
    <n v="0.53"/>
    <n v="221.85"/>
    <n v="0"/>
    <m/>
    <n v="20260430"/>
    <m/>
    <s v="DEBITO"/>
    <n v="3974527"/>
    <s v="VISA LOC"/>
    <m/>
    <m/>
    <n v="0.84619212962962964"/>
    <s v="XIAOMI SCHELL"/>
  </r>
  <r>
    <n v="1023366"/>
    <s v="VA"/>
    <s v="A"/>
    <n v="46141"/>
    <n v="46141"/>
    <m/>
    <n v="376"/>
    <s v="PS0005"/>
    <n v="9279"/>
    <n v="821268"/>
    <m/>
    <s v="455788******1811"/>
    <s v="Nac"/>
    <s v="COM"/>
    <x v="29"/>
    <n v="69"/>
    <x v="0"/>
    <n v="1.99"/>
    <n v="0.89"/>
    <n v="0.16"/>
    <n v="66.849999999999994"/>
    <n v="17948.07"/>
    <n v="46142"/>
    <n v="20260430"/>
    <m/>
    <s v="DEBITO"/>
    <n v="3974527"/>
    <s v="VISA LOC"/>
    <m/>
    <m/>
    <n v="0.87545138888888885"/>
    <s v="XIAOMI SCHELL"/>
  </r>
  <r>
    <n v="1023366"/>
    <s v="MC"/>
    <s v="A"/>
    <n v="46142"/>
    <n v="46142"/>
    <m/>
    <n v="377"/>
    <s v="PS0005"/>
    <n v="9313"/>
    <n v="22409"/>
    <m/>
    <s v="514871******0187"/>
    <s v="Ext"/>
    <s v="COM"/>
    <x v="30"/>
    <n v="199"/>
    <x v="0"/>
    <n v="7.76"/>
    <n v="3.78"/>
    <n v="0.68"/>
    <n v="190.56"/>
    <n v="0"/>
    <m/>
    <n v="20260504"/>
    <m/>
    <s v="CREDITO"/>
    <n v="3974527"/>
    <s v="MCI C. INTER"/>
    <m/>
    <m/>
    <n v="0.669525462962963"/>
    <s v="XIAOMI SCHELL"/>
  </r>
  <r>
    <n v="1023366"/>
    <s v="MC"/>
    <s v="A"/>
    <n v="46142"/>
    <n v="46142"/>
    <m/>
    <n v="377"/>
    <s v="PS0005"/>
    <n v="9323"/>
    <n v="597272"/>
    <m/>
    <s v="223138******8245"/>
    <s v="Ext"/>
    <s v="COM"/>
    <x v="30"/>
    <n v="1168"/>
    <x v="0"/>
    <n v="45.55"/>
    <n v="26.86"/>
    <n v="4.83"/>
    <n v="1117.6199999999999"/>
    <n v="0"/>
    <m/>
    <n v="20260504"/>
    <m/>
    <s v="DEBITO"/>
    <n v="3974527"/>
    <s v="MCI C. INTER"/>
    <m/>
    <m/>
    <n v="0.70834490740740741"/>
    <s v="XIAOMI SCHELL"/>
  </r>
  <r>
    <n v="1023366"/>
    <s v="MC"/>
    <s v="A"/>
    <n v="46142"/>
    <n v="46142"/>
    <m/>
    <n v="377"/>
    <s v="PS0005"/>
    <n v="9342"/>
    <s v="R03730"/>
    <m/>
    <s v="551323******6945"/>
    <s v="Ext"/>
    <s v="COM"/>
    <x v="30"/>
    <n v="269"/>
    <x v="0"/>
    <n v="10.49"/>
    <n v="5.16"/>
    <n v="0.93"/>
    <n v="257.58"/>
    <n v="0"/>
    <m/>
    <n v="20260504"/>
    <m/>
    <s v="CREDITO"/>
    <n v="3974527"/>
    <s v="MCI C. INTER"/>
    <m/>
    <m/>
    <n v="0.79402777777777778"/>
    <s v="XIAOMI SCHELL"/>
  </r>
  <r>
    <n v="1023366"/>
    <s v="MC"/>
    <s v="A"/>
    <n v="46142"/>
    <n v="46142"/>
    <m/>
    <n v="377"/>
    <s v="PS0005"/>
    <n v="9350"/>
    <n v="10316"/>
    <m/>
    <s v="512409******7676"/>
    <s v="Nac"/>
    <s v="COM"/>
    <x v="30"/>
    <n v="55"/>
    <x v="0"/>
    <n v="1.59"/>
    <n v="0.43"/>
    <n v="0.08"/>
    <n v="53.33"/>
    <n v="1619.09"/>
    <n v="46146"/>
    <n v="20260504"/>
    <m/>
    <s v="CREDITO"/>
    <n v="3974527"/>
    <s v="BBVA"/>
    <m/>
    <m/>
    <n v="0.81288194444444439"/>
    <s v="XIAOMI SCHELL"/>
  </r>
  <r>
    <n v="1023366"/>
    <s v="VA"/>
    <s v="A"/>
    <n v="46142"/>
    <n v="46142"/>
    <m/>
    <n v="673"/>
    <s v="PS0003"/>
    <n v="9242"/>
    <n v="935043"/>
    <m/>
    <s v="414791******2610"/>
    <s v="Nac"/>
    <s v="COM"/>
    <x v="30"/>
    <n v="89"/>
    <x v="0"/>
    <n v="2.57"/>
    <n v="0.52"/>
    <n v="0.09"/>
    <n v="86.34"/>
    <n v="0"/>
    <m/>
    <n v="20260504"/>
    <m/>
    <s v="CREDITO"/>
    <s v="FD8B1962"/>
    <s v="BBVA"/>
    <m/>
    <m/>
    <n v="0.47694444444444445"/>
    <s v="XIAOMI SCHELL"/>
  </r>
  <r>
    <n v="1023366"/>
    <s v="VA"/>
    <s v="A"/>
    <n v="46142"/>
    <n v="46142"/>
    <m/>
    <n v="377"/>
    <s v="PS0005"/>
    <n v="9294"/>
    <n v="753206"/>
    <m/>
    <s v="455103******5078"/>
    <s v="Nac"/>
    <s v="COM"/>
    <x v="30"/>
    <n v="349"/>
    <x v="0"/>
    <n v="10.09"/>
    <n v="4.51"/>
    <n v="0.81"/>
    <n v="338.1"/>
    <n v="0"/>
    <m/>
    <n v="20260504"/>
    <m/>
    <s v="DEBITO"/>
    <n v="3974527"/>
    <s v="BBVA"/>
    <m/>
    <m/>
    <n v="0.44089120370370372"/>
    <s v="XIAOMI SCHELL"/>
  </r>
  <r>
    <n v="1023366"/>
    <s v="VA"/>
    <s v="A"/>
    <n v="46142"/>
    <n v="46142"/>
    <m/>
    <n v="377"/>
    <s v="PS0005"/>
    <n v="9296"/>
    <n v="511367"/>
    <m/>
    <s v="455696******2205"/>
    <s v="Nac"/>
    <s v="COM"/>
    <x v="30"/>
    <n v="69"/>
    <x v="0"/>
    <n v="1.99"/>
    <n v="0.26"/>
    <n v="0.05"/>
    <n v="66.959999999999994"/>
    <n v="0"/>
    <m/>
    <n v="20260504"/>
    <m/>
    <s v="CREDITO"/>
    <n v="3974527"/>
    <s v="IBK PRIVADA"/>
    <m/>
    <m/>
    <n v="0.4521412037037037"/>
    <s v="XIAOMI SCHELL"/>
  </r>
  <r>
    <n v="1023366"/>
    <s v="VA"/>
    <s v="A"/>
    <n v="46142"/>
    <n v="46142"/>
    <m/>
    <n v="377"/>
    <s v="PS0005"/>
    <n v="9299"/>
    <n v="819746"/>
    <m/>
    <s v="438466******0473"/>
    <s v="Nac"/>
    <s v="COM"/>
    <x v="30"/>
    <n v="219"/>
    <x v="0"/>
    <n v="6.33"/>
    <n v="2.83"/>
    <n v="0.51"/>
    <n v="212.16"/>
    <n v="0"/>
    <m/>
    <n v="20260504"/>
    <m/>
    <s v="DEBITO"/>
    <n v="3974527"/>
    <s v="VISA LOC"/>
    <m/>
    <m/>
    <n v="0.45425925925925925"/>
    <s v="XIAOMI SCHELL"/>
  </r>
  <r>
    <n v="1023366"/>
    <s v="VA"/>
    <s v="A"/>
    <n v="46142"/>
    <n v="46142"/>
    <m/>
    <n v="377"/>
    <n v="65656565"/>
    <n v="9303"/>
    <n v="524040"/>
    <m/>
    <s v="455788******7952"/>
    <s v="Nac"/>
    <s v="COM"/>
    <x v="30"/>
    <n v="30"/>
    <x v="0"/>
    <n v="0.86"/>
    <n v="0.38"/>
    <n v="7.0000000000000007E-2"/>
    <n v="29.07"/>
    <n v="0"/>
    <m/>
    <n v="20260504"/>
    <m/>
    <s v="DEBITO"/>
    <n v="3974527"/>
    <s v="BCP"/>
    <m/>
    <s v="Yape"/>
    <n v="0.49475694444444446"/>
    <s v="XIAOMI SCHELL"/>
  </r>
  <r>
    <n v="1023366"/>
    <s v="VA"/>
    <s v="A"/>
    <n v="46142"/>
    <n v="46142"/>
    <m/>
    <n v="377"/>
    <s v="PS0005"/>
    <n v="9306"/>
    <n v="3993"/>
    <m/>
    <s v="445330******5739"/>
    <s v="Nac"/>
    <s v="COM"/>
    <x v="30"/>
    <n v="268"/>
    <x v="0"/>
    <n v="7.75"/>
    <n v="1.59"/>
    <n v="0.28999999999999998"/>
    <n v="259.95999999999998"/>
    <n v="0"/>
    <m/>
    <n v="20260504"/>
    <m/>
    <s v="CREDITO"/>
    <n v="3974527"/>
    <s v="BCP"/>
    <m/>
    <m/>
    <n v="0.53537037037037039"/>
    <s v="XIAOMI SCHELL"/>
  </r>
  <r>
    <n v="1023366"/>
    <s v="VA"/>
    <s v="A"/>
    <n v="46142"/>
    <n v="46142"/>
    <m/>
    <n v="377"/>
    <s v="PS0005"/>
    <n v="9308"/>
    <n v="126229"/>
    <m/>
    <s v="454776******7944"/>
    <s v="Nac"/>
    <s v="COM"/>
    <x v="30"/>
    <n v="3148"/>
    <x v="0"/>
    <n v="90.98"/>
    <n v="24.87"/>
    <n v="4.4800000000000004"/>
    <n v="3052.54"/>
    <n v="0"/>
    <m/>
    <n v="20260504"/>
    <m/>
    <s v="DEBITO"/>
    <n v="3974527"/>
    <s v="IBK PRIVADA"/>
    <m/>
    <m/>
    <n v="0.60797453703703708"/>
    <s v="XIAOMI SCHELL"/>
  </r>
  <r>
    <n v="1023366"/>
    <s v="VA"/>
    <s v="A"/>
    <n v="46142"/>
    <n v="46142"/>
    <m/>
    <n v="377"/>
    <s v="PS0005"/>
    <n v="9310"/>
    <n v="263411"/>
    <m/>
    <s v="447410******4288"/>
    <s v="Nac"/>
    <s v="COM"/>
    <x v="30"/>
    <n v="39"/>
    <x v="0"/>
    <n v="1.1299999999999999"/>
    <n v="0.23"/>
    <n v="0.04"/>
    <n v="37.83"/>
    <n v="0"/>
    <m/>
    <n v="20260504"/>
    <m/>
    <s v="CREDITO"/>
    <n v="3974527"/>
    <s v="BFALABELLA"/>
    <m/>
    <m/>
    <n v="0.61591435185185184"/>
    <s v="XIAOMI SCHELL"/>
  </r>
  <r>
    <n v="1023366"/>
    <s v="VA"/>
    <s v="A"/>
    <n v="46142"/>
    <n v="46142"/>
    <m/>
    <n v="377"/>
    <s v="PS0005"/>
    <n v="9315"/>
    <n v="923526"/>
    <m/>
    <s v="421355******1610"/>
    <s v="Nac"/>
    <s v="COM"/>
    <x v="30"/>
    <n v="59"/>
    <x v="0"/>
    <n v="1.71"/>
    <n v="0.77"/>
    <n v="0.14000000000000001"/>
    <n v="57.15"/>
    <n v="0"/>
    <m/>
    <n v="20260504"/>
    <m/>
    <s v="DEBITO"/>
    <n v="3974527"/>
    <s v="IBK PRIVADA"/>
    <m/>
    <m/>
    <n v="0.68609953703703708"/>
    <s v="XIAOMI SCHELL"/>
  </r>
  <r>
    <n v="1023366"/>
    <s v="VA"/>
    <s v="A"/>
    <n v="46142"/>
    <n v="46142"/>
    <m/>
    <n v="377"/>
    <s v="PS0005"/>
    <n v="9317"/>
    <n v="86469"/>
    <m/>
    <s v="428581******6925"/>
    <s v="Nac"/>
    <s v="COM"/>
    <x v="30"/>
    <n v="169"/>
    <x v="0"/>
    <n v="4.88"/>
    <n v="2.1800000000000002"/>
    <n v="0.39"/>
    <n v="163.72999999999999"/>
    <n v="0"/>
    <m/>
    <n v="20260504"/>
    <m/>
    <s v="DEBITO"/>
    <n v="3974527"/>
    <s v="SCOTIABANK"/>
    <m/>
    <m/>
    <n v="0.68760416666666668"/>
    <s v="XIAOMI SCHELL"/>
  </r>
  <r>
    <n v="1023366"/>
    <s v="VA"/>
    <s v="A"/>
    <n v="46142"/>
    <n v="46142"/>
    <m/>
    <n v="377"/>
    <s v="PS0005"/>
    <n v="9320"/>
    <n v="239112"/>
    <m/>
    <s v="455861******1661"/>
    <s v="Ext"/>
    <s v="COM"/>
    <x v="30"/>
    <n v="269"/>
    <x v="0"/>
    <n v="10.49"/>
    <n v="5.52"/>
    <n v="0.99"/>
    <n v="257.52"/>
    <n v="0"/>
    <m/>
    <n v="20260504"/>
    <m/>
    <s v="CREDITO"/>
    <n v="3974527"/>
    <s v="VISA INT"/>
    <m/>
    <m/>
    <n v="0.6955324074074074"/>
    <s v="XIAOMI SCHELL"/>
  </r>
  <r>
    <n v="1023366"/>
    <s v="VA"/>
    <s v="A"/>
    <n v="46142"/>
    <n v="46142"/>
    <m/>
    <n v="377"/>
    <s v="PS0005"/>
    <n v="9327"/>
    <n v="255201"/>
    <m/>
    <s v="421355******0645"/>
    <s v="Nac"/>
    <s v="COM"/>
    <x v="30"/>
    <n v="49"/>
    <x v="0"/>
    <n v="1.42"/>
    <n v="0.64"/>
    <n v="0.12"/>
    <n v="47.46"/>
    <n v="0"/>
    <m/>
    <n v="20260504"/>
    <m/>
    <s v="DEBITO"/>
    <n v="3974527"/>
    <s v="IBK PRIVADA"/>
    <m/>
    <m/>
    <n v="0.72711805555555553"/>
    <s v="XIAOMI SCHELL"/>
  </r>
  <r>
    <n v="1023366"/>
    <s v="VA"/>
    <s v="A"/>
    <n v="46142"/>
    <n v="46142"/>
    <m/>
    <n v="377"/>
    <s v="PS0005"/>
    <n v="9329"/>
    <n v="161764"/>
    <m/>
    <s v="455788******6189"/>
    <s v="Nac"/>
    <s v="COM"/>
    <x v="30"/>
    <n v="55"/>
    <x v="0"/>
    <n v="1.59"/>
    <n v="0.71"/>
    <n v="0.13"/>
    <n v="53.28"/>
    <n v="0"/>
    <m/>
    <n v="20260504"/>
    <m/>
    <s v="DEBITO"/>
    <n v="3974527"/>
    <s v="BCP"/>
    <m/>
    <m/>
    <n v="0.73430555555555554"/>
    <s v="XIAOMI SCHELL"/>
  </r>
  <r>
    <n v="1023366"/>
    <s v="VA"/>
    <s v="A"/>
    <n v="46142"/>
    <n v="46142"/>
    <m/>
    <n v="377"/>
    <s v="PS0005"/>
    <n v="9331"/>
    <n v="833785"/>
    <m/>
    <s v="455788******2161"/>
    <s v="Nac"/>
    <s v="COM"/>
    <x v="30"/>
    <n v="109"/>
    <x v="0"/>
    <n v="3.15"/>
    <n v="1.41"/>
    <n v="0.25"/>
    <n v="105.6"/>
    <n v="0"/>
    <m/>
    <n v="20260504"/>
    <m/>
    <s v="DEBITO"/>
    <n v="3974527"/>
    <s v="BCP"/>
    <m/>
    <m/>
    <n v="0.75929398148148153"/>
    <s v="XIAOMI SCHELL"/>
  </r>
  <r>
    <n v="1023366"/>
    <s v="VA"/>
    <s v="A"/>
    <n v="46142"/>
    <n v="46142"/>
    <m/>
    <n v="377"/>
    <s v="PS0005"/>
    <n v="9333"/>
    <n v="644105"/>
    <m/>
    <s v="444355******9280"/>
    <s v="Nac"/>
    <s v="COM"/>
    <x v="30"/>
    <n v="89"/>
    <x v="0"/>
    <n v="2.57"/>
    <n v="1.1499999999999999"/>
    <n v="0.21"/>
    <n v="86.22"/>
    <n v="0"/>
    <m/>
    <n v="20260504"/>
    <m/>
    <s v="DEBITO"/>
    <n v="3974527"/>
    <s v="BBVA"/>
    <m/>
    <m/>
    <n v="0.76410879629629624"/>
    <s v="XIAOMI SCHELL"/>
  </r>
  <r>
    <n v="1023366"/>
    <s v="VA"/>
    <s v="A"/>
    <n v="46142"/>
    <n v="46142"/>
    <m/>
    <n v="377"/>
    <s v="PS0005"/>
    <n v="9335"/>
    <n v="732250"/>
    <m/>
    <s v="414791******4589"/>
    <s v="Nac"/>
    <s v="COM"/>
    <x v="30"/>
    <n v="143"/>
    <x v="0"/>
    <n v="4.13"/>
    <n v="0.84"/>
    <n v="0.15"/>
    <n v="138.72"/>
    <n v="0"/>
    <m/>
    <n v="20260504"/>
    <m/>
    <s v="CREDITO"/>
    <n v="3974527"/>
    <s v="BBVA"/>
    <m/>
    <m/>
    <n v="0.77589120370370368"/>
    <s v="XIAOMI SCHELL"/>
  </r>
  <r>
    <n v="1023366"/>
    <s v="VA"/>
    <s v="A"/>
    <n v="46142"/>
    <n v="46142"/>
    <m/>
    <n v="377"/>
    <s v="PS0005"/>
    <n v="9337"/>
    <n v="330413"/>
    <m/>
    <s v="455788******6092"/>
    <s v="Nac"/>
    <s v="COM"/>
    <x v="30"/>
    <n v="1008"/>
    <x v="0"/>
    <n v="29.13"/>
    <n v="13"/>
    <n v="2.34"/>
    <n v="976.53"/>
    <n v="0"/>
    <m/>
    <n v="20260504"/>
    <m/>
    <s v="DEBITO"/>
    <n v="3974527"/>
    <s v="BCP"/>
    <m/>
    <m/>
    <n v="0.78921296296296295"/>
    <s v="XIAOMI SCHELL"/>
  </r>
  <r>
    <n v="1023366"/>
    <s v="VA"/>
    <s v="A"/>
    <n v="46142"/>
    <n v="46142"/>
    <m/>
    <n v="377"/>
    <s v="PS0005"/>
    <n v="9344"/>
    <n v="362180"/>
    <m/>
    <s v="491257******4629"/>
    <s v="Nac"/>
    <s v="COM"/>
    <x v="30"/>
    <n v="34.9"/>
    <x v="0"/>
    <n v="1.01"/>
    <n v="0.45"/>
    <n v="0.08"/>
    <n v="33.81"/>
    <n v="0"/>
    <m/>
    <n v="20260504"/>
    <m/>
    <s v="DEBITO"/>
    <n v="3974527"/>
    <s v="BCP"/>
    <m/>
    <m/>
    <n v="0.79857638888888893"/>
    <s v="XIAOMI SCHELL"/>
  </r>
  <r>
    <n v="1023366"/>
    <s v="VA"/>
    <s v="A"/>
    <n v="46142"/>
    <n v="46142"/>
    <m/>
    <n v="377"/>
    <s v="PS0005"/>
    <n v="9346"/>
    <n v="357739"/>
    <m/>
    <s v="447410******7529"/>
    <s v="Nac"/>
    <s v="COM"/>
    <x v="30"/>
    <n v="69"/>
    <x v="0"/>
    <n v="1.99"/>
    <n v="0.4"/>
    <n v="7.0000000000000007E-2"/>
    <n v="66.94"/>
    <n v="0"/>
    <m/>
    <n v="20260504"/>
    <m/>
    <s v="CREDITO"/>
    <n v="3974527"/>
    <s v="BFALABELLA"/>
    <m/>
    <m/>
    <n v="0.80142361111111116"/>
    <s v="XIAOMI SCHELL"/>
  </r>
  <r>
    <n v="1023366"/>
    <s v="VA"/>
    <s v="A"/>
    <n v="46142"/>
    <n v="46142"/>
    <m/>
    <n v="377"/>
    <s v="PS0005"/>
    <n v="9356"/>
    <n v="416737"/>
    <m/>
    <s v="455788******7340"/>
    <s v="Nac"/>
    <s v="COM"/>
    <x v="30"/>
    <n v="209"/>
    <x v="0"/>
    <n v="6.04"/>
    <n v="2.7"/>
    <n v="0.49"/>
    <n v="202.47"/>
    <n v="0"/>
    <m/>
    <n v="20260504"/>
    <m/>
    <s v="DEBITO"/>
    <n v="3974527"/>
    <s v="BCP"/>
    <m/>
    <m/>
    <n v="0.81966435185185182"/>
    <s v="XIAOMI SCHELL"/>
  </r>
  <r>
    <n v="1023366"/>
    <s v="VA"/>
    <s v="A"/>
    <n v="46142"/>
    <n v="46142"/>
    <m/>
    <n v="377"/>
    <n v="65656565"/>
    <n v="9358"/>
    <n v="445260"/>
    <m/>
    <s v="455788******5446"/>
    <s v="Nac"/>
    <s v="COM"/>
    <x v="30"/>
    <n v="35"/>
    <x v="0"/>
    <n v="1.01"/>
    <n v="0.45"/>
    <n v="0.08"/>
    <n v="33.909999999999997"/>
    <n v="0"/>
    <m/>
    <n v="20260504"/>
    <m/>
    <s v="DEBITO"/>
    <n v="3974527"/>
    <s v="BCP"/>
    <m/>
    <s v="Yape"/>
    <n v="0.82342592592592589"/>
    <s v="XIAOMI SCHELL"/>
  </r>
  <r>
    <n v="1023366"/>
    <s v="VA"/>
    <s v="A"/>
    <n v="46142"/>
    <n v="46142"/>
    <m/>
    <n v="377"/>
    <s v="PS0005"/>
    <n v="9361"/>
    <n v="195327"/>
    <n v="3"/>
    <s v="491909******4503"/>
    <s v="Nac"/>
    <s v="COM"/>
    <x v="30"/>
    <n v="199"/>
    <x v="0"/>
    <n v="9.23"/>
    <n v="1.57"/>
    <n v="0.28000000000000003"/>
    <n v="189.49"/>
    <n v="0"/>
    <m/>
    <n v="20260504"/>
    <m/>
    <s v="CREDITO"/>
    <n v="3974527"/>
    <s v="BBVA"/>
    <s v="SI"/>
    <m/>
    <n v="0.83835648148148145"/>
    <s v="XIAOMI SCHELL"/>
  </r>
  <r>
    <n v="1023366"/>
    <s v="VA"/>
    <s v="A"/>
    <n v="46142"/>
    <n v="46142"/>
    <m/>
    <n v="377"/>
    <s v="PS0005"/>
    <n v="9363"/>
    <n v="132459"/>
    <m/>
    <s v="477290******3249"/>
    <s v="Nac"/>
    <s v="COM"/>
    <x v="30"/>
    <n v="89"/>
    <x v="0"/>
    <n v="2.57"/>
    <n v="0.7"/>
    <n v="0.13"/>
    <n v="86.3"/>
    <n v="6582.09"/>
    <n v="46146"/>
    <n v="20260504"/>
    <m/>
    <s v="CREDITO"/>
    <n v="3974527"/>
    <s v="IBK PRIVADA"/>
    <m/>
    <m/>
    <n v="0.84253472222222225"/>
    <s v="XIAOMI SCHEL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1023366"/>
    <m/>
    <s v="A"/>
    <d v="2026-03-30T00:00:00"/>
    <d v="2026-03-30T00:00:00"/>
    <m/>
    <n v="346"/>
    <s v="PS0005"/>
    <n v="6177"/>
    <n v="340273"/>
    <m/>
    <s v="377752*****8733"/>
    <m/>
    <s v="COMPRA"/>
    <x v="0"/>
    <n v="59"/>
    <n v="2.35"/>
    <n v="0.47"/>
    <n v="0.08"/>
    <n v="56.57"/>
    <n v="0"/>
    <n v="20260401"/>
    <m/>
  </r>
  <r>
    <n v="1023366"/>
    <m/>
    <s v="A"/>
    <d v="2026-03-30T00:00:00"/>
    <d v="2026-03-30T00:00:00"/>
    <m/>
    <n v="346"/>
    <s v="PS0005"/>
    <n v="6241"/>
    <n v="505968"/>
    <m/>
    <s v="377754*****5358"/>
    <m/>
    <s v="COMPRA"/>
    <x v="0"/>
    <n v="149"/>
    <n v="5.95"/>
    <n v="1.19"/>
    <n v="0.21"/>
    <n v="142.84"/>
    <n v="0"/>
    <n v="20260401"/>
    <m/>
  </r>
  <r>
    <n v="1023366"/>
    <m/>
    <s v="C"/>
    <d v="2026-03-30T00:00:00"/>
    <d v="2026-03-30T00:00:00"/>
    <n v="9996"/>
    <m/>
    <m/>
    <m/>
    <m/>
    <m/>
    <m/>
    <m/>
    <s v="S.E.A."/>
    <x v="0"/>
    <n v="0"/>
    <n v="-5"/>
    <n v="-5"/>
    <n v="-0.9"/>
    <n v="-5.9"/>
    <n v="0"/>
    <n v="20260401"/>
    <s v="Descuento Pendiente"/>
  </r>
  <r>
    <n v="1023366"/>
    <m/>
    <s v="A"/>
    <d v="2026-03-30T00:00:00"/>
    <m/>
    <m/>
    <m/>
    <m/>
    <m/>
    <m/>
    <m/>
    <m/>
    <m/>
    <m/>
    <x v="1"/>
    <n v="0"/>
    <n v="0"/>
    <n v="0"/>
    <n v="0"/>
    <n v="-5.9"/>
    <n v="193.51"/>
    <n v="20260401"/>
    <s v="Descuentos Aplicados"/>
  </r>
  <r>
    <n v="1023366"/>
    <m/>
    <s v="A"/>
    <d v="2026-03-31T00:00:00"/>
    <d v="2026-03-31T00:00:00"/>
    <m/>
    <n v="347"/>
    <s v="PS0005"/>
    <n v="6326"/>
    <n v="115978"/>
    <m/>
    <s v="377754*****6766"/>
    <m/>
    <s v="COMPRA"/>
    <x v="2"/>
    <n v="115.48"/>
    <n v="4.6100000000000003"/>
    <n v="0.92"/>
    <n v="0.17"/>
    <n v="110.7"/>
    <n v="110.7"/>
    <n v="20260402"/>
    <m/>
  </r>
  <r>
    <n v="1023366"/>
    <m/>
    <s v="A"/>
    <d v="2026-04-01T00:00:00"/>
    <d v="2026-04-01T00:00:00"/>
    <m/>
    <n v="348"/>
    <s v="PS0005"/>
    <n v="6391"/>
    <n v="472355"/>
    <m/>
    <s v="377897*****7570"/>
    <m/>
    <s v="COMPRA"/>
    <x v="3"/>
    <n v="298"/>
    <n v="11.89"/>
    <n v="2.38"/>
    <n v="0.43"/>
    <n v="285.68"/>
    <n v="0"/>
    <n v="20260407"/>
    <m/>
  </r>
  <r>
    <n v="1023366"/>
    <m/>
    <s v="A"/>
    <d v="2026-04-01T00:00:00"/>
    <d v="2026-04-01T00:00:00"/>
    <m/>
    <n v="348"/>
    <s v="PS0005"/>
    <n v="6405"/>
    <n v="362363"/>
    <m/>
    <s v="377934*****9121"/>
    <m/>
    <s v="COMPRA"/>
    <x v="3"/>
    <n v="536"/>
    <n v="21.39"/>
    <n v="4.28"/>
    <n v="0.77"/>
    <n v="513.84"/>
    <n v="0"/>
    <n v="20260407"/>
    <m/>
  </r>
  <r>
    <n v="1023366"/>
    <m/>
    <s v="A"/>
    <d v="2026-04-01T00:00:00"/>
    <d v="2026-04-01T00:00:00"/>
    <m/>
    <n v="348"/>
    <s v="PS0005"/>
    <n v="6409"/>
    <n v="474474"/>
    <m/>
    <s v="377754*****9574"/>
    <m/>
    <s v="COMPRA"/>
    <x v="3"/>
    <n v="159"/>
    <n v="6.34"/>
    <n v="1.27"/>
    <n v="0.23"/>
    <n v="152.43"/>
    <n v="0"/>
    <n v="20260407"/>
    <m/>
  </r>
  <r>
    <n v="1023366"/>
    <m/>
    <s v="A"/>
    <d v="2026-04-01T00:00:00"/>
    <d v="2026-04-01T00:00:00"/>
    <m/>
    <n v="348"/>
    <s v="PS0005"/>
    <n v="6457"/>
    <n v="892497"/>
    <m/>
    <s v="377898*****4669"/>
    <m/>
    <s v="COMPRA"/>
    <x v="3"/>
    <n v="1978"/>
    <n v="78.92"/>
    <n v="15.78"/>
    <n v="2.84"/>
    <n v="1896.24"/>
    <n v="2848.19"/>
    <n v="20260407"/>
    <m/>
  </r>
  <r>
    <n v="1023366"/>
    <m/>
    <s v="A"/>
    <d v="2026-04-03T00:00:00"/>
    <d v="2026-04-03T00:00:00"/>
    <m/>
    <n v="350"/>
    <s v="PS0005"/>
    <n v="6695"/>
    <n v="181364"/>
    <m/>
    <s v="377752*****3042"/>
    <m/>
    <s v="COMPRA"/>
    <x v="4"/>
    <n v="139"/>
    <n v="5.55"/>
    <n v="1.1100000000000001"/>
    <n v="0.2"/>
    <n v="133.25"/>
    <n v="0"/>
    <n v="20260407"/>
    <m/>
  </r>
  <r>
    <n v="1023366"/>
    <m/>
    <s v="A"/>
    <d v="2026-04-03T00:00:00"/>
    <d v="2026-04-03T00:00:00"/>
    <m/>
    <n v="350"/>
    <s v="PS0005"/>
    <n v="6729"/>
    <n v="523862"/>
    <m/>
    <s v="377934*****1628"/>
    <m/>
    <s v="COMPRA"/>
    <x v="4"/>
    <n v="224.1"/>
    <n v="8.94"/>
    <n v="1.79"/>
    <n v="0.32"/>
    <n v="214.84"/>
    <n v="0"/>
    <n v="20260407"/>
    <m/>
  </r>
  <r>
    <n v="1023366"/>
    <m/>
    <s v="A"/>
    <d v="2026-04-03T00:00:00"/>
    <d v="2026-04-03T00:00:00"/>
    <m/>
    <n v="350"/>
    <s v="PS0005"/>
    <n v="6735"/>
    <n v="470758"/>
    <m/>
    <s v="377752*****7034"/>
    <m/>
    <s v="COMPRA"/>
    <x v="4"/>
    <n v="269"/>
    <n v="10.73"/>
    <n v="2.15"/>
    <n v="0.39"/>
    <n v="257.88"/>
    <n v="605.97"/>
    <n v="20260407"/>
    <m/>
  </r>
  <r>
    <n v="1023366"/>
    <m/>
    <s v="A"/>
    <d v="2026-04-04T00:00:00"/>
    <d v="2026-04-04T00:00:00"/>
    <m/>
    <n v="351"/>
    <s v="PS0005"/>
    <n v="6779"/>
    <n v="564657"/>
    <m/>
    <s v="377934*****8500"/>
    <m/>
    <s v="COMPRA"/>
    <x v="5"/>
    <n v="79"/>
    <n v="3.15"/>
    <n v="0.63"/>
    <n v="0.11"/>
    <n v="75.739999999999995"/>
    <n v="0"/>
    <n v="20260407"/>
    <m/>
  </r>
  <r>
    <n v="1023366"/>
    <m/>
    <s v="A"/>
    <d v="2026-04-04T00:00:00"/>
    <d v="2026-04-04T00:00:00"/>
    <m/>
    <n v="351"/>
    <s v="PS0005"/>
    <n v="6803"/>
    <n v="593726"/>
    <m/>
    <s v="377892*****4091"/>
    <m/>
    <s v="COMPRA"/>
    <x v="5"/>
    <n v="159"/>
    <n v="6.34"/>
    <n v="1.27"/>
    <n v="0.23"/>
    <n v="152.43"/>
    <n v="0"/>
    <n v="20260407"/>
    <m/>
  </r>
  <r>
    <n v="1023366"/>
    <m/>
    <s v="A"/>
    <d v="2026-04-04T00:00:00"/>
    <d v="2026-04-04T00:00:00"/>
    <m/>
    <n v="351"/>
    <s v="PS0005"/>
    <n v="6818"/>
    <n v="524864"/>
    <m/>
    <s v="377934*****7945"/>
    <m/>
    <s v="COMPRA"/>
    <x v="5"/>
    <n v="1299"/>
    <n v="51.83"/>
    <n v="10.37"/>
    <n v="1.87"/>
    <n v="1245.3"/>
    <n v="1473.47"/>
    <n v="20260407"/>
    <m/>
  </r>
  <r>
    <n v="1023366"/>
    <m/>
    <s v="A"/>
    <d v="2026-04-05T00:00:00"/>
    <d v="2026-04-05T00:00:00"/>
    <m/>
    <n v="352"/>
    <s v="PS0005"/>
    <n v="6967"/>
    <n v="361778"/>
    <m/>
    <s v="377934*****5142"/>
    <m/>
    <s v="COMPRA"/>
    <x v="6"/>
    <n v="149"/>
    <n v="5.95"/>
    <n v="1.19"/>
    <n v="0.21"/>
    <n v="142.84"/>
    <n v="142.84"/>
    <n v="20260407"/>
    <m/>
  </r>
  <r>
    <n v="1023366"/>
    <m/>
    <s v="A"/>
    <d v="2026-04-06T00:00:00"/>
    <d v="2026-04-06T00:00:00"/>
    <m/>
    <n v="353"/>
    <s v="PS0005"/>
    <n v="7046"/>
    <n v="541161"/>
    <m/>
    <s v="377934*****2685"/>
    <m/>
    <s v="COMPRA"/>
    <x v="7"/>
    <n v="1547"/>
    <n v="61.73"/>
    <n v="12.35"/>
    <n v="2.2200000000000002"/>
    <n v="1483.05"/>
    <n v="0"/>
    <n v="20260408"/>
    <m/>
  </r>
  <r>
    <n v="1023366"/>
    <m/>
    <s v="A"/>
    <d v="2026-04-06T00:00:00"/>
    <d v="2026-04-06T00:00:00"/>
    <m/>
    <n v="353"/>
    <s v="PS0005"/>
    <n v="7048"/>
    <n v="560361"/>
    <m/>
    <s v="377934*****2685"/>
    <m/>
    <s v="COMPRA"/>
    <x v="7"/>
    <n v="249"/>
    <n v="9.94"/>
    <n v="1.99"/>
    <n v="0.36"/>
    <n v="238.7"/>
    <n v="0"/>
    <n v="20260408"/>
    <m/>
  </r>
  <r>
    <n v="1023366"/>
    <m/>
    <s v="A"/>
    <d v="2026-04-06T00:00:00"/>
    <d v="2026-04-06T00:00:00"/>
    <m/>
    <n v="353"/>
    <s v="PS0005"/>
    <n v="7053"/>
    <n v="270761"/>
    <n v="2"/>
    <s v="377754*****8110"/>
    <m/>
    <s v="COMPRA"/>
    <x v="7"/>
    <n v="55"/>
    <n v="2.19"/>
    <n v="0.44"/>
    <n v="0.08"/>
    <n v="52.73"/>
    <n v="0"/>
    <n v="20260408"/>
    <m/>
  </r>
  <r>
    <n v="1023366"/>
    <m/>
    <s v="A"/>
    <d v="2026-04-06T00:00:00"/>
    <d v="2026-04-06T00:00:00"/>
    <m/>
    <n v="353"/>
    <s v="PS0005"/>
    <n v="7077"/>
    <n v="544665"/>
    <m/>
    <s v="377934*****3743"/>
    <m/>
    <s v="COMPRA"/>
    <x v="7"/>
    <n v="586"/>
    <n v="23.38"/>
    <n v="4.68"/>
    <n v="0.84"/>
    <n v="561.78"/>
    <n v="2336.2600000000002"/>
    <n v="20260408"/>
    <m/>
  </r>
  <r>
    <n v="1023366"/>
    <m/>
    <s v="A"/>
    <d v="2026-04-07T00:00:00"/>
    <d v="2026-04-07T00:00:00"/>
    <m/>
    <n v="354"/>
    <s v="PS0005"/>
    <n v="7121"/>
    <n v="82568"/>
    <m/>
    <s v="377752*****9701"/>
    <m/>
    <s v="COMPRA"/>
    <x v="8"/>
    <n v="549"/>
    <n v="21.91"/>
    <n v="4.38"/>
    <n v="0.79"/>
    <n v="526.29999999999995"/>
    <n v="526.29999999999995"/>
    <n v="20260409"/>
    <m/>
  </r>
  <r>
    <n v="1023366"/>
    <m/>
    <s v="A"/>
    <d v="2026-04-08T00:00:00"/>
    <d v="2026-04-08T00:00:00"/>
    <m/>
    <n v="355"/>
    <s v="PS0005"/>
    <n v="7251"/>
    <n v="421180"/>
    <m/>
    <s v="377934*****9425"/>
    <m/>
    <s v="COMPRA"/>
    <x v="9"/>
    <n v="269"/>
    <n v="10.73"/>
    <n v="2.15"/>
    <n v="0.39"/>
    <n v="257.88"/>
    <n v="257.88"/>
    <n v="20260410"/>
    <m/>
  </r>
  <r>
    <n v="1023366"/>
    <m/>
    <s v="A"/>
    <d v="2026-04-09T00:00:00"/>
    <d v="2026-04-09T00:00:00"/>
    <m/>
    <n v="356"/>
    <s v="PS0005"/>
    <n v="7320"/>
    <n v="431859"/>
    <m/>
    <s v="377752*****3405"/>
    <m/>
    <s v="COMPRA"/>
    <x v="10"/>
    <n v="69"/>
    <n v="2.75"/>
    <n v="0.55000000000000004"/>
    <n v="0.1"/>
    <n v="66.150000000000006"/>
    <n v="66.150000000000006"/>
    <n v="20260411"/>
    <m/>
  </r>
  <r>
    <n v="1023366"/>
    <m/>
    <s v="A"/>
    <d v="2026-04-10T00:00:00"/>
    <d v="2026-04-10T00:00:00"/>
    <m/>
    <n v="357"/>
    <s v="PS0005"/>
    <n v="7434"/>
    <n v="441774"/>
    <m/>
    <s v="377934*****3942"/>
    <m/>
    <s v="COMPRA"/>
    <x v="11"/>
    <n v="69"/>
    <n v="2.75"/>
    <n v="0.55000000000000004"/>
    <n v="0.1"/>
    <n v="66.150000000000006"/>
    <n v="0"/>
    <n v="20260414"/>
    <m/>
  </r>
  <r>
    <n v="1023366"/>
    <m/>
    <s v="A"/>
    <d v="2026-04-10T00:00:00"/>
    <d v="2026-04-10T00:00:00"/>
    <m/>
    <n v="357"/>
    <s v="PS0005"/>
    <n v="7439"/>
    <n v="819740"/>
    <m/>
    <s v="377934*****3942"/>
    <m/>
    <s v="COMPRA"/>
    <x v="11"/>
    <n v="1699"/>
    <n v="67.790000000000006"/>
    <n v="13.56"/>
    <n v="2.44"/>
    <n v="1628.77"/>
    <n v="1694.92"/>
    <n v="20260414"/>
    <m/>
  </r>
  <r>
    <n v="1023366"/>
    <m/>
    <s v="A"/>
    <d v="2026-04-12T00:00:00"/>
    <d v="2026-04-12T00:00:00"/>
    <m/>
    <n v="359"/>
    <s v="PS0005"/>
    <n v="7631"/>
    <n v="976921"/>
    <m/>
    <s v="377890*****1783"/>
    <m/>
    <s v="COMPRA"/>
    <x v="12"/>
    <n v="105"/>
    <n v="4.1900000000000004"/>
    <n v="0.84"/>
    <n v="0.15"/>
    <n v="100.66"/>
    <n v="100.66"/>
    <n v="20260414"/>
    <m/>
  </r>
  <r>
    <n v="1023366"/>
    <m/>
    <s v="A"/>
    <d v="2026-04-13T00:00:00"/>
    <d v="2026-04-13T00:00:00"/>
    <m/>
    <n v="360"/>
    <s v="PS0005"/>
    <n v="7736"/>
    <n v="427368"/>
    <m/>
    <s v="377898*****4530"/>
    <m/>
    <s v="COMPRA"/>
    <x v="13"/>
    <n v="159"/>
    <n v="6.34"/>
    <n v="1.27"/>
    <n v="0.23"/>
    <n v="152.43"/>
    <n v="152.43"/>
    <n v="20260415"/>
    <m/>
  </r>
  <r>
    <n v="1023366"/>
    <m/>
    <s v="A"/>
    <d v="2026-04-15T00:00:00"/>
    <d v="2026-04-15T00:00:00"/>
    <m/>
    <n v="362"/>
    <s v="PS0005"/>
    <n v="7860"/>
    <n v="887943"/>
    <m/>
    <s v="377890*****8249"/>
    <m/>
    <s v="COMPRA"/>
    <x v="14"/>
    <n v="298"/>
    <n v="11.89"/>
    <n v="2.38"/>
    <n v="0.43"/>
    <n v="285.68"/>
    <n v="285.68"/>
    <n v="20260417"/>
    <m/>
  </r>
  <r>
    <n v="1023366"/>
    <m/>
    <s v="A"/>
    <d v="2026-04-16T00:00:00"/>
    <d v="2026-04-16T00:00:00"/>
    <m/>
    <n v="363"/>
    <s v="PS0005"/>
    <n v="7988"/>
    <n v="290373"/>
    <m/>
    <s v="377753*****9672"/>
    <m/>
    <s v="COMPRA"/>
    <x v="15"/>
    <n v="154"/>
    <n v="6.14"/>
    <n v="1.23"/>
    <n v="0.22"/>
    <n v="147.63999999999999"/>
    <n v="0"/>
    <n v="20260418"/>
    <m/>
  </r>
  <r>
    <n v="1023366"/>
    <m/>
    <s v="A"/>
    <d v="2026-04-16T00:00:00"/>
    <d v="2026-04-16T00:00:00"/>
    <m/>
    <n v="363"/>
    <s v="PS0005"/>
    <n v="7990"/>
    <n v="304673"/>
    <m/>
    <s v="377753*****9672"/>
    <m/>
    <s v="COMPRA"/>
    <x v="15"/>
    <n v="89"/>
    <n v="3.55"/>
    <n v="0.71"/>
    <n v="0.13"/>
    <n v="85.32"/>
    <n v="232.96"/>
    <n v="20260418"/>
    <m/>
  </r>
  <r>
    <n v="1023366"/>
    <m/>
    <s v="A"/>
    <d v="2026-04-17T00:00:00"/>
    <d v="2026-04-17T00:00:00"/>
    <m/>
    <n v="364"/>
    <s v="PS0005"/>
    <n v="8085"/>
    <n v="312468"/>
    <m/>
    <s v="377754*****6761"/>
    <m/>
    <s v="COMPRA"/>
    <x v="16"/>
    <n v="49"/>
    <n v="1.96"/>
    <n v="0.39"/>
    <n v="7.0000000000000007E-2"/>
    <n v="46.97"/>
    <n v="46.97"/>
    <n v="20260421"/>
    <m/>
  </r>
  <r>
    <n v="1023366"/>
    <m/>
    <s v="A"/>
    <d v="2026-04-18T00:00:00"/>
    <d v="2026-04-18T00:00:00"/>
    <m/>
    <n v="665"/>
    <s v="PS0003"/>
    <n v="9188"/>
    <n v="134868"/>
    <m/>
    <s v="377934*****5626"/>
    <m/>
    <s v="COMPRA"/>
    <x v="17"/>
    <n v="450"/>
    <n v="17.96"/>
    <n v="3.59"/>
    <n v="0.65"/>
    <n v="431.39"/>
    <n v="0"/>
    <n v="20260421"/>
    <m/>
  </r>
  <r>
    <n v="1023366"/>
    <m/>
    <s v="A"/>
    <d v="2026-04-18T00:00:00"/>
    <d v="2026-04-18T00:00:00"/>
    <m/>
    <n v="365"/>
    <s v="PS0005"/>
    <n v="8202"/>
    <n v="182273"/>
    <m/>
    <s v="377753*****6689"/>
    <m/>
    <s v="COMPRA"/>
    <x v="17"/>
    <n v="1598"/>
    <n v="63.76"/>
    <n v="12.75"/>
    <n v="2.2999999999999998"/>
    <n v="1531.94"/>
    <n v="0"/>
    <n v="20260421"/>
    <m/>
  </r>
  <r>
    <n v="1023366"/>
    <m/>
    <s v="A"/>
    <d v="2026-04-18T00:00:00"/>
    <d v="2026-04-18T00:00:00"/>
    <m/>
    <n v="365"/>
    <s v="PS0005"/>
    <n v="8224"/>
    <n v="309386"/>
    <m/>
    <s v="377897*****7768"/>
    <m/>
    <s v="COMPRA"/>
    <x v="17"/>
    <n v="89.9"/>
    <n v="3.59"/>
    <n v="0.72"/>
    <n v="0.13"/>
    <n v="86.18"/>
    <n v="2049.5100000000002"/>
    <n v="20260421"/>
    <m/>
  </r>
  <r>
    <n v="1023366"/>
    <m/>
    <s v="A"/>
    <d v="2026-04-19T00:00:00"/>
    <d v="2026-04-19T00:00:00"/>
    <m/>
    <n v="366"/>
    <s v="PS0005"/>
    <n v="8284"/>
    <n v="359652"/>
    <m/>
    <s v="377890*****1400"/>
    <m/>
    <s v="COMPRA"/>
    <x v="18"/>
    <n v="189"/>
    <n v="7.54"/>
    <n v="1.51"/>
    <n v="0.27"/>
    <n v="181.19"/>
    <n v="181.19"/>
    <n v="20260421"/>
    <m/>
  </r>
  <r>
    <n v="1023366"/>
    <m/>
    <s v="A"/>
    <d v="2026-04-20T00:00:00"/>
    <d v="2026-04-20T00:00:00"/>
    <m/>
    <n v="367"/>
    <s v="PS0005"/>
    <n v="8426"/>
    <n v="463362"/>
    <m/>
    <s v="377934*****9752"/>
    <m/>
    <s v="COMPRA"/>
    <x v="19"/>
    <n v="69"/>
    <n v="2.75"/>
    <n v="0.55000000000000004"/>
    <n v="0.1"/>
    <n v="66.150000000000006"/>
    <n v="66.150000000000006"/>
    <n v="20260422"/>
    <m/>
  </r>
  <r>
    <n v="1023366"/>
    <m/>
    <s v="A"/>
    <d v="2026-04-21T00:00:00"/>
    <d v="2026-04-21T00:00:00"/>
    <m/>
    <n v="368"/>
    <s v="PS0005"/>
    <n v="8491"/>
    <n v="560760"/>
    <m/>
    <s v="377890*****8735"/>
    <m/>
    <s v="COMPRA"/>
    <x v="20"/>
    <n v="17.899999999999999"/>
    <n v="0.71"/>
    <n v="0.14000000000000001"/>
    <n v="0.03"/>
    <n v="17.16"/>
    <n v="17.16"/>
    <n v="20260423"/>
    <m/>
  </r>
  <r>
    <n v="1023366"/>
    <m/>
    <s v="A"/>
    <d v="2026-04-23T00:00:00"/>
    <d v="2026-04-23T00:00:00"/>
    <m/>
    <n v="370"/>
    <s v="PS0005"/>
    <n v="8630"/>
    <n v="395464"/>
    <m/>
    <s v="377934*****8638"/>
    <m/>
    <s v="COMPRA"/>
    <x v="21"/>
    <n v="178"/>
    <n v="7.1"/>
    <n v="1.42"/>
    <n v="0.26"/>
    <n v="170.64"/>
    <n v="170.64"/>
    <n v="20260425"/>
    <m/>
  </r>
  <r>
    <n v="1023366"/>
    <m/>
    <s v="A"/>
    <d v="2026-04-24T00:00:00"/>
    <d v="2026-04-24T00:00:00"/>
    <m/>
    <n v="371"/>
    <s v="PS0005"/>
    <n v="8796"/>
    <n v="532965"/>
    <m/>
    <s v="377752*****5644"/>
    <m/>
    <s v="COMPRA"/>
    <x v="22"/>
    <n v="408"/>
    <n v="16.28"/>
    <n v="3.26"/>
    <n v="0.59"/>
    <n v="391.13"/>
    <n v="391.13"/>
    <n v="20260428"/>
    <m/>
  </r>
  <r>
    <n v="1023366"/>
    <m/>
    <s v="A"/>
    <d v="2026-04-25T00:00:00"/>
    <d v="2026-04-25T00:00:00"/>
    <m/>
    <n v="372"/>
    <s v="PS0005"/>
    <n v="8836"/>
    <n v="352486"/>
    <m/>
    <s v="377890*****4050"/>
    <m/>
    <s v="COMPRA"/>
    <x v="23"/>
    <n v="1399"/>
    <n v="55.82"/>
    <n v="11.16"/>
    <n v="2.0099999999999998"/>
    <n v="1341.17"/>
    <n v="0"/>
    <n v="20260428"/>
    <m/>
  </r>
  <r>
    <n v="1023366"/>
    <m/>
    <s v="A"/>
    <d v="2026-04-25T00:00:00"/>
    <d v="2026-04-25T00:00:00"/>
    <m/>
    <n v="372"/>
    <s v="PS0005"/>
    <n v="8901"/>
    <n v="304560"/>
    <m/>
    <s v="377934*****5059"/>
    <m/>
    <s v="COMPRA"/>
    <x v="23"/>
    <n v="49"/>
    <n v="1.96"/>
    <n v="0.39"/>
    <n v="7.0000000000000007E-2"/>
    <n v="46.97"/>
    <n v="1388.14"/>
    <n v="20260428"/>
    <m/>
  </r>
  <r>
    <n v="1023366"/>
    <m/>
    <s v="A"/>
    <d v="2026-04-27T00:00:00"/>
    <d v="2026-04-27T00:00:00"/>
    <m/>
    <n v="374"/>
    <s v="PS0005"/>
    <n v="9041"/>
    <n v="303352"/>
    <m/>
    <s v="377898*****6129"/>
    <m/>
    <s v="COMPRA"/>
    <x v="24"/>
    <n v="418"/>
    <n v="16.68"/>
    <n v="3.34"/>
    <n v="0.6"/>
    <n v="400.72"/>
    <n v="0"/>
    <n v="20260429"/>
    <m/>
  </r>
  <r>
    <n v="1023366"/>
    <m/>
    <s v="A"/>
    <d v="2026-04-27T00:00:00"/>
    <d v="2026-04-27T00:00:00"/>
    <m/>
    <n v="374"/>
    <s v="PS0005"/>
    <n v="9085"/>
    <n v="165262"/>
    <m/>
    <s v="377934*****3966"/>
    <m/>
    <s v="COMPRA"/>
    <x v="24"/>
    <n v="149"/>
    <n v="5.95"/>
    <n v="1.19"/>
    <n v="0.21"/>
    <n v="142.84"/>
    <n v="543.55999999999995"/>
    <n v="20260429"/>
    <m/>
  </r>
  <r>
    <n v="1023366"/>
    <m/>
    <s v="A"/>
    <d v="2026-04-28T00:00:00"/>
    <d v="2026-04-28T00:00:00"/>
    <m/>
    <n v="375"/>
    <s v="PS0005"/>
    <n v="9131"/>
    <n v="513373"/>
    <m/>
    <s v="377934*****2797"/>
    <m/>
    <s v="COMPRA"/>
    <x v="25"/>
    <n v="207"/>
    <n v="8.26"/>
    <n v="1.65"/>
    <n v="0.3"/>
    <n v="198.44"/>
    <n v="198.44"/>
    <n v="2026043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1001299773"/>
    <s v="XIAOMI SCHELL"/>
    <s v="IZIPAY"/>
    <s v=""/>
    <s v="CONSUMO"/>
    <s v="01-05-2026"/>
    <s v="01-05-2026"/>
    <s v="DINERS"/>
    <s v="**** ****** 1866"/>
    <s v="LOCAL"/>
    <s v="043082"/>
    <s v="2605030016368559"/>
    <s v="SOLES"/>
    <x v="0"/>
    <s v="0009325"/>
    <s v="PENDIENTE"/>
    <n v="0"/>
    <s v="2 días"/>
    <s v="03-05-2026"/>
    <s v="PORCENTUAL"/>
    <n v="2.2000000000000002"/>
    <n v="159"/>
    <n v="3.5"/>
    <n v="0.63"/>
    <n v="154.87"/>
    <s v="CONSUMOS CORRIENTES"/>
  </r>
  <r>
    <s v="1001299773"/>
    <s v="XIAOMI SCHELL"/>
    <s v="IZIPAY"/>
    <s v=""/>
    <s v="CONSUMO"/>
    <s v="29-04-2026"/>
    <s v="29-04-2026"/>
    <s v="DINERS"/>
    <s v="**** ****** 8785"/>
    <s v="LOCAL"/>
    <s v="092942"/>
    <s v="2605020016319026"/>
    <s v="SOLES"/>
    <x v="1"/>
    <s v="0009142"/>
    <s v="PENDIENTE"/>
    <n v="0"/>
    <s v="3 días"/>
    <s v="02-05-2026"/>
    <s v="PORCENTUAL"/>
    <n v="2.2000000000000002"/>
    <n v="229"/>
    <n v="5.04"/>
    <n v="0.91"/>
    <n v="223.05"/>
    <s v="CONSUMOS CORRIENTES"/>
  </r>
  <r>
    <s v="1001299773"/>
    <s v="XIAOMI SCHELL"/>
    <s v="IZIPAY"/>
    <s v=""/>
    <s v="CONSUMO"/>
    <s v="28-04-2026"/>
    <s v="28-04-2026"/>
    <s v="DINERS"/>
    <s v="**** ****** 9792"/>
    <s v="LOCAL"/>
    <s v="090611"/>
    <s v="2604300016308275"/>
    <s v="SOLES"/>
    <x v="2"/>
    <s v="0009058"/>
    <s v="PROCESADO"/>
    <n v="3"/>
    <s v="2 días"/>
    <s v="30-04-2026"/>
    <s v="PORCENTUAL"/>
    <n v="3.95"/>
    <n v="899"/>
    <n v="35.51"/>
    <n v="6.39"/>
    <n v="857.1"/>
    <s v="CUOTAS SIN INTERESES"/>
  </r>
  <r>
    <s v="1001299773"/>
    <s v="XIAOMI SCHELL"/>
    <s v="IZIPAY"/>
    <s v=""/>
    <s v="CONSUMO"/>
    <s v="28-04-2026"/>
    <s v="28-04-2026"/>
    <s v="DINERS"/>
    <s v="**** ****** 2654"/>
    <s v="LOCAL"/>
    <s v="067205"/>
    <s v="2604300016308275"/>
    <s v="SOLES"/>
    <x v="2"/>
    <s v="0009101"/>
    <s v="PROCESADO"/>
    <n v="2"/>
    <s v="2 días"/>
    <s v="30-04-2026"/>
    <s v="PORCENTUAL"/>
    <n v="3.95"/>
    <n v="139"/>
    <n v="5.49"/>
    <n v="0.99"/>
    <n v="132.52000000000001"/>
    <s v="CUOTAS SIN INTERESES"/>
  </r>
  <r>
    <s v="1001299773"/>
    <s v="XIAOMI SCHELL"/>
    <s v="IZIPAY"/>
    <s v=""/>
    <s v="CONSUMO"/>
    <s v="27-04-2026"/>
    <s v="27-04-2026"/>
    <s v="DINERS"/>
    <s v="**** ****** 7244"/>
    <s v="LOCAL"/>
    <s v="061928"/>
    <s v="2604290016296904"/>
    <s v="SOLES"/>
    <x v="3"/>
    <s v="0008949"/>
    <s v="PROCESADO"/>
    <n v="3"/>
    <s v="2 días"/>
    <s v="29-04-2026"/>
    <s v="PORCENTUAL"/>
    <n v="3.95"/>
    <n v="299"/>
    <n v="11.81"/>
    <n v="2.13"/>
    <n v="285.06"/>
    <s v="CUOTAS SIN INTERESES"/>
  </r>
  <r>
    <s v="1001299773"/>
    <s v="XIAOMI SCHELL"/>
    <s v="IZIPAY"/>
    <s v=""/>
    <s v="CONSUMO"/>
    <s v="26-04-2026"/>
    <s v="26-04-2026"/>
    <s v="DINERS"/>
    <s v="**** ****** 1931"/>
    <s v="LOCAL"/>
    <s v="092653"/>
    <s v="2604280016282816"/>
    <s v="SOLES"/>
    <x v="4"/>
    <s v="0008848"/>
    <s v="PROCESADO"/>
    <n v="3"/>
    <s v="2 días"/>
    <s v="28-04-2026"/>
    <s v="PORCENTUAL"/>
    <n v="3.95"/>
    <n v="259"/>
    <n v="10.23"/>
    <n v="1.84"/>
    <n v="246.93"/>
    <s v="CUOTAS SIN INTERESES"/>
  </r>
  <r>
    <s v="1001299773"/>
    <s v="XIAOMI SCHELL"/>
    <s v="IZIPAY"/>
    <s v=""/>
    <s v="CONSUMO"/>
    <s v="26-04-2026"/>
    <s v="26-04-2026"/>
    <s v="DINERS"/>
    <s v="**** ****** 5951"/>
    <s v="LOCAL"/>
    <s v="004055"/>
    <s v="2604280016282816"/>
    <s v="SOLES"/>
    <x v="4"/>
    <s v="0008852"/>
    <s v="PROCESADO"/>
    <n v="0"/>
    <s v="2 días"/>
    <s v="28-04-2026"/>
    <s v="PORCENTUAL"/>
    <n v="2.2000000000000002"/>
    <n v="35"/>
    <n v="0.77"/>
    <n v="0.14000000000000001"/>
    <n v="34.090000000000003"/>
    <s v="CONSUMOS CORRIENTES"/>
  </r>
  <r>
    <s v="1001299773"/>
    <s v="XIAOMI SCHELL"/>
    <s v="IZIPAY"/>
    <s v=""/>
    <s v="CONSUMO"/>
    <s v="26-04-2026"/>
    <s v="26-04-2026"/>
    <s v="DINERS"/>
    <s v="**** ****** 8937"/>
    <s v="LOCAL"/>
    <s v="019113"/>
    <s v="2604280016282816"/>
    <s v="SOLES"/>
    <x v="4"/>
    <s v="0008860"/>
    <s v="PROCESADO"/>
    <n v="3"/>
    <s v="2 días"/>
    <s v="28-04-2026"/>
    <s v="PORCENTUAL"/>
    <n v="3.95"/>
    <n v="229"/>
    <n v="9.0500000000000007"/>
    <n v="1.63"/>
    <n v="218.32"/>
    <s v="CUOTAS SIN INTERESES"/>
  </r>
  <r>
    <s v="1001299773"/>
    <s v="XIAOMI SCHELL"/>
    <s v="IZIPAY"/>
    <s v=""/>
    <s v="CONSUMO"/>
    <s v="26-04-2026"/>
    <s v="26-04-2026"/>
    <s v="DINERS"/>
    <s v="**** ****** 5615"/>
    <s v="LOCAL"/>
    <s v="045960"/>
    <s v="2604280016282816"/>
    <s v="SOLES"/>
    <x v="4"/>
    <s v="0008903"/>
    <s v="PROCESADO"/>
    <n v="3"/>
    <s v="2 días"/>
    <s v="28-04-2026"/>
    <s v="PORCENTUAL"/>
    <n v="3.95"/>
    <n v="1699"/>
    <n v="67.11"/>
    <n v="12.08"/>
    <n v="1619.81"/>
    <s v="CUOTAS SIN INTERESES"/>
  </r>
  <r>
    <s v="1001299773"/>
    <s v="XIAOMI SCHELL"/>
    <s v="IZIPAY"/>
    <s v="POS CHIP"/>
    <s v="CONSUMO"/>
    <s v="22-04-2026"/>
    <s v="22-04-2026"/>
    <s v="DINERS"/>
    <s v="**** ****** 4544"/>
    <s v="LOCAL"/>
    <s v="013287"/>
    <s v="2604240016238292"/>
    <s v="SOLES"/>
    <x v="5"/>
    <s v="0008475"/>
    <s v="PROCESADO"/>
    <n v="2"/>
    <s v="2 días"/>
    <s v="24-04-2026"/>
    <s v="PORCENTUAL"/>
    <n v="3.95"/>
    <n v="1399"/>
    <n v="55.26"/>
    <n v="9.9499999999999993"/>
    <n v="1333.79"/>
    <s v="CUOTAS SIN INTERESES"/>
  </r>
  <r>
    <s v="1001299773"/>
    <s v="XIAOMI SCHELL"/>
    <s v="IZIPAY"/>
    <s v=""/>
    <s v="CONSUMO"/>
    <s v="21-04-2026"/>
    <s v="21-04-2026"/>
    <s v="DINERS"/>
    <s v="**** ****** 5384"/>
    <s v="LOCAL"/>
    <s v="014888"/>
    <s v="2604230016227197"/>
    <s v="SOLES"/>
    <x v="6"/>
    <s v="0008390"/>
    <s v="PROCESADO"/>
    <n v="3"/>
    <s v="2 días"/>
    <s v="23-04-2026"/>
    <s v="PORCENTUAL"/>
    <n v="3.95"/>
    <n v="849"/>
    <n v="33.54"/>
    <n v="6.04"/>
    <n v="809.42"/>
    <s v="CUOTAS SIN INTERESES"/>
  </r>
  <r>
    <s v="1001299773"/>
    <s v="XIAOMI SCHELL"/>
    <s v="IZIPAY"/>
    <s v=""/>
    <s v="CONSUMO"/>
    <s v="20-04-2026"/>
    <s v="20-04-2026"/>
    <s v="DINERS"/>
    <s v="**** ****** 5503"/>
    <s v="LOCAL"/>
    <s v="052548"/>
    <s v="2604220016215255"/>
    <s v="SOLES"/>
    <x v="7"/>
    <s v="0008274"/>
    <s v="PROCESADO"/>
    <n v="3"/>
    <s v="2 días"/>
    <s v="22-04-2026"/>
    <s v="PORCENTUAL"/>
    <n v="3.95"/>
    <n v="89"/>
    <n v="3.52"/>
    <n v="0.63"/>
    <n v="84.85"/>
    <s v="CUOTAS SIN INTERESES"/>
  </r>
  <r>
    <s v="1001299773"/>
    <s v="XIAOMI SCHELL"/>
    <s v="IZIPAY"/>
    <s v=""/>
    <s v="CONSUMO"/>
    <s v="20-04-2026"/>
    <s v="20-04-2026"/>
    <s v="DINERS"/>
    <s v="**** ****** 1209"/>
    <s v="LOCAL"/>
    <s v="021661"/>
    <s v="2604220016215255"/>
    <s v="SOLES"/>
    <x v="7"/>
    <s v="0008335"/>
    <s v="PROCESADO"/>
    <n v="3"/>
    <s v="2 días"/>
    <s v="22-04-2026"/>
    <s v="PORCENTUAL"/>
    <n v="3.95"/>
    <n v="89"/>
    <n v="3.52"/>
    <n v="0.63"/>
    <n v="84.85"/>
    <s v="CUOTAS SIN INTERESES"/>
  </r>
  <r>
    <s v="1001299773"/>
    <s v="XIAOMI SCHELL"/>
    <s v="IZIPAY"/>
    <s v=""/>
    <s v="CONSUMO"/>
    <s v="19-04-2026"/>
    <s v="19-04-2026"/>
    <s v="DINERS"/>
    <s v="**** ****** 1770"/>
    <s v="LOCAL"/>
    <s v="072948"/>
    <s v="2604210016201646"/>
    <s v="SOLES"/>
    <x v="8"/>
    <s v="0008167"/>
    <s v="PROCESADO"/>
    <n v="3"/>
    <s v="2 días"/>
    <s v="21-04-2026"/>
    <s v="PORCENTUAL"/>
    <n v="3.95"/>
    <n v="108.9"/>
    <n v="4.3"/>
    <n v="0.77"/>
    <n v="103.83"/>
    <s v="CUOTAS SIN INTERESES"/>
  </r>
  <r>
    <s v="1001299773"/>
    <s v="XIAOMI SCHELL"/>
    <s v="IZIPAY"/>
    <s v=""/>
    <s v="CONSUMO"/>
    <s v="17-04-2026"/>
    <s v="17-04-2026"/>
    <s v="DINERS"/>
    <s v="**** ****** 7203"/>
    <s v="LOCAL"/>
    <s v="091025"/>
    <s v="2604190016179109"/>
    <s v="SOLES"/>
    <x v="9"/>
    <s v="0007976"/>
    <s v="PROCESADO"/>
    <n v="3"/>
    <s v="2 días"/>
    <s v="20-04-2026"/>
    <s v="PORCENTUAL"/>
    <n v="3.95"/>
    <n v="1299"/>
    <n v="51.31"/>
    <n v="9.24"/>
    <n v="1238.45"/>
    <s v="CUOTAS SIN INTERESES"/>
  </r>
  <r>
    <s v="1001299773"/>
    <s v="XIAOMI SCHELL"/>
    <s v="IZIPAY"/>
    <s v=""/>
    <s v="CONSUMO"/>
    <s v="14-04-2026"/>
    <s v="14-04-2026"/>
    <s v="DINERS"/>
    <s v="**** ****** 4202"/>
    <s v="LOCAL"/>
    <s v="049755"/>
    <s v="2604160016146799"/>
    <s v="SOLES"/>
    <x v="10"/>
    <s v="0007719"/>
    <s v="PROCESADO"/>
    <n v="3"/>
    <s v="2 días"/>
    <s v="16-04-2026"/>
    <s v="PORCENTUAL"/>
    <n v="3.95"/>
    <n v="1008"/>
    <n v="39.82"/>
    <n v="7.17"/>
    <n v="961.01"/>
    <s v="CUOTAS SIN INTERESES"/>
  </r>
  <r>
    <s v="1001299773"/>
    <s v="XIAOMI SCHELL"/>
    <s v="IZIPAY"/>
    <s v=""/>
    <s v="CONSUMO"/>
    <s v="11-04-2026"/>
    <s v="11-04-2026"/>
    <s v="DINERS"/>
    <s v="**** ****** 0449"/>
    <s v="LOCAL"/>
    <s v="068396"/>
    <s v="2604130016110779"/>
    <s v="SOLES"/>
    <x v="11"/>
    <s v="0007441"/>
    <s v="PROCESADO"/>
    <n v="0"/>
    <s v="2 días"/>
    <s v="13-04-2026"/>
    <s v="PORCENTUAL"/>
    <n v="2.2000000000000002"/>
    <n v="53"/>
    <n v="1.17"/>
    <n v="0.21"/>
    <n v="51.62"/>
    <s v="CONSUMOS CORRIENTES"/>
  </r>
  <r>
    <s v="1001299773"/>
    <s v="XIAOMI SCHELL"/>
    <s v="IZIPAY"/>
    <s v=""/>
    <s v="CONSUMO"/>
    <s v="07-04-2026"/>
    <s v="07-04-2026"/>
    <s v="DINERS"/>
    <s v="**** ****** 0205"/>
    <s v="LOCAL"/>
    <s v="088125"/>
    <s v="2604090016067585"/>
    <s v="SOLES"/>
    <x v="12"/>
    <s v="0007069"/>
    <s v="PROCESADO"/>
    <n v="3"/>
    <s v="2 días"/>
    <s v="09-04-2026"/>
    <s v="PORCENTUAL"/>
    <n v="3.95"/>
    <n v="1799"/>
    <n v="71.06"/>
    <n v="12.79"/>
    <n v="1715.15"/>
    <s v="CUOTAS SIN INTERESES"/>
  </r>
  <r>
    <s v="1001299773"/>
    <s v="XIAOMI SCHELL"/>
    <s v="IZIPAY"/>
    <s v=""/>
    <s v="CONSUMO"/>
    <s v="06-04-2026"/>
    <s v="06-04-2026"/>
    <s v="DINERS"/>
    <s v="**** ****** 1781"/>
    <s v="LOCAL"/>
    <s v="037610"/>
    <s v="2604080016055852"/>
    <s v="SOLES"/>
    <x v="13"/>
    <s v="0006965"/>
    <s v="PROCESADO"/>
    <n v="3"/>
    <s v="2 días"/>
    <s v="08-04-2026"/>
    <s v="PORCENTUAL"/>
    <n v="3.95"/>
    <n v="1008"/>
    <n v="39.82"/>
    <n v="7.17"/>
    <n v="961.01"/>
    <s v="CUOTAS SIN INTERESES"/>
  </r>
  <r>
    <s v="1001299773"/>
    <s v="XIAOMI SCHELL"/>
    <s v="IZIPAY"/>
    <s v=""/>
    <s v="CONSUMO"/>
    <s v="04-04-2026"/>
    <s v="04-04-2026"/>
    <s v="DINERS"/>
    <s v="**** ****** 8450"/>
    <s v="LOCAL"/>
    <s v="071528"/>
    <s v="2604060016032224"/>
    <s v="SOLES"/>
    <x v="14"/>
    <s v="0006706"/>
    <s v="PROCESADO"/>
    <n v="3"/>
    <s v="2 días"/>
    <s v="06-04-2026"/>
    <s v="PORCENTUAL"/>
    <n v="3.95"/>
    <n v="209"/>
    <n v="8.26"/>
    <n v="1.49"/>
    <n v="199.25"/>
    <s v="CUOTAS SIN INTERESES"/>
  </r>
  <r>
    <s v="1001299773"/>
    <s v="XIAOMI SCHELL"/>
    <s v="IZIPAY"/>
    <s v=""/>
    <s v="CONSUMO"/>
    <s v="04-04-2026"/>
    <s v="04-04-2026"/>
    <s v="DINERS"/>
    <s v="**** ****** 3101"/>
    <s v="LOCAL"/>
    <s v="095454"/>
    <s v="2604060016032224"/>
    <s v="SOLES"/>
    <x v="14"/>
    <s v="0006722"/>
    <s v="PROCESADO"/>
    <n v="0"/>
    <s v="2 días"/>
    <s v="06-04-2026"/>
    <s v="PORCENTUAL"/>
    <n v="2.2000000000000002"/>
    <n v="199"/>
    <n v="4.38"/>
    <n v="0.79"/>
    <n v="193.83"/>
    <s v="CONSUMOS CORRIENTES"/>
  </r>
  <r>
    <s v="1001299773"/>
    <s v="XIAOMI SCHELL"/>
    <s v="IZIPAY"/>
    <s v=""/>
    <s v="CONSUMO"/>
    <s v="02-04-2026"/>
    <s v="02-04-2026"/>
    <s v="DINERS"/>
    <s v="**** ****** 5694"/>
    <s v="LOCAL"/>
    <s v="070632"/>
    <s v="2604040015965002"/>
    <s v="SOLES"/>
    <x v="15"/>
    <s v="0006472"/>
    <s v="PROCESADO"/>
    <n v="3"/>
    <s v="2 días"/>
    <s v="06-04-2026"/>
    <s v="PORCENTUAL"/>
    <n v="3.95"/>
    <n v="1199"/>
    <n v="47.36"/>
    <n v="8.52"/>
    <n v="1143.1199999999999"/>
    <s v="CUOTAS SIN INTERESES"/>
  </r>
  <r>
    <s v="1001299773"/>
    <s v="XIAOMI SCHELL"/>
    <s v="IZIPAY"/>
    <s v=""/>
    <s v="CONSUMO"/>
    <s v="02-04-2026"/>
    <s v="02-04-2026"/>
    <s v="DINERS"/>
    <s v="**** ****** 1190"/>
    <s v="LOCAL"/>
    <s v="011266"/>
    <s v="2604040015965002"/>
    <s v="SOLES"/>
    <x v="15"/>
    <s v="0006499"/>
    <s v="PROCESADO"/>
    <n v="3"/>
    <s v="2 días"/>
    <s v="06-04-2026"/>
    <s v="PORCENTUAL"/>
    <n v="3.95"/>
    <n v="54.9"/>
    <n v="2.17"/>
    <n v="0.39"/>
    <n v="52.34"/>
    <s v="CUOTAS SIN INTERES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FF177-A6F3-43E2-90E1-28A55ADA8FB7}" name="TablaDinámica4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I1:AJ39" firstHeaderRow="1" firstDataRow="1" firstDataCol="1"/>
  <pivotFields count="32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6"/>
    <field x="14"/>
  </rowFields>
  <rowItems count="3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>
      <x v="1"/>
    </i>
    <i r="1">
      <x v="8"/>
    </i>
    <i r="1">
      <x v="31"/>
    </i>
    <i r="1">
      <x v="37"/>
    </i>
    <i>
      <x v="2"/>
    </i>
    <i r="1">
      <x v="9"/>
    </i>
    <i t="grand">
      <x/>
    </i>
  </rowItems>
  <colItems count="1">
    <i/>
  </colItems>
  <dataFields count="1">
    <dataField name="Suma de Import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B09CE-97C2-42B0-B993-D35E1963B356}" name="TablaDinámica6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Z2:AA29" firstHeaderRow="1" firstDataRow="1" firstDataCol="1"/>
  <pivotFields count="25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7">
        <item x="0"/>
        <item x="2"/>
        <item x="3"/>
        <item x="4"/>
        <item x="5"/>
        <item x="6"/>
        <item x="7"/>
        <item x="8"/>
        <item x="9"/>
        <item x="1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5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a de Importe" fld="15" baseField="0" baseItem="0"/>
  </dataFields>
  <formats count="4">
    <format dxfId="7">
      <pivotArea field="23" type="button" dataOnly="0" labelOnly="1" outline="0"/>
    </format>
    <format dxfId="6">
      <pivotArea dataOnly="0" labelOnly="1" grandRow="1" outline="0" fieldPosition="0"/>
    </format>
    <format dxfId="5">
      <pivotArea collapsedLevelsAreSubtotals="1" fieldPosition="0">
        <references count="1">
          <reference field="14" count="1">
            <x v="3"/>
          </reference>
        </references>
      </pivotArea>
    </format>
    <format dxfId="4">
      <pivotArea dataOnly="0" labelOnly="1" fieldPosition="0">
        <references count="1">
          <reference field="1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D9497-18E3-4B8D-9310-91715F27DE19}" name="TablaDinámica5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1:C58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3">
        <item m="1" x="31"/>
        <item m="1" x="30"/>
        <item m="1" x="29"/>
        <item m="1" x="28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3"/>
  </rowFields>
  <rowItems count="17"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a de Importe del consumo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B159-4A1E-46FB-80F4-721E598CBBA2}">
  <dimension ref="A1:AD31"/>
  <sheetViews>
    <sheetView tabSelected="1" workbookViewId="0">
      <selection activeCell="L3" sqref="L3"/>
    </sheetView>
  </sheetViews>
  <sheetFormatPr baseColWidth="10" defaultRowHeight="14.4"/>
  <cols>
    <col min="1" max="1" width="9.33203125" bestFit="1" customWidth="1"/>
    <col min="2" max="2" width="9" bestFit="1" customWidth="1"/>
    <col min="3" max="3" width="25" bestFit="1" customWidth="1"/>
    <col min="4" max="4" width="13.21875" bestFit="1" customWidth="1"/>
    <col min="5" max="5" width="11.44140625" customWidth="1"/>
    <col min="6" max="6" width="10.33203125" bestFit="1" customWidth="1"/>
    <col min="7" max="7" width="13.5546875" bestFit="1" customWidth="1"/>
    <col min="8" max="8" width="13.5546875" style="12" customWidth="1"/>
    <col min="9" max="9" width="18.77734375" bestFit="1" customWidth="1"/>
    <col min="10" max="10" width="18.77734375" style="12" customWidth="1"/>
    <col min="11" max="11" width="9.44140625" bestFit="1" customWidth="1"/>
    <col min="12" max="12" width="16.5546875" style="12" customWidth="1"/>
    <col min="13" max="13" width="13.77734375" bestFit="1" customWidth="1"/>
    <col min="14" max="14" width="18.6640625" bestFit="1" customWidth="1"/>
    <col min="15" max="15" width="17.33203125" bestFit="1" customWidth="1"/>
    <col min="16" max="16" width="11.44140625" bestFit="1" customWidth="1"/>
    <col min="17" max="17" width="17.88671875" bestFit="1" customWidth="1"/>
    <col min="18" max="18" width="19.44140625" bestFit="1" customWidth="1"/>
    <col min="19" max="19" width="24.6640625" bestFit="1" customWidth="1"/>
    <col min="20" max="20" width="7.21875" bestFit="1" customWidth="1"/>
    <col min="21" max="21" width="22.21875" bestFit="1" customWidth="1"/>
    <col min="22" max="23" width="13.77734375" bestFit="1" customWidth="1"/>
    <col min="24" max="24" width="12.44140625" bestFit="1" customWidth="1"/>
    <col min="25" max="25" width="12.33203125" bestFit="1" customWidth="1"/>
    <col min="26" max="26" width="11.33203125" bestFit="1" customWidth="1"/>
    <col min="27" max="27" width="11.77734375" bestFit="1" customWidth="1"/>
    <col min="28" max="28" width="9.5546875" bestFit="1" customWidth="1"/>
    <col min="29" max="29" width="14.5546875" bestFit="1" customWidth="1"/>
    <col min="30" max="30" width="10.44140625" bestFit="1" customWidth="1"/>
  </cols>
  <sheetData>
    <row r="1" spans="1:30" s="16" customFormat="1">
      <c r="A1" t="s">
        <v>0</v>
      </c>
      <c r="B1" t="s">
        <v>1</v>
      </c>
      <c r="C1" s="43" t="s">
        <v>2</v>
      </c>
      <c r="D1" s="1" t="s">
        <v>3</v>
      </c>
      <c r="E1" s="1" t="s">
        <v>4</v>
      </c>
      <c r="F1" s="1" t="s">
        <v>5</v>
      </c>
      <c r="G1" s="44" t="s">
        <v>6</v>
      </c>
      <c r="H1" s="15" t="s">
        <v>541</v>
      </c>
      <c r="I1" s="44" t="s">
        <v>7</v>
      </c>
      <c r="J1" s="15" t="s">
        <v>541</v>
      </c>
      <c r="K1" s="44" t="s">
        <v>8</v>
      </c>
      <c r="L1" s="15" t="s">
        <v>541</v>
      </c>
      <c r="M1" s="17" t="s">
        <v>9</v>
      </c>
      <c r="N1" s="17" t="s">
        <v>10</v>
      </c>
      <c r="O1" s="17" t="s">
        <v>11</v>
      </c>
      <c r="P1" s="17" t="s">
        <v>12</v>
      </c>
      <c r="Q1" s="17" t="s">
        <v>13</v>
      </c>
      <c r="R1" s="17" t="s">
        <v>14</v>
      </c>
      <c r="S1" s="17" t="s">
        <v>15</v>
      </c>
      <c r="T1" s="17" t="s">
        <v>16</v>
      </c>
      <c r="U1" s="17" t="s">
        <v>17</v>
      </c>
      <c r="V1" s="17" t="s">
        <v>18</v>
      </c>
      <c r="W1" s="17" t="s">
        <v>19</v>
      </c>
      <c r="X1" s="17" t="s">
        <v>20</v>
      </c>
      <c r="Y1" s="17" t="s">
        <v>21</v>
      </c>
      <c r="Z1" s="17" t="s">
        <v>22</v>
      </c>
      <c r="AA1" s="17" t="s">
        <v>23</v>
      </c>
      <c r="AB1" s="17" t="s">
        <v>24</v>
      </c>
      <c r="AC1" s="17" t="s">
        <v>25</v>
      </c>
      <c r="AD1" s="17" t="s">
        <v>26</v>
      </c>
    </row>
    <row r="2" spans="1:30">
      <c r="A2" s="2">
        <v>46113</v>
      </c>
      <c r="B2" t="s">
        <v>27</v>
      </c>
      <c r="C2" t="s">
        <v>28</v>
      </c>
      <c r="D2" s="1">
        <v>30436.42</v>
      </c>
      <c r="E2" s="1">
        <v>0</v>
      </c>
      <c r="F2" s="1">
        <v>340.9</v>
      </c>
      <c r="G2" s="1">
        <v>21110.42</v>
      </c>
      <c r="H2" s="11">
        <f>SUM(G2-(_xlfn.XLOOKUP(A2,MASTERCARD!AI:AI,MASTERCARD!AJ:AJ)))</f>
        <v>-3.637978807091713E-12</v>
      </c>
      <c r="I2" s="1">
        <v>2971</v>
      </c>
      <c r="J2" s="11">
        <f>SUM(I2-(_xlfn.XLOOKUP(A2,AMEX!Z:Z,AMEX!AA:AA)))</f>
        <v>0</v>
      </c>
      <c r="K2" s="1">
        <v>1253.9000000000001</v>
      </c>
      <c r="L2" s="11">
        <f>SUM(K2-(_xlfn.XLOOKUP(A2,DINERS!B:B,DINERS!C:C)))</f>
        <v>0</v>
      </c>
      <c r="M2" s="1">
        <v>0</v>
      </c>
      <c r="N2" s="1">
        <v>0</v>
      </c>
      <c r="O2" s="1">
        <v>0</v>
      </c>
      <c r="P2" s="1">
        <v>0</v>
      </c>
      <c r="Q2" s="1">
        <v>79</v>
      </c>
      <c r="R2" s="1">
        <v>489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2425</v>
      </c>
      <c r="AB2" s="1">
        <v>0</v>
      </c>
      <c r="AC2" s="1">
        <v>1767.2</v>
      </c>
      <c r="AD2" s="1">
        <v>60531.94</v>
      </c>
    </row>
    <row r="3" spans="1:30">
      <c r="A3" s="2">
        <v>46114</v>
      </c>
      <c r="B3" t="s">
        <v>27</v>
      </c>
      <c r="C3" t="s">
        <v>28</v>
      </c>
      <c r="D3" s="1">
        <v>36549.599999999999</v>
      </c>
      <c r="E3" s="1">
        <v>0</v>
      </c>
      <c r="F3" s="1">
        <v>2058.8000000000002</v>
      </c>
      <c r="G3" s="1">
        <v>30496.799999999999</v>
      </c>
      <c r="H3" s="11">
        <f>SUM(G3-(_xlfn.XLOOKUP(A3,MASTERCARD!AI:AI,MASTERCARD!AJ:AJ)))</f>
        <v>-3.637978807091713E-12</v>
      </c>
      <c r="I3" s="1">
        <v>0</v>
      </c>
      <c r="J3" s="11" t="e">
        <f>SUM(I3-(_xlfn.XLOOKUP(A3,AMEX!Z:Z,AMEX!AA:AA)))</f>
        <v>#N/A</v>
      </c>
      <c r="K3" s="1">
        <v>0</v>
      </c>
      <c r="L3" s="11" t="e">
        <f>SUM(K3-(_xlfn.XLOOKUP(A3,DINERS!B:B,DINERS!C:C)))</f>
        <v>#N/A</v>
      </c>
      <c r="M3" s="1">
        <v>0</v>
      </c>
      <c r="N3" s="1">
        <v>0</v>
      </c>
      <c r="O3" s="1">
        <v>0</v>
      </c>
      <c r="P3" s="1">
        <v>0</v>
      </c>
      <c r="Q3" s="1">
        <v>140</v>
      </c>
      <c r="R3" s="1">
        <v>1137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1699</v>
      </c>
      <c r="AB3" s="1">
        <v>0</v>
      </c>
      <c r="AC3" s="1">
        <v>849</v>
      </c>
      <c r="AD3" s="1">
        <v>70702.399999999994</v>
      </c>
    </row>
    <row r="4" spans="1:30">
      <c r="A4" s="2">
        <v>46115</v>
      </c>
      <c r="B4" t="s">
        <v>27</v>
      </c>
      <c r="C4" t="s">
        <v>28</v>
      </c>
      <c r="D4" s="1">
        <v>17255.599999999999</v>
      </c>
      <c r="E4" s="1">
        <v>0</v>
      </c>
      <c r="F4" s="1">
        <v>1864.8</v>
      </c>
      <c r="G4" s="1">
        <v>10037.9</v>
      </c>
      <c r="H4" s="11">
        <f>SUM(G4-(_xlfn.XLOOKUP(A4,MASTERCARD!AI:AI,MASTERCARD!AJ:AJ)))</f>
        <v>0</v>
      </c>
      <c r="I4" s="1">
        <v>632.1</v>
      </c>
      <c r="J4" s="11">
        <f>SUM(I4-(_xlfn.XLOOKUP(A4,AMEX!Z:Z,AMEX!AA:AA)))</f>
        <v>0</v>
      </c>
      <c r="K4" s="1">
        <v>408</v>
      </c>
      <c r="L4" s="11">
        <f>SUM(K4-(_xlfn.XLOOKUP(A4,DINERS!B:B,DINERS!C:C)))</f>
        <v>0</v>
      </c>
      <c r="M4" s="1">
        <v>0</v>
      </c>
      <c r="N4" s="1">
        <v>0</v>
      </c>
      <c r="O4" s="1">
        <v>0</v>
      </c>
      <c r="P4" s="1">
        <v>0</v>
      </c>
      <c r="Q4" s="1">
        <v>114.8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4198</v>
      </c>
      <c r="AB4" s="1">
        <v>0</v>
      </c>
      <c r="AC4" s="1">
        <v>0</v>
      </c>
      <c r="AD4" s="1">
        <v>32646.400000000001</v>
      </c>
    </row>
    <row r="5" spans="1:30">
      <c r="A5" s="2">
        <v>46116</v>
      </c>
      <c r="B5" t="s">
        <v>27</v>
      </c>
      <c r="C5" t="s">
        <v>28</v>
      </c>
      <c r="D5" s="1">
        <v>32244.22</v>
      </c>
      <c r="E5" s="1">
        <v>0</v>
      </c>
      <c r="F5" s="1">
        <v>567.75</v>
      </c>
      <c r="G5" s="1">
        <v>28652.22</v>
      </c>
      <c r="H5" s="11">
        <f>SUM(G5-(_xlfn.XLOOKUP(A5,MASTERCARD!AI:AI,MASTERCARD!AJ:AJ)))</f>
        <v>-7.2759576141834259E-12</v>
      </c>
      <c r="I5" s="1">
        <v>1537</v>
      </c>
      <c r="J5" s="11">
        <f>SUM(I5-(_xlfn.XLOOKUP(A5,AMEX!Z:Z,AMEX!AA:AA)))</f>
        <v>0</v>
      </c>
      <c r="K5" s="1">
        <v>0</v>
      </c>
      <c r="L5" s="11" t="e">
        <f>SUM(K5-(_xlfn.XLOOKUP(A5,DINERS!B:B,DINERS!C:C)))</f>
        <v>#N/A</v>
      </c>
      <c r="M5" s="1">
        <v>0</v>
      </c>
      <c r="N5" s="1">
        <v>0</v>
      </c>
      <c r="O5" s="1">
        <v>0</v>
      </c>
      <c r="P5" s="1">
        <v>0</v>
      </c>
      <c r="Q5" s="1">
        <v>1050</v>
      </c>
      <c r="R5" s="1">
        <v>299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149.25</v>
      </c>
      <c r="Z5" s="1">
        <v>0</v>
      </c>
      <c r="AA5" s="1">
        <v>0</v>
      </c>
      <c r="AB5" s="1">
        <v>0</v>
      </c>
      <c r="AC5" s="1">
        <v>189</v>
      </c>
      <c r="AD5" s="1">
        <v>64131.69</v>
      </c>
    </row>
    <row r="6" spans="1:30">
      <c r="A6" s="2">
        <v>46117</v>
      </c>
      <c r="B6" t="s">
        <v>27</v>
      </c>
      <c r="C6" t="s">
        <v>28</v>
      </c>
      <c r="D6" s="1">
        <v>23136.55</v>
      </c>
      <c r="E6" s="1">
        <v>0</v>
      </c>
      <c r="F6" s="1">
        <v>507.9</v>
      </c>
      <c r="G6" s="1">
        <v>16469.599999999999</v>
      </c>
      <c r="H6" s="11">
        <f>SUM(G6-(_xlfn.XLOOKUP(A6,MASTERCARD!AI:AI,MASTERCARD!AJ:AJ)))</f>
        <v>0</v>
      </c>
      <c r="I6" s="1">
        <v>149</v>
      </c>
      <c r="J6" s="11">
        <f>SUM(I6-(_xlfn.XLOOKUP(A6,AMEX!Z:Z,AMEX!AA:AA)))</f>
        <v>0</v>
      </c>
      <c r="K6" s="1">
        <v>1008</v>
      </c>
      <c r="L6" s="11">
        <f>SUM(K6-(_xlfn.XLOOKUP(A6,DINERS!B:B,DINERS!C:C)))</f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768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2525</v>
      </c>
      <c r="AB6" s="1">
        <v>0</v>
      </c>
      <c r="AC6" s="1">
        <v>0</v>
      </c>
      <c r="AD6" s="1">
        <v>42347.1</v>
      </c>
    </row>
    <row r="7" spans="1:30">
      <c r="A7" s="2">
        <v>46118</v>
      </c>
      <c r="B7" t="s">
        <v>27</v>
      </c>
      <c r="C7" t="s">
        <v>28</v>
      </c>
      <c r="D7" s="1">
        <v>21052.3</v>
      </c>
      <c r="E7" s="1">
        <v>0</v>
      </c>
      <c r="F7" s="1">
        <v>1014</v>
      </c>
      <c r="G7" s="1">
        <v>15675.3</v>
      </c>
      <c r="H7" s="32">
        <f>SUM(G7-(_xlfn.XLOOKUP(A7,MASTERCARD!AI:AI,MASTERCARD!AJ:AJ)))</f>
        <v>586</v>
      </c>
      <c r="I7" s="1">
        <v>1851</v>
      </c>
      <c r="J7" s="11">
        <f>SUM(I7-(_xlfn.XLOOKUP(A7,AMEX!Z:Z,AMEX!AA:AA)))</f>
        <v>-586</v>
      </c>
      <c r="K7" s="1">
        <v>1799</v>
      </c>
      <c r="L7" s="11">
        <f>SUM(K7-(_xlfn.XLOOKUP(A7,DINERS!B:B,DINERS!C:C)))</f>
        <v>0</v>
      </c>
      <c r="M7" s="1">
        <v>0</v>
      </c>
      <c r="N7" s="1">
        <v>0</v>
      </c>
      <c r="O7" s="1">
        <v>0</v>
      </c>
      <c r="P7" s="1">
        <v>0</v>
      </c>
      <c r="Q7" s="1">
        <v>627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40918.6</v>
      </c>
    </row>
    <row r="8" spans="1:30">
      <c r="A8" s="2">
        <v>46119</v>
      </c>
      <c r="B8" t="s">
        <v>27</v>
      </c>
      <c r="C8" t="s">
        <v>28</v>
      </c>
      <c r="D8" s="1">
        <v>30724</v>
      </c>
      <c r="E8" s="1">
        <v>0</v>
      </c>
      <c r="F8" s="1">
        <v>1759.9</v>
      </c>
      <c r="G8" s="1">
        <v>20674.099999999999</v>
      </c>
      <c r="H8" s="11">
        <f>SUM(G8-(_xlfn.XLOOKUP(A8,MASTERCARD!AI:AI,MASTERCARD!AJ:AJ)))</f>
        <v>0</v>
      </c>
      <c r="I8" s="1">
        <v>549</v>
      </c>
      <c r="J8" s="11">
        <f>SUM(I8-(_xlfn.XLOOKUP(A8,AMEX!Z:Z,AMEX!AA:AA)))</f>
        <v>0</v>
      </c>
      <c r="K8" s="1">
        <v>0</v>
      </c>
      <c r="L8" s="11" t="e">
        <f>SUM(K8-(_xlfn.XLOOKUP(A8,DINERS!B:B,DINERS!C:C)))</f>
        <v>#N/A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388</v>
      </c>
      <c r="Z8" s="1">
        <v>0</v>
      </c>
      <c r="AA8" s="1">
        <v>150</v>
      </c>
      <c r="AB8" s="1">
        <v>0</v>
      </c>
      <c r="AC8" s="1">
        <v>2423</v>
      </c>
      <c r="AD8" s="1">
        <v>50128.1</v>
      </c>
    </row>
    <row r="9" spans="1:30">
      <c r="A9" s="2">
        <v>46120</v>
      </c>
      <c r="B9" t="s">
        <v>27</v>
      </c>
      <c r="C9" t="s">
        <v>28</v>
      </c>
      <c r="D9" s="1">
        <v>26796.3</v>
      </c>
      <c r="E9" s="1">
        <v>0</v>
      </c>
      <c r="F9" s="1">
        <v>3775.9</v>
      </c>
      <c r="G9" s="1">
        <v>15624.75</v>
      </c>
      <c r="H9" s="11">
        <f>SUM(G9-(_xlfn.XLOOKUP(A9,MASTERCARD!AI:AI,MASTERCARD!AJ:AJ)))</f>
        <v>1.8189894035458565E-12</v>
      </c>
      <c r="I9" s="1">
        <v>269</v>
      </c>
      <c r="J9" s="11">
        <f>SUM(I9-(_xlfn.XLOOKUP(A9,AMEX!Z:Z,AMEX!AA:AA)))</f>
        <v>0</v>
      </c>
      <c r="K9" s="1">
        <v>0</v>
      </c>
      <c r="L9" s="11" t="e">
        <f>SUM(K9-(_xlfn.XLOOKUP(A9,DINERS!B:B,DINERS!C:C)))</f>
        <v>#N/A</v>
      </c>
      <c r="M9" s="1">
        <v>0</v>
      </c>
      <c r="N9" s="1">
        <v>0</v>
      </c>
      <c r="O9" s="1">
        <v>0</v>
      </c>
      <c r="P9" s="1">
        <v>0</v>
      </c>
      <c r="Q9" s="1">
        <v>847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786.75</v>
      </c>
      <c r="Z9" s="1">
        <v>0</v>
      </c>
      <c r="AA9" s="1">
        <v>0</v>
      </c>
      <c r="AB9" s="1">
        <v>0</v>
      </c>
      <c r="AC9" s="1">
        <v>2014.9</v>
      </c>
      <c r="AD9" s="1">
        <v>42860.7</v>
      </c>
    </row>
    <row r="10" spans="1:30">
      <c r="A10" s="2">
        <v>46121</v>
      </c>
      <c r="B10" t="s">
        <v>27</v>
      </c>
      <c r="C10" t="s">
        <v>28</v>
      </c>
      <c r="D10" s="1">
        <v>19119.099999999999</v>
      </c>
      <c r="E10" s="1">
        <v>0</v>
      </c>
      <c r="F10" s="1">
        <v>452</v>
      </c>
      <c r="G10" s="1">
        <v>10614.75</v>
      </c>
      <c r="H10" s="11">
        <f>SUM(G10-(_xlfn.XLOOKUP(A10,MASTERCARD!AI:AI,MASTERCARD!AJ:AJ)))</f>
        <v>1.8189894035458565E-12</v>
      </c>
      <c r="I10" s="1">
        <v>69</v>
      </c>
      <c r="J10" s="11">
        <f>SUM(I10-(_xlfn.XLOOKUP(A10,AMEX!Z:Z,AMEX!AA:AA)))</f>
        <v>0</v>
      </c>
      <c r="K10" s="1">
        <v>0</v>
      </c>
      <c r="L10" s="11" t="e">
        <f>SUM(K10-(_xlfn.XLOOKUP(A10,DINERS!B:B,DINERS!C:C)))</f>
        <v>#N/A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1454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1109.25</v>
      </c>
      <c r="Z10" s="1">
        <v>0</v>
      </c>
      <c r="AA10" s="1">
        <v>1599</v>
      </c>
      <c r="AB10" s="1">
        <v>0</v>
      </c>
      <c r="AC10" s="1">
        <v>3500.2</v>
      </c>
      <c r="AD10" s="1">
        <v>37144.400000000001</v>
      </c>
    </row>
    <row r="11" spans="1:30">
      <c r="A11" s="2">
        <v>46122</v>
      </c>
      <c r="B11" t="s">
        <v>27</v>
      </c>
      <c r="C11" t="s">
        <v>28</v>
      </c>
      <c r="D11" s="1">
        <v>18671.57</v>
      </c>
      <c r="E11" s="1">
        <v>0</v>
      </c>
      <c r="F11" s="1">
        <v>576</v>
      </c>
      <c r="G11" s="1">
        <v>12470.6</v>
      </c>
      <c r="H11" s="11">
        <f>SUM(G11-(_xlfn.XLOOKUP(A11,MASTERCARD!AI:AI,MASTERCARD!AJ:AJ)))</f>
        <v>79.500000000001819</v>
      </c>
      <c r="I11" s="1">
        <v>1768</v>
      </c>
      <c r="J11" s="11">
        <f>SUM(I11-(_xlfn.XLOOKUP(A11,AMEX!Z:Z,AMEX!AA:AA)))</f>
        <v>0</v>
      </c>
      <c r="K11" s="1">
        <v>53</v>
      </c>
      <c r="L11" s="11">
        <f>SUM(K11-(_xlfn.XLOOKUP(A11,DINERS!B:B,DINERS!C:C)))</f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>
      <c r="A12" s="2">
        <v>46123</v>
      </c>
      <c r="B12" t="s">
        <v>27</v>
      </c>
      <c r="C12" t="s">
        <v>28</v>
      </c>
      <c r="D12" s="1">
        <v>38579.300000000003</v>
      </c>
      <c r="E12" s="1">
        <v>0</v>
      </c>
      <c r="F12" s="1">
        <v>2665</v>
      </c>
      <c r="G12" s="1">
        <v>25611.3</v>
      </c>
      <c r="H12" s="11">
        <f>SUM(G12-(_xlfn.XLOOKUP(A12,MASTERCARD!AI:AI,MASTERCARD!AJ:AJ)))</f>
        <v>0</v>
      </c>
      <c r="I12" s="1">
        <v>0</v>
      </c>
      <c r="J12" s="11" t="e">
        <f>SUM(I12-(_xlfn.XLOOKUP(A12,AMEX!Z:Z,AMEX!AA:AA)))</f>
        <v>#N/A</v>
      </c>
      <c r="K12" s="1">
        <v>0</v>
      </c>
      <c r="L12" s="11" t="e">
        <f>SUM(K12-(_xlfn.XLOOKUP(A12,DINERS!B:B,DINERS!C:C)))</f>
        <v>#N/A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>
      <c r="A13" s="2">
        <v>46124</v>
      </c>
      <c r="B13" t="s">
        <v>27</v>
      </c>
      <c r="C13" t="s">
        <v>28</v>
      </c>
      <c r="D13" s="1">
        <v>21986.799999999999</v>
      </c>
      <c r="E13" s="1">
        <v>0</v>
      </c>
      <c r="F13" s="1">
        <v>0</v>
      </c>
      <c r="G13" s="1">
        <v>21235.8</v>
      </c>
      <c r="H13" s="11">
        <f>SUM(G13-(_xlfn.XLOOKUP(A13,MASTERCARD!AI:AI,MASTERCARD!AJ:AJ)))</f>
        <v>105</v>
      </c>
      <c r="I13" s="1">
        <v>0</v>
      </c>
      <c r="J13" s="11">
        <f>SUM(I13-(_xlfn.XLOOKUP(A13,AMEX!Z:Z,AMEX!AA:AA)))</f>
        <v>-105</v>
      </c>
      <c r="K13" s="1">
        <v>0</v>
      </c>
      <c r="L13" s="11" t="e">
        <f>SUM(K13-(_xlfn.XLOOKUP(A13,DINERS!B:B,DINERS!C:C)))</f>
        <v>#N/A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>
      <c r="A14" s="2">
        <v>46125</v>
      </c>
      <c r="B14" t="s">
        <v>27</v>
      </c>
      <c r="C14" t="s">
        <v>28</v>
      </c>
      <c r="D14" s="1">
        <v>23318.400000000001</v>
      </c>
      <c r="E14" s="1">
        <v>0</v>
      </c>
      <c r="F14" s="1">
        <v>2027.9</v>
      </c>
      <c r="G14" s="1">
        <v>15823.54</v>
      </c>
      <c r="H14" s="11">
        <f>SUM(G14-(_xlfn.XLOOKUP(A14,MASTERCARD!AI:AI,MASTERCARD!AJ:AJ)))</f>
        <v>3.637978807091713E-12</v>
      </c>
      <c r="I14" s="1">
        <v>159</v>
      </c>
      <c r="J14" s="11">
        <f>SUM(I14-(_xlfn.XLOOKUP(A14,AMEX!Z:Z,AMEX!AA:AA)))</f>
        <v>0</v>
      </c>
      <c r="K14" s="1">
        <v>1008</v>
      </c>
      <c r="L14" s="11">
        <f>SUM(K14-(_xlfn.XLOOKUP(A14,DINERS!B:B,DINERS!C:C)))</f>
        <v>0</v>
      </c>
    </row>
    <row r="15" spans="1:30">
      <c r="A15" s="2">
        <v>46126</v>
      </c>
      <c r="B15" t="s">
        <v>27</v>
      </c>
      <c r="C15" t="s">
        <v>28</v>
      </c>
      <c r="D15" s="1">
        <v>17173.400000000001</v>
      </c>
      <c r="E15" s="1">
        <v>0</v>
      </c>
      <c r="F15" s="1">
        <v>518.9</v>
      </c>
      <c r="G15" s="1">
        <v>11756.5</v>
      </c>
      <c r="H15" s="11">
        <f>SUM(G15-(_xlfn.XLOOKUP(A15,MASTERCARD!AI:AI,MASTERCARD!AJ:AJ)))</f>
        <v>0</v>
      </c>
      <c r="I15" s="1">
        <v>0</v>
      </c>
      <c r="J15" s="11" t="e">
        <f>SUM(I15-(_xlfn.XLOOKUP(A15,AMEX!Z:Z,AMEX!AA:AA)))</f>
        <v>#N/A</v>
      </c>
      <c r="K15" s="1">
        <v>0</v>
      </c>
      <c r="L15" s="11" t="e">
        <f>SUM(K15-(_xlfn.XLOOKUP(A15,DINERS!B:B,DINERS!C:C)))</f>
        <v>#N/A</v>
      </c>
    </row>
    <row r="16" spans="1:30">
      <c r="A16" s="2">
        <v>46127</v>
      </c>
      <c r="B16" t="s">
        <v>27</v>
      </c>
      <c r="C16" t="s">
        <v>28</v>
      </c>
      <c r="D16" s="1">
        <v>25945.5</v>
      </c>
      <c r="E16" s="1">
        <v>0</v>
      </c>
      <c r="F16" s="1">
        <v>5739.9</v>
      </c>
      <c r="G16" s="1">
        <v>12781.6</v>
      </c>
      <c r="H16" s="11">
        <f>SUM(G16-(_xlfn.XLOOKUP(A16,MASTERCARD!AI:AI,MASTERCARD!AJ:AJ)))</f>
        <v>1.8189894035458565E-12</v>
      </c>
      <c r="I16" s="1">
        <v>298</v>
      </c>
      <c r="J16" s="11">
        <f>SUM(I16-(_xlfn.XLOOKUP(A16,AMEX!Z:Z,AMEX!AA:AA)))</f>
        <v>0</v>
      </c>
      <c r="K16" s="1">
        <v>0</v>
      </c>
      <c r="L16" s="11" t="e">
        <f>SUM(K16-(_xlfn.XLOOKUP(A16,DINERS!B:B,DINERS!C:C)))</f>
        <v>#N/A</v>
      </c>
    </row>
    <row r="17" spans="1:12">
      <c r="A17" s="2">
        <v>46128</v>
      </c>
      <c r="B17" t="s">
        <v>27</v>
      </c>
      <c r="C17" t="s">
        <v>28</v>
      </c>
      <c r="D17" s="1">
        <v>19497.400000000001</v>
      </c>
      <c r="E17" s="1">
        <v>0</v>
      </c>
      <c r="F17" s="1">
        <v>369</v>
      </c>
      <c r="G17" s="1">
        <v>13522.2</v>
      </c>
      <c r="H17" s="11">
        <f>SUM(G17-(_xlfn.XLOOKUP(A17,MASTERCARD!AI:AI,MASTERCARD!AJ:AJ)))</f>
        <v>3.637978807091713E-12</v>
      </c>
      <c r="I17" s="1">
        <v>243</v>
      </c>
      <c r="J17" s="11">
        <f>SUM(I17-(_xlfn.XLOOKUP(A17,AMEX!Z:Z,AMEX!AA:AA)))</f>
        <v>0</v>
      </c>
      <c r="K17" s="1">
        <v>1299</v>
      </c>
      <c r="L17" s="11">
        <f>SUM(K17-(_xlfn.XLOOKUP(A17,DINERS!B:B,DINERS!C:C)))</f>
        <v>0</v>
      </c>
    </row>
    <row r="18" spans="1:12">
      <c r="A18" s="2">
        <v>46129</v>
      </c>
      <c r="B18" t="s">
        <v>27</v>
      </c>
      <c r="C18" t="s">
        <v>28</v>
      </c>
      <c r="D18" s="1">
        <v>22809.14</v>
      </c>
      <c r="E18" s="1">
        <v>0</v>
      </c>
      <c r="F18" s="1">
        <v>1917</v>
      </c>
      <c r="G18" s="1">
        <v>15231.79</v>
      </c>
      <c r="H18" s="11">
        <f>SUM(G18-(_xlfn.XLOOKUP(A18,MASTERCARD!AI:AI,MASTERCARD!AJ:AJ)))</f>
        <v>3.637978807091713E-12</v>
      </c>
      <c r="I18" s="1">
        <v>49</v>
      </c>
      <c r="J18" s="11">
        <f>SUM(I18-(_xlfn.XLOOKUP(A18,AMEX!Z:Z,AMEX!AA:AA)))</f>
        <v>0</v>
      </c>
      <c r="K18" s="1">
        <v>0</v>
      </c>
      <c r="L18" s="11" t="e">
        <f>SUM(K18-(_xlfn.XLOOKUP(A18,DINERS!B:B,DINERS!C:C)))</f>
        <v>#N/A</v>
      </c>
    </row>
    <row r="19" spans="1:12">
      <c r="A19" s="2">
        <v>46130</v>
      </c>
      <c r="B19" t="s">
        <v>27</v>
      </c>
      <c r="C19" t="s">
        <v>28</v>
      </c>
      <c r="D19" s="1">
        <v>32170</v>
      </c>
      <c r="E19" s="1">
        <v>0</v>
      </c>
      <c r="F19" s="1">
        <v>272</v>
      </c>
      <c r="G19" s="1">
        <v>20935.7</v>
      </c>
      <c r="H19" s="11">
        <f>SUM(G19-(_xlfn.XLOOKUP(A19,MASTERCARD!AI:AI,MASTERCARD!AJ:AJ)))</f>
        <v>0</v>
      </c>
      <c r="I19" s="1">
        <v>1687.9</v>
      </c>
      <c r="J19" s="11">
        <f>SUM(I19-(_xlfn.XLOOKUP(A19,AMEX!Z:Z,AMEX!AA:AA)))</f>
        <v>-450</v>
      </c>
      <c r="K19" s="1">
        <v>108.9</v>
      </c>
      <c r="L19" s="11">
        <f>SUM(K19-(_xlfn.XLOOKUP(A19,DINERS!B:B,DINERS!C:C)))</f>
        <v>0</v>
      </c>
    </row>
    <row r="20" spans="1:12">
      <c r="A20" s="2">
        <v>46131</v>
      </c>
      <c r="B20" t="s">
        <v>27</v>
      </c>
      <c r="C20" t="s">
        <v>28</v>
      </c>
      <c r="D20" s="1">
        <v>21138.3</v>
      </c>
      <c r="E20" s="1">
        <v>0</v>
      </c>
      <c r="F20" s="1">
        <v>1148</v>
      </c>
      <c r="G20" s="1">
        <v>18685.3</v>
      </c>
      <c r="H20" s="11">
        <f>SUM(G20-(_xlfn.XLOOKUP(A20,MASTERCARD!AI:AI,MASTERCARD!AJ:AJ)))</f>
        <v>0</v>
      </c>
      <c r="I20" s="1">
        <v>189</v>
      </c>
      <c r="J20" s="11">
        <f>SUM(I20-(_xlfn.XLOOKUP(A20,AMEX!Z:Z,AMEX!AA:AA)))</f>
        <v>0</v>
      </c>
      <c r="K20" s="1">
        <v>178</v>
      </c>
      <c r="L20" s="11">
        <f>SUM(K20-(_xlfn.XLOOKUP(A20,DINERS!B:B,DINERS!C:C)))</f>
        <v>0</v>
      </c>
    </row>
    <row r="21" spans="1:12">
      <c r="A21" s="2">
        <v>46132</v>
      </c>
      <c r="B21" t="s">
        <v>27</v>
      </c>
      <c r="C21" t="s">
        <v>28</v>
      </c>
      <c r="D21" s="1">
        <v>22673.5</v>
      </c>
      <c r="E21" s="1">
        <v>0</v>
      </c>
      <c r="F21" s="1">
        <v>2903.9</v>
      </c>
      <c r="G21" s="1">
        <v>11028.6</v>
      </c>
      <c r="H21" s="11">
        <f>SUM(G21-(_xlfn.XLOOKUP(A21,MASTERCARD!AI:AI,MASTERCARD!AJ:AJ)))</f>
        <v>1.8189894035458565E-12</v>
      </c>
      <c r="I21" s="1">
        <v>69</v>
      </c>
      <c r="J21" s="11">
        <f>SUM(I21-(_xlfn.XLOOKUP(A21,AMEX!Z:Z,AMEX!AA:AA)))</f>
        <v>0</v>
      </c>
      <c r="K21" s="1">
        <v>849</v>
      </c>
      <c r="L21" s="11">
        <f>SUM(K21-(_xlfn.XLOOKUP(A21,DINERS!B:B,DINERS!C:C)))</f>
        <v>0</v>
      </c>
    </row>
    <row r="22" spans="1:12">
      <c r="A22" s="2">
        <v>46133</v>
      </c>
      <c r="B22" t="s">
        <v>27</v>
      </c>
      <c r="C22" t="s">
        <v>28</v>
      </c>
      <c r="D22" s="1">
        <v>33555.800000000003</v>
      </c>
      <c r="E22" s="1">
        <v>0</v>
      </c>
      <c r="F22" s="1">
        <v>1095.25</v>
      </c>
      <c r="G22" s="1">
        <v>19560.599999999999</v>
      </c>
      <c r="H22" s="11">
        <f>SUM(G22-(_xlfn.XLOOKUP(A22,MASTERCARD!AI:AI,MASTERCARD!AJ:AJ)))</f>
        <v>0</v>
      </c>
      <c r="I22" s="1">
        <v>17.899999999999999</v>
      </c>
      <c r="J22" s="11">
        <f>SUM(I22-(_xlfn.XLOOKUP(A22,AMEX!Z:Z,AMEX!AA:AA)))</f>
        <v>0</v>
      </c>
      <c r="K22" s="1">
        <v>1399</v>
      </c>
      <c r="L22" s="11">
        <f>SUM(K22-(_xlfn.XLOOKUP(A22,DINERS!B:B,DINERS!C:C)))</f>
        <v>0</v>
      </c>
    </row>
    <row r="23" spans="1:12">
      <c r="A23" s="2">
        <v>46134</v>
      </c>
      <c r="B23" t="s">
        <v>27</v>
      </c>
      <c r="C23" t="s">
        <v>28</v>
      </c>
      <c r="D23" s="1">
        <v>23266.799999999999</v>
      </c>
      <c r="E23" s="1">
        <v>0</v>
      </c>
      <c r="F23" s="1">
        <v>404</v>
      </c>
      <c r="G23" s="1">
        <v>15922.05</v>
      </c>
      <c r="H23" s="11">
        <f>SUM(G23-(_xlfn.XLOOKUP(A23,MASTERCARD!AI:AI,MASTERCARD!AJ:AJ)))</f>
        <v>0</v>
      </c>
      <c r="I23" s="1">
        <v>0</v>
      </c>
      <c r="J23" s="11" t="e">
        <f>SUM(I23-(_xlfn.XLOOKUP(A23,AMEX!Z:Z,AMEX!AA:AA)))</f>
        <v>#N/A</v>
      </c>
      <c r="K23" s="1">
        <v>0</v>
      </c>
      <c r="L23" s="11" t="e">
        <f>SUM(K23-(_xlfn.XLOOKUP(A23,DINERS!B:B,DINERS!C:C)))</f>
        <v>#N/A</v>
      </c>
    </row>
    <row r="24" spans="1:12">
      <c r="A24" s="2">
        <v>46135</v>
      </c>
      <c r="B24" t="s">
        <v>27</v>
      </c>
      <c r="C24" t="s">
        <v>28</v>
      </c>
      <c r="D24" s="1">
        <v>26048.5</v>
      </c>
      <c r="E24" s="1">
        <v>0</v>
      </c>
      <c r="F24" s="1">
        <v>1315.5</v>
      </c>
      <c r="G24" s="1">
        <v>21716.9</v>
      </c>
      <c r="H24" s="11">
        <f>SUM(G24-(_xlfn.XLOOKUP(A24,MASTERCARD!AI:AI,MASTERCARD!AJ:AJ)))</f>
        <v>-3.637978807091713E-12</v>
      </c>
      <c r="I24" s="1">
        <v>178</v>
      </c>
      <c r="J24" s="11">
        <f>SUM(I24-(_xlfn.XLOOKUP(A24,AMEX!Z:Z,AMEX!AA:AA)))</f>
        <v>0</v>
      </c>
      <c r="K24" s="1">
        <v>0</v>
      </c>
      <c r="L24" s="11" t="e">
        <f>SUM(K24-(_xlfn.XLOOKUP(A24,DINERS!B:B,DINERS!C:C)))</f>
        <v>#N/A</v>
      </c>
    </row>
    <row r="25" spans="1:12">
      <c r="A25" s="2">
        <v>46136</v>
      </c>
      <c r="B25" t="s">
        <v>27</v>
      </c>
      <c r="C25" t="s">
        <v>28</v>
      </c>
      <c r="D25" s="1">
        <v>21919.599999999999</v>
      </c>
      <c r="E25" s="1">
        <v>0</v>
      </c>
      <c r="F25" s="1">
        <v>2352</v>
      </c>
      <c r="G25" s="1">
        <v>16286.5</v>
      </c>
      <c r="H25" s="11">
        <f>SUM(G25-(_xlfn.XLOOKUP(A25,MASTERCARD!AI:AI,MASTERCARD!AJ:AJ)))</f>
        <v>1.8189894035458565E-12</v>
      </c>
      <c r="I25" s="1">
        <v>408</v>
      </c>
      <c r="J25" s="11">
        <f>SUM(I25-(_xlfn.XLOOKUP(A25,AMEX!Z:Z,AMEX!AA:AA)))</f>
        <v>0</v>
      </c>
      <c r="K25" s="1">
        <v>0</v>
      </c>
      <c r="L25" s="11" t="e">
        <f>SUM(K25-(_xlfn.XLOOKUP(A25,DINERS!B:B,DINERS!C:C)))</f>
        <v>#N/A</v>
      </c>
    </row>
    <row r="26" spans="1:12">
      <c r="A26" s="2">
        <v>46137</v>
      </c>
      <c r="B26" t="s">
        <v>27</v>
      </c>
      <c r="C26" t="s">
        <v>28</v>
      </c>
      <c r="D26" s="1">
        <v>32098.799999999999</v>
      </c>
      <c r="E26" s="1">
        <v>0</v>
      </c>
      <c r="F26" s="1">
        <v>587.9</v>
      </c>
      <c r="G26" s="1">
        <v>16270.65</v>
      </c>
      <c r="H26" s="11">
        <f>SUM(G26-(_xlfn.XLOOKUP(A26,MASTERCARD!AI:AI,MASTERCARD!AJ:AJ)))</f>
        <v>-27.499999999998181</v>
      </c>
      <c r="I26" s="1">
        <v>1448</v>
      </c>
      <c r="J26" s="11">
        <f>SUM(I26-(_xlfn.XLOOKUP(A26,AMEX!Z:Z,AMEX!AA:AA)))</f>
        <v>0</v>
      </c>
      <c r="K26" s="1">
        <v>2222</v>
      </c>
      <c r="L26" s="11">
        <f>SUM(K26-(_xlfn.XLOOKUP(A26,DINERS!B:B,DINERS!C:C)))</f>
        <v>0</v>
      </c>
    </row>
    <row r="27" spans="1:12">
      <c r="A27" s="2">
        <v>46138</v>
      </c>
      <c r="B27" t="s">
        <v>27</v>
      </c>
      <c r="C27" t="s">
        <v>28</v>
      </c>
      <c r="D27" s="1">
        <v>21075.15</v>
      </c>
      <c r="E27" s="1">
        <v>0</v>
      </c>
      <c r="F27" s="1">
        <v>3099</v>
      </c>
      <c r="G27" s="1">
        <v>14822.9</v>
      </c>
      <c r="H27" s="11">
        <f>SUM(G27-(_xlfn.XLOOKUP(A27,MASTERCARD!AI:AI,MASTERCARD!AJ:AJ)))</f>
        <v>0</v>
      </c>
      <c r="I27" s="1">
        <v>0</v>
      </c>
      <c r="J27" s="11" t="e">
        <f>SUM(I27-(_xlfn.XLOOKUP(A27,AMEX!Z:Z,AMEX!AA:AA)))</f>
        <v>#N/A</v>
      </c>
      <c r="K27" s="1">
        <v>299</v>
      </c>
      <c r="L27" s="11">
        <f>SUM(K27-(_xlfn.XLOOKUP(A27,DINERS!B:B,DINERS!C:C)))</f>
        <v>0</v>
      </c>
    </row>
    <row r="28" spans="1:12">
      <c r="A28" s="2">
        <v>46139</v>
      </c>
      <c r="B28" t="s">
        <v>27</v>
      </c>
      <c r="C28" t="s">
        <v>28</v>
      </c>
      <c r="D28" s="1">
        <v>19144.349999999999</v>
      </c>
      <c r="E28" s="1">
        <v>0</v>
      </c>
      <c r="F28" s="1">
        <v>422.9</v>
      </c>
      <c r="G28" s="1">
        <v>14837.4</v>
      </c>
      <c r="H28" s="11">
        <f>SUM(G28-(_xlfn.XLOOKUP(A28,MASTERCARD!AI:AI,MASTERCARD!AJ:AJ)))</f>
        <v>27.5</v>
      </c>
      <c r="I28" s="1">
        <v>567</v>
      </c>
      <c r="J28" s="11">
        <f>SUM(I28-(_xlfn.XLOOKUP(A28,AMEX!Z:Z,AMEX!AA:AA)))</f>
        <v>0</v>
      </c>
      <c r="K28" s="1">
        <v>1038</v>
      </c>
      <c r="L28" s="11">
        <f>SUM(K28-(_xlfn.XLOOKUP(A28,DINERS!B:B,DINERS!C:C)))</f>
        <v>0</v>
      </c>
    </row>
    <row r="29" spans="1:12">
      <c r="A29" s="2">
        <v>46140</v>
      </c>
      <c r="B29" t="s">
        <v>27</v>
      </c>
      <c r="C29" t="s">
        <v>28</v>
      </c>
      <c r="D29" s="1">
        <v>22102.560000000001</v>
      </c>
      <c r="E29" s="1">
        <v>0</v>
      </c>
      <c r="F29" s="1">
        <v>0</v>
      </c>
      <c r="G29" s="1">
        <v>12249.9</v>
      </c>
      <c r="H29" s="11">
        <f>SUM(G29-(_xlfn.XLOOKUP(A29,MASTERCARD!AI:AI,MASTERCARD!AJ:AJ)))</f>
        <v>0</v>
      </c>
      <c r="I29" s="1">
        <v>207</v>
      </c>
      <c r="J29" s="11">
        <f>SUM(I29-(_xlfn.XLOOKUP(A29,AMEX!Z:Z,AMEX!AA:AA)))</f>
        <v>0</v>
      </c>
      <c r="K29" s="1">
        <v>229</v>
      </c>
      <c r="L29" s="11">
        <f>SUM(K29-(_xlfn.XLOOKUP(A29,DINERS!B:B,DINERS!C:C)))</f>
        <v>0</v>
      </c>
    </row>
    <row r="30" spans="1:12">
      <c r="A30" s="2">
        <v>46141</v>
      </c>
      <c r="B30" t="s">
        <v>27</v>
      </c>
      <c r="C30" t="s">
        <v>28</v>
      </c>
      <c r="D30" s="1">
        <v>28955.8</v>
      </c>
      <c r="E30" s="1">
        <v>0</v>
      </c>
      <c r="F30" s="1">
        <v>413.4</v>
      </c>
      <c r="G30" s="1">
        <v>19554.3</v>
      </c>
      <c r="H30" s="11">
        <f>SUM(G30-(_xlfn.XLOOKUP(A30,MASTERCARD!AI:AI,MASTERCARD!AJ:AJ)))</f>
        <v>-3.637978807091713E-12</v>
      </c>
      <c r="I30" s="1">
        <v>506</v>
      </c>
      <c r="J30" s="11" t="e">
        <f>SUM(I30-(_xlfn.XLOOKUP(A30,AMEX!Z:Z,AMEX!AA:AA)))</f>
        <v>#N/A</v>
      </c>
      <c r="K30" s="1">
        <v>0</v>
      </c>
      <c r="L30" s="11" t="e">
        <f>SUM(K30-(_xlfn.XLOOKUP(A30,DINERS!B:B,DINERS!C:C)))</f>
        <v>#N/A</v>
      </c>
    </row>
    <row r="31" spans="1:12">
      <c r="A31" s="2">
        <v>46142</v>
      </c>
      <c r="B31" t="s">
        <v>27</v>
      </c>
      <c r="C31" t="s">
        <v>28</v>
      </c>
      <c r="D31" s="1">
        <v>10545.9</v>
      </c>
      <c r="E31" s="1">
        <v>0</v>
      </c>
      <c r="F31" s="1">
        <v>688</v>
      </c>
      <c r="G31" s="1">
        <v>8556.9</v>
      </c>
      <c r="H31" s="11">
        <f>SUM(G31-(_xlfn.XLOOKUP(A31,MASTERCARD!AI:AI,MASTERCARD!AJ:AJ)))</f>
        <v>69</v>
      </c>
      <c r="I31" s="1">
        <v>138.9</v>
      </c>
      <c r="J31" s="11" t="e">
        <f>SUM(I31-(_xlfn.XLOOKUP(A31,AMEX!Z:Z,AMEX!AA:AA)))</f>
        <v>#N/A</v>
      </c>
      <c r="K31" s="1">
        <v>159</v>
      </c>
      <c r="L31" s="11">
        <f>SUM(K31-(_xlfn.XLOOKUP(A31,DINERS!B:B,DINERS!C:C)))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E81F-1325-4474-9A8E-1A16A3DEBADB}">
  <dimension ref="A1:AP1066"/>
  <sheetViews>
    <sheetView topLeftCell="Q1" zoomScale="55" zoomScaleNormal="55" workbookViewId="0">
      <selection activeCell="AI51" sqref="AI51"/>
    </sheetView>
  </sheetViews>
  <sheetFormatPr baseColWidth="10" defaultRowHeight="14.4"/>
  <cols>
    <col min="15" max="15" width="11.5546875" style="2"/>
    <col min="16" max="16" width="11.5546875" style="1"/>
    <col min="22" max="22" width="16" style="1" customWidth="1"/>
    <col min="23" max="23" width="19.21875" customWidth="1"/>
    <col min="24" max="24" width="20.88671875" customWidth="1"/>
    <col min="25" max="25" width="22.5546875" bestFit="1" customWidth="1"/>
    <col min="26" max="26" width="13" bestFit="1" customWidth="1"/>
    <col min="27" max="27" width="15.21875" bestFit="1" customWidth="1"/>
    <col min="28" max="28" width="14.88671875" bestFit="1" customWidth="1"/>
    <col min="29" max="29" width="16.6640625" bestFit="1" customWidth="1"/>
    <col min="30" max="30" width="10.77734375" bestFit="1" customWidth="1"/>
    <col min="31" max="31" width="10.21875" bestFit="1" customWidth="1"/>
    <col min="32" max="32" width="18.109375" bestFit="1" customWidth="1"/>
    <col min="35" max="35" width="24" bestFit="1" customWidth="1"/>
    <col min="36" max="36" width="20.5546875" style="1" bestFit="1" customWidth="1"/>
  </cols>
  <sheetData>
    <row r="1" spans="1:42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s="2" t="s">
        <v>43</v>
      </c>
      <c r="P1" s="18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s="19" t="s">
        <v>50</v>
      </c>
      <c r="W1" s="29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I1" s="4" t="s">
        <v>536</v>
      </c>
      <c r="AJ1" t="s">
        <v>539</v>
      </c>
      <c r="AM1" s="39" t="s">
        <v>584</v>
      </c>
      <c r="AN1" s="39"/>
      <c r="AO1" s="39"/>
      <c r="AP1" s="39"/>
    </row>
    <row r="2" spans="1:42">
      <c r="A2">
        <v>1023366</v>
      </c>
      <c r="B2" t="s">
        <v>61</v>
      </c>
      <c r="C2" t="s">
        <v>62</v>
      </c>
      <c r="D2" s="2">
        <v>46113</v>
      </c>
      <c r="E2" s="2">
        <v>46113</v>
      </c>
      <c r="G2">
        <v>348</v>
      </c>
      <c r="H2" t="s">
        <v>63</v>
      </c>
      <c r="I2">
        <v>6444</v>
      </c>
      <c r="J2">
        <v>76379</v>
      </c>
      <c r="L2" t="s">
        <v>64</v>
      </c>
      <c r="M2" t="s">
        <v>65</v>
      </c>
      <c r="N2" t="s">
        <v>66</v>
      </c>
      <c r="O2" s="2">
        <v>46113</v>
      </c>
      <c r="P2" s="1">
        <v>150</v>
      </c>
      <c r="Q2" t="s">
        <v>67</v>
      </c>
      <c r="R2">
        <v>4.34</v>
      </c>
      <c r="S2">
        <v>1.71</v>
      </c>
      <c r="T2">
        <v>0.31</v>
      </c>
      <c r="U2">
        <v>145.35</v>
      </c>
      <c r="V2" s="1">
        <v>0</v>
      </c>
      <c r="X2">
        <v>20260406</v>
      </c>
      <c r="Z2" t="s">
        <v>68</v>
      </c>
      <c r="AA2">
        <v>3974527</v>
      </c>
      <c r="AB2" t="s">
        <v>69</v>
      </c>
      <c r="AE2" s="3">
        <v>0.62358796296296293</v>
      </c>
      <c r="AF2" t="s">
        <v>70</v>
      </c>
      <c r="AI2" s="6" t="s">
        <v>67</v>
      </c>
      <c r="AJ2" s="40">
        <v>507377.37000000005</v>
      </c>
    </row>
    <row r="3" spans="1:42">
      <c r="A3">
        <v>1023366</v>
      </c>
      <c r="B3" t="s">
        <v>61</v>
      </c>
      <c r="C3" t="s">
        <v>62</v>
      </c>
      <c r="D3" s="2">
        <v>46113</v>
      </c>
      <c r="E3" s="2">
        <v>46113</v>
      </c>
      <c r="G3">
        <v>348</v>
      </c>
      <c r="H3" t="s">
        <v>63</v>
      </c>
      <c r="I3">
        <v>6474</v>
      </c>
      <c r="J3">
        <v>438970</v>
      </c>
      <c r="K3">
        <v>2</v>
      </c>
      <c r="L3" t="s">
        <v>71</v>
      </c>
      <c r="M3" t="s">
        <v>65</v>
      </c>
      <c r="N3" t="s">
        <v>66</v>
      </c>
      <c r="O3" s="2">
        <v>46113</v>
      </c>
      <c r="P3" s="1">
        <v>179</v>
      </c>
      <c r="Q3" t="s">
        <v>67</v>
      </c>
      <c r="R3">
        <v>5.17</v>
      </c>
      <c r="S3">
        <v>1.41</v>
      </c>
      <c r="T3">
        <v>0.25</v>
      </c>
      <c r="U3">
        <v>173.58</v>
      </c>
      <c r="V3" s="1">
        <v>318.93</v>
      </c>
      <c r="W3" s="2">
        <v>46118</v>
      </c>
      <c r="X3">
        <v>20260406</v>
      </c>
      <c r="Z3" t="s">
        <v>72</v>
      </c>
      <c r="AA3">
        <v>3974527</v>
      </c>
      <c r="AB3" t="s">
        <v>73</v>
      </c>
      <c r="AC3" t="s">
        <v>74</v>
      </c>
      <c r="AE3" s="3">
        <v>0.73394675925925923</v>
      </c>
      <c r="AF3" t="s">
        <v>70</v>
      </c>
      <c r="AI3" s="8">
        <v>46113</v>
      </c>
      <c r="AJ3" s="40">
        <v>21110.420000000002</v>
      </c>
      <c r="AL3">
        <v>104107</v>
      </c>
      <c r="AM3" s="30">
        <f>+V3</f>
        <v>318.93</v>
      </c>
      <c r="AN3" t="str">
        <f>_xlfn.XLOOKUP(V3,Bancos!H:H,Bancos!C:C)</f>
        <v>8224818</v>
      </c>
      <c r="AO3" t="str">
        <f>_xlfn.XLOOKUP(AN3,Bancos!C:C,Bancos!A:A)</f>
        <v>06/04/2026</v>
      </c>
      <c r="AP3" s="12">
        <f>+AO3-W3</f>
        <v>0</v>
      </c>
    </row>
    <row r="4" spans="1:42">
      <c r="A4">
        <v>1023366</v>
      </c>
      <c r="B4" t="s">
        <v>75</v>
      </c>
      <c r="C4" t="s">
        <v>62</v>
      </c>
      <c r="D4" s="2">
        <v>46113</v>
      </c>
      <c r="E4" s="2">
        <v>46113</v>
      </c>
      <c r="G4">
        <v>348</v>
      </c>
      <c r="H4" t="s">
        <v>63</v>
      </c>
      <c r="I4">
        <v>6393</v>
      </c>
      <c r="J4">
        <v>758103</v>
      </c>
      <c r="L4" t="s">
        <v>76</v>
      </c>
      <c r="M4" t="s">
        <v>65</v>
      </c>
      <c r="N4" t="s">
        <v>66</v>
      </c>
      <c r="O4" s="2">
        <v>46113</v>
      </c>
      <c r="P4" s="1">
        <v>2199</v>
      </c>
      <c r="Q4" t="s">
        <v>67</v>
      </c>
      <c r="R4">
        <v>63.55</v>
      </c>
      <c r="S4">
        <v>28.37</v>
      </c>
      <c r="T4">
        <v>5.1100000000000003</v>
      </c>
      <c r="U4">
        <v>2130.34</v>
      </c>
      <c r="V4" s="1">
        <v>0</v>
      </c>
      <c r="X4">
        <v>20260406</v>
      </c>
      <c r="Z4" t="s">
        <v>68</v>
      </c>
      <c r="AA4">
        <v>3974527</v>
      </c>
      <c r="AB4" t="s">
        <v>77</v>
      </c>
      <c r="AE4" s="3">
        <v>0.49068287037037039</v>
      </c>
      <c r="AF4" t="s">
        <v>70</v>
      </c>
      <c r="AI4" s="8">
        <v>46114</v>
      </c>
      <c r="AJ4" s="40">
        <v>30496.800000000003</v>
      </c>
    </row>
    <row r="5" spans="1:42">
      <c r="A5">
        <v>1023366</v>
      </c>
      <c r="B5" t="s">
        <v>75</v>
      </c>
      <c r="C5" t="s">
        <v>62</v>
      </c>
      <c r="D5" s="2">
        <v>46113</v>
      </c>
      <c r="E5" s="2">
        <v>46113</v>
      </c>
      <c r="G5">
        <v>348</v>
      </c>
      <c r="H5" t="s">
        <v>63</v>
      </c>
      <c r="I5">
        <v>6395</v>
      </c>
      <c r="J5">
        <v>89014</v>
      </c>
      <c r="L5" t="s">
        <v>78</v>
      </c>
      <c r="M5" t="s">
        <v>65</v>
      </c>
      <c r="N5" t="s">
        <v>66</v>
      </c>
      <c r="O5" s="2">
        <v>46113</v>
      </c>
      <c r="P5" s="1">
        <v>149</v>
      </c>
      <c r="Q5" t="s">
        <v>67</v>
      </c>
      <c r="R5">
        <v>4.3099999999999996</v>
      </c>
      <c r="S5">
        <v>1.93</v>
      </c>
      <c r="T5">
        <v>0.35</v>
      </c>
      <c r="U5">
        <v>144.34</v>
      </c>
      <c r="V5" s="1">
        <v>0</v>
      </c>
      <c r="X5">
        <v>20260406</v>
      </c>
      <c r="Z5" t="s">
        <v>68</v>
      </c>
      <c r="AA5">
        <v>3974527</v>
      </c>
      <c r="AB5" t="s">
        <v>79</v>
      </c>
      <c r="AE5" s="3">
        <v>0.49327546296296299</v>
      </c>
      <c r="AF5" t="s">
        <v>70</v>
      </c>
      <c r="AI5" s="8">
        <v>46115</v>
      </c>
      <c r="AJ5" s="40">
        <v>10037.9</v>
      </c>
    </row>
    <row r="6" spans="1:42">
      <c r="A6">
        <v>1023366</v>
      </c>
      <c r="B6" t="s">
        <v>75</v>
      </c>
      <c r="C6" t="s">
        <v>62</v>
      </c>
      <c r="D6" s="2">
        <v>46113</v>
      </c>
      <c r="E6" s="2">
        <v>46113</v>
      </c>
      <c r="G6">
        <v>348</v>
      </c>
      <c r="H6" t="s">
        <v>63</v>
      </c>
      <c r="I6">
        <v>6397</v>
      </c>
      <c r="J6">
        <v>175017</v>
      </c>
      <c r="L6" t="s">
        <v>80</v>
      </c>
      <c r="M6" t="s">
        <v>65</v>
      </c>
      <c r="N6" t="s">
        <v>66</v>
      </c>
      <c r="O6" s="2">
        <v>46113</v>
      </c>
      <c r="P6" s="1">
        <v>29.9</v>
      </c>
      <c r="Q6" t="s">
        <v>67</v>
      </c>
      <c r="R6">
        <v>0.86</v>
      </c>
      <c r="S6">
        <v>0.38</v>
      </c>
      <c r="T6">
        <v>7.0000000000000007E-2</v>
      </c>
      <c r="U6">
        <v>28.97</v>
      </c>
      <c r="V6" s="1">
        <v>0</v>
      </c>
      <c r="X6">
        <v>20260406</v>
      </c>
      <c r="Z6" t="s">
        <v>68</v>
      </c>
      <c r="AA6">
        <v>3974527</v>
      </c>
      <c r="AB6" t="s">
        <v>81</v>
      </c>
      <c r="AE6" s="3">
        <v>0.49722222222222223</v>
      </c>
      <c r="AF6" t="s">
        <v>70</v>
      </c>
      <c r="AI6" s="8">
        <v>46116</v>
      </c>
      <c r="AJ6" s="40">
        <v>28652.220000000008</v>
      </c>
    </row>
    <row r="7" spans="1:42">
      <c r="A7">
        <v>1023366</v>
      </c>
      <c r="B7" t="s">
        <v>75</v>
      </c>
      <c r="C7" t="s">
        <v>62</v>
      </c>
      <c r="D7" s="2">
        <v>46113</v>
      </c>
      <c r="E7" s="2">
        <v>46113</v>
      </c>
      <c r="G7">
        <v>348</v>
      </c>
      <c r="H7" t="s">
        <v>63</v>
      </c>
      <c r="I7">
        <v>6399</v>
      </c>
      <c r="J7">
        <v>81178</v>
      </c>
      <c r="L7" t="s">
        <v>82</v>
      </c>
      <c r="M7" t="s">
        <v>65</v>
      </c>
      <c r="N7" t="s">
        <v>66</v>
      </c>
      <c r="O7" s="2">
        <v>46113</v>
      </c>
      <c r="P7" s="1">
        <v>124</v>
      </c>
      <c r="Q7" t="s">
        <v>67</v>
      </c>
      <c r="R7">
        <v>3.58</v>
      </c>
      <c r="S7">
        <v>1.6</v>
      </c>
      <c r="T7">
        <v>0.28999999999999998</v>
      </c>
      <c r="U7">
        <v>120.13</v>
      </c>
      <c r="V7" s="1">
        <v>0</v>
      </c>
      <c r="X7">
        <v>20260406</v>
      </c>
      <c r="Z7" t="s">
        <v>68</v>
      </c>
      <c r="AA7">
        <v>3974527</v>
      </c>
      <c r="AB7" t="s">
        <v>77</v>
      </c>
      <c r="AE7" s="3">
        <v>0.50665509259259256</v>
      </c>
      <c r="AF7" t="s">
        <v>70</v>
      </c>
      <c r="AI7" s="8">
        <v>46117</v>
      </c>
      <c r="AJ7" s="40">
        <v>16469.599999999999</v>
      </c>
    </row>
    <row r="8" spans="1:42">
      <c r="A8">
        <v>1023366</v>
      </c>
      <c r="B8" t="s">
        <v>75</v>
      </c>
      <c r="C8" t="s">
        <v>62</v>
      </c>
      <c r="D8" s="2">
        <v>46113</v>
      </c>
      <c r="E8" s="2">
        <v>46113</v>
      </c>
      <c r="G8">
        <v>348</v>
      </c>
      <c r="H8" t="s">
        <v>63</v>
      </c>
      <c r="I8">
        <v>6401</v>
      </c>
      <c r="J8">
        <v>46291</v>
      </c>
      <c r="L8" t="s">
        <v>83</v>
      </c>
      <c r="M8" t="s">
        <v>65</v>
      </c>
      <c r="N8" t="s">
        <v>66</v>
      </c>
      <c r="O8" s="2">
        <v>46113</v>
      </c>
      <c r="P8" s="1">
        <v>129</v>
      </c>
      <c r="Q8" t="s">
        <v>67</v>
      </c>
      <c r="R8">
        <v>3.73</v>
      </c>
      <c r="S8">
        <v>1.67</v>
      </c>
      <c r="T8">
        <v>0.3</v>
      </c>
      <c r="U8">
        <v>124.97</v>
      </c>
      <c r="V8" s="1">
        <v>0</v>
      </c>
      <c r="X8">
        <v>20260406</v>
      </c>
      <c r="Z8" t="s">
        <v>68</v>
      </c>
      <c r="AA8">
        <v>3974527</v>
      </c>
      <c r="AB8" t="s">
        <v>84</v>
      </c>
      <c r="AE8" s="3">
        <v>0.50984953703703706</v>
      </c>
      <c r="AF8" t="s">
        <v>70</v>
      </c>
      <c r="AI8" s="8">
        <v>46118</v>
      </c>
      <c r="AJ8" s="40">
        <v>15089.3</v>
      </c>
    </row>
    <row r="9" spans="1:42">
      <c r="A9">
        <v>1023366</v>
      </c>
      <c r="B9" t="s">
        <v>75</v>
      </c>
      <c r="C9" t="s">
        <v>62</v>
      </c>
      <c r="D9" s="2">
        <v>46113</v>
      </c>
      <c r="E9" s="2">
        <v>46113</v>
      </c>
      <c r="G9">
        <v>348</v>
      </c>
      <c r="H9" t="s">
        <v>63</v>
      </c>
      <c r="I9">
        <v>6403</v>
      </c>
      <c r="J9">
        <v>720339</v>
      </c>
      <c r="L9" t="s">
        <v>85</v>
      </c>
      <c r="M9" t="s">
        <v>65</v>
      </c>
      <c r="N9" t="s">
        <v>66</v>
      </c>
      <c r="O9" s="2">
        <v>46113</v>
      </c>
      <c r="P9" s="1">
        <v>1014</v>
      </c>
      <c r="Q9" t="s">
        <v>67</v>
      </c>
      <c r="R9">
        <v>29.3</v>
      </c>
      <c r="S9">
        <v>8.01</v>
      </c>
      <c r="T9">
        <v>1.44</v>
      </c>
      <c r="U9">
        <v>983.26</v>
      </c>
      <c r="V9" s="1">
        <v>0</v>
      </c>
      <c r="X9">
        <v>20260406</v>
      </c>
      <c r="Z9" t="s">
        <v>68</v>
      </c>
      <c r="AA9">
        <v>3974527</v>
      </c>
      <c r="AB9" t="s">
        <v>79</v>
      </c>
      <c r="AE9" s="3">
        <v>0.5115277777777778</v>
      </c>
      <c r="AF9" t="s">
        <v>70</v>
      </c>
      <c r="AI9" s="8">
        <v>46119</v>
      </c>
      <c r="AJ9" s="40">
        <v>20674.099999999999</v>
      </c>
    </row>
    <row r="10" spans="1:42">
      <c r="A10">
        <v>1023366</v>
      </c>
      <c r="B10" t="s">
        <v>75</v>
      </c>
      <c r="C10" t="s">
        <v>62</v>
      </c>
      <c r="D10" s="2">
        <v>46113</v>
      </c>
      <c r="E10" s="2">
        <v>46113</v>
      </c>
      <c r="G10">
        <v>348</v>
      </c>
      <c r="H10" t="s">
        <v>63</v>
      </c>
      <c r="I10">
        <v>6407</v>
      </c>
      <c r="J10">
        <v>425557</v>
      </c>
      <c r="L10" t="s">
        <v>86</v>
      </c>
      <c r="M10" t="s">
        <v>65</v>
      </c>
      <c r="N10" t="s">
        <v>66</v>
      </c>
      <c r="O10" s="2">
        <v>46113</v>
      </c>
      <c r="P10" s="1">
        <v>159</v>
      </c>
      <c r="Q10" t="s">
        <v>67</v>
      </c>
      <c r="R10">
        <v>4.5999999999999996</v>
      </c>
      <c r="S10">
        <v>0.94</v>
      </c>
      <c r="T10">
        <v>0.17</v>
      </c>
      <c r="U10">
        <v>154.22999999999999</v>
      </c>
      <c r="V10" s="1">
        <v>0</v>
      </c>
      <c r="X10">
        <v>20260406</v>
      </c>
      <c r="Z10" t="s">
        <v>72</v>
      </c>
      <c r="AA10">
        <v>3974527</v>
      </c>
      <c r="AB10" t="s">
        <v>77</v>
      </c>
      <c r="AE10" s="3">
        <v>0.52971064814814817</v>
      </c>
      <c r="AF10" t="s">
        <v>70</v>
      </c>
      <c r="AI10" s="8">
        <v>46120</v>
      </c>
      <c r="AJ10" s="40">
        <v>15624.749999999998</v>
      </c>
    </row>
    <row r="11" spans="1:42">
      <c r="A11">
        <v>1023366</v>
      </c>
      <c r="B11" t="s">
        <v>75</v>
      </c>
      <c r="C11" t="s">
        <v>62</v>
      </c>
      <c r="D11" s="2">
        <v>46113</v>
      </c>
      <c r="E11" s="2">
        <v>46113</v>
      </c>
      <c r="G11">
        <v>348</v>
      </c>
      <c r="H11">
        <v>65656565</v>
      </c>
      <c r="I11">
        <v>6411</v>
      </c>
      <c r="J11">
        <v>217463</v>
      </c>
      <c r="L11" t="s">
        <v>87</v>
      </c>
      <c r="M11" t="s">
        <v>65</v>
      </c>
      <c r="N11" t="s">
        <v>66</v>
      </c>
      <c r="O11" s="2">
        <v>46113</v>
      </c>
      <c r="P11" s="1">
        <v>349</v>
      </c>
      <c r="Q11" t="s">
        <v>67</v>
      </c>
      <c r="R11">
        <v>10.08</v>
      </c>
      <c r="S11">
        <v>4.5</v>
      </c>
      <c r="T11">
        <v>0.81</v>
      </c>
      <c r="U11">
        <v>338.11</v>
      </c>
      <c r="V11" s="1">
        <v>0</v>
      </c>
      <c r="X11">
        <v>20260406</v>
      </c>
      <c r="Z11" t="s">
        <v>68</v>
      </c>
      <c r="AA11">
        <v>3974527</v>
      </c>
      <c r="AB11" t="s">
        <v>79</v>
      </c>
      <c r="AD11" t="s">
        <v>88</v>
      </c>
      <c r="AE11" s="3">
        <v>0.54321759259259261</v>
      </c>
      <c r="AF11" t="s">
        <v>70</v>
      </c>
      <c r="AI11" s="8">
        <v>46121</v>
      </c>
      <c r="AJ11" s="40">
        <v>10614.749999999998</v>
      </c>
    </row>
    <row r="12" spans="1:42">
      <c r="A12">
        <v>1023366</v>
      </c>
      <c r="B12" t="s">
        <v>75</v>
      </c>
      <c r="C12" t="s">
        <v>62</v>
      </c>
      <c r="D12" s="2">
        <v>46113</v>
      </c>
      <c r="E12" s="2">
        <v>46113</v>
      </c>
      <c r="G12">
        <v>348</v>
      </c>
      <c r="H12" t="s">
        <v>63</v>
      </c>
      <c r="I12">
        <v>6415</v>
      </c>
      <c r="J12">
        <v>416838</v>
      </c>
      <c r="L12" t="s">
        <v>89</v>
      </c>
      <c r="M12" t="s">
        <v>65</v>
      </c>
      <c r="N12" t="s">
        <v>66</v>
      </c>
      <c r="O12" s="2">
        <v>46113</v>
      </c>
      <c r="P12" s="1">
        <v>49</v>
      </c>
      <c r="Q12" t="s">
        <v>67</v>
      </c>
      <c r="R12">
        <v>1.42</v>
      </c>
      <c r="S12">
        <v>0.64</v>
      </c>
      <c r="T12">
        <v>0.12</v>
      </c>
      <c r="U12">
        <v>47.46</v>
      </c>
      <c r="V12" s="1">
        <v>0</v>
      </c>
      <c r="X12">
        <v>20260406</v>
      </c>
      <c r="Z12" t="s">
        <v>68</v>
      </c>
      <c r="AA12">
        <v>3974527</v>
      </c>
      <c r="AB12" t="s">
        <v>81</v>
      </c>
      <c r="AE12" s="3">
        <v>0.55715277777777783</v>
      </c>
      <c r="AF12" t="s">
        <v>70</v>
      </c>
      <c r="AI12" s="8">
        <v>46122</v>
      </c>
      <c r="AJ12" s="40">
        <v>12391.099999999999</v>
      </c>
    </row>
    <row r="13" spans="1:42">
      <c r="A13">
        <v>1023366</v>
      </c>
      <c r="B13" t="s">
        <v>75</v>
      </c>
      <c r="C13" t="s">
        <v>62</v>
      </c>
      <c r="D13" s="2">
        <v>46113</v>
      </c>
      <c r="E13" s="2">
        <v>46113</v>
      </c>
      <c r="G13">
        <v>348</v>
      </c>
      <c r="H13" t="s">
        <v>63</v>
      </c>
      <c r="I13">
        <v>6417</v>
      </c>
      <c r="J13">
        <v>390468</v>
      </c>
      <c r="L13" t="s">
        <v>90</v>
      </c>
      <c r="M13" t="s">
        <v>65</v>
      </c>
      <c r="N13" t="s">
        <v>66</v>
      </c>
      <c r="O13" s="2">
        <v>46113</v>
      </c>
      <c r="P13" s="1">
        <v>69</v>
      </c>
      <c r="Q13" t="s">
        <v>67</v>
      </c>
      <c r="R13">
        <v>1.99</v>
      </c>
      <c r="S13">
        <v>0.89</v>
      </c>
      <c r="T13">
        <v>0.16</v>
      </c>
      <c r="U13">
        <v>66.849999999999994</v>
      </c>
      <c r="V13" s="1">
        <v>0</v>
      </c>
      <c r="X13">
        <v>20260406</v>
      </c>
      <c r="Z13" t="s">
        <v>68</v>
      </c>
      <c r="AA13">
        <v>3974527</v>
      </c>
      <c r="AB13" t="s">
        <v>79</v>
      </c>
      <c r="AE13" s="3">
        <v>0.57818287037037042</v>
      </c>
      <c r="AF13" t="s">
        <v>70</v>
      </c>
      <c r="AI13" s="8">
        <v>46123</v>
      </c>
      <c r="AJ13" s="40">
        <v>25611.3</v>
      </c>
    </row>
    <row r="14" spans="1:42">
      <c r="A14">
        <v>1023366</v>
      </c>
      <c r="B14" t="s">
        <v>75</v>
      </c>
      <c r="C14" t="s">
        <v>62</v>
      </c>
      <c r="D14" s="2">
        <v>46113</v>
      </c>
      <c r="E14" s="2">
        <v>46113</v>
      </c>
      <c r="G14">
        <v>348</v>
      </c>
      <c r="H14" t="s">
        <v>63</v>
      </c>
      <c r="I14">
        <v>6419</v>
      </c>
      <c r="J14">
        <v>893790</v>
      </c>
      <c r="L14" t="s">
        <v>91</v>
      </c>
      <c r="M14" t="s">
        <v>65</v>
      </c>
      <c r="N14" t="s">
        <v>66</v>
      </c>
      <c r="O14" s="2">
        <v>46113</v>
      </c>
      <c r="P14" s="1">
        <v>149</v>
      </c>
      <c r="Q14" t="s">
        <v>67</v>
      </c>
      <c r="R14">
        <v>4.3099999999999996</v>
      </c>
      <c r="S14">
        <v>1.93</v>
      </c>
      <c r="T14">
        <v>0.35</v>
      </c>
      <c r="U14">
        <v>144.34</v>
      </c>
      <c r="V14" s="1">
        <v>0</v>
      </c>
      <c r="X14">
        <v>20260406</v>
      </c>
      <c r="Z14" t="s">
        <v>68</v>
      </c>
      <c r="AA14">
        <v>3974527</v>
      </c>
      <c r="AB14" t="s">
        <v>77</v>
      </c>
      <c r="AE14" s="3">
        <v>0.5839699074074074</v>
      </c>
      <c r="AF14" t="s">
        <v>70</v>
      </c>
      <c r="AI14" s="8">
        <v>46124</v>
      </c>
      <c r="AJ14" s="40">
        <v>21130.799999999999</v>
      </c>
    </row>
    <row r="15" spans="1:42">
      <c r="A15">
        <v>1023366</v>
      </c>
      <c r="B15" t="s">
        <v>75</v>
      </c>
      <c r="C15" t="s">
        <v>62</v>
      </c>
      <c r="D15" s="2">
        <v>46113</v>
      </c>
      <c r="E15" s="2">
        <v>46113</v>
      </c>
      <c r="G15">
        <v>348</v>
      </c>
      <c r="H15" t="s">
        <v>63</v>
      </c>
      <c r="I15">
        <v>6421</v>
      </c>
      <c r="J15">
        <v>295223</v>
      </c>
      <c r="L15" t="s">
        <v>92</v>
      </c>
      <c r="M15" t="s">
        <v>65</v>
      </c>
      <c r="N15" t="s">
        <v>66</v>
      </c>
      <c r="O15" s="2">
        <v>46113</v>
      </c>
      <c r="P15" s="1">
        <v>105.8</v>
      </c>
      <c r="Q15" t="s">
        <v>67</v>
      </c>
      <c r="R15">
        <v>3.06</v>
      </c>
      <c r="S15">
        <v>1.37</v>
      </c>
      <c r="T15">
        <v>0.25</v>
      </c>
      <c r="U15">
        <v>102.49</v>
      </c>
      <c r="V15" s="1">
        <v>0</v>
      </c>
      <c r="X15">
        <v>20260406</v>
      </c>
      <c r="Z15" t="s">
        <v>68</v>
      </c>
      <c r="AA15">
        <v>3974527</v>
      </c>
      <c r="AB15" t="s">
        <v>93</v>
      </c>
      <c r="AE15" s="3">
        <v>0.58652777777777776</v>
      </c>
      <c r="AF15" t="s">
        <v>70</v>
      </c>
      <c r="AI15" s="8">
        <v>46125</v>
      </c>
      <c r="AJ15" s="40">
        <v>15823.539999999997</v>
      </c>
    </row>
    <row r="16" spans="1:42">
      <c r="A16">
        <v>1023366</v>
      </c>
      <c r="B16" t="s">
        <v>75</v>
      </c>
      <c r="C16" t="s">
        <v>62</v>
      </c>
      <c r="D16" s="2">
        <v>46113</v>
      </c>
      <c r="E16" s="2">
        <v>46113</v>
      </c>
      <c r="G16">
        <v>348</v>
      </c>
      <c r="H16" t="s">
        <v>63</v>
      </c>
      <c r="I16">
        <v>6423</v>
      </c>
      <c r="J16">
        <v>510308</v>
      </c>
      <c r="L16" t="s">
        <v>94</v>
      </c>
      <c r="M16" t="s">
        <v>65</v>
      </c>
      <c r="N16" t="s">
        <v>66</v>
      </c>
      <c r="O16" s="2">
        <v>46113</v>
      </c>
      <c r="P16" s="1">
        <v>809</v>
      </c>
      <c r="Q16" t="s">
        <v>67</v>
      </c>
      <c r="R16">
        <v>23.38</v>
      </c>
      <c r="S16">
        <v>10.44</v>
      </c>
      <c r="T16">
        <v>1.88</v>
      </c>
      <c r="U16">
        <v>783.74</v>
      </c>
      <c r="V16" s="1">
        <v>0</v>
      </c>
      <c r="X16">
        <v>20260406</v>
      </c>
      <c r="Z16" t="s">
        <v>68</v>
      </c>
      <c r="AA16">
        <v>3974527</v>
      </c>
      <c r="AB16" t="s">
        <v>79</v>
      </c>
      <c r="AE16" s="3">
        <v>0.59164351851851849</v>
      </c>
      <c r="AF16" t="s">
        <v>70</v>
      </c>
      <c r="AI16" s="8">
        <v>46126</v>
      </c>
      <c r="AJ16" s="40">
        <v>11756.5</v>
      </c>
    </row>
    <row r="17" spans="1:36">
      <c r="A17">
        <v>1023366</v>
      </c>
      <c r="B17" t="s">
        <v>75</v>
      </c>
      <c r="C17" t="s">
        <v>62</v>
      </c>
      <c r="D17" s="2">
        <v>46113</v>
      </c>
      <c r="E17" s="2">
        <v>46113</v>
      </c>
      <c r="G17">
        <v>348</v>
      </c>
      <c r="H17" t="s">
        <v>63</v>
      </c>
      <c r="I17">
        <v>6426</v>
      </c>
      <c r="J17">
        <v>41659</v>
      </c>
      <c r="L17" t="s">
        <v>95</v>
      </c>
      <c r="M17" t="s">
        <v>96</v>
      </c>
      <c r="N17" t="s">
        <v>66</v>
      </c>
      <c r="O17" s="2">
        <v>46113</v>
      </c>
      <c r="P17" s="1">
        <v>1499</v>
      </c>
      <c r="Q17" t="s">
        <v>67</v>
      </c>
      <c r="R17">
        <v>58.46</v>
      </c>
      <c r="S17">
        <v>41.98</v>
      </c>
      <c r="T17">
        <v>7.56</v>
      </c>
      <c r="U17">
        <v>1432.98</v>
      </c>
      <c r="V17" s="1">
        <v>0</v>
      </c>
      <c r="X17">
        <v>20260406</v>
      </c>
      <c r="Z17" t="s">
        <v>68</v>
      </c>
      <c r="AA17">
        <v>3974527</v>
      </c>
      <c r="AB17" t="s">
        <v>97</v>
      </c>
      <c r="AE17" s="3">
        <v>0.59326388888888892</v>
      </c>
      <c r="AF17" t="s">
        <v>70</v>
      </c>
      <c r="AI17" s="8">
        <v>46127</v>
      </c>
      <c r="AJ17" s="40">
        <v>12781.599999999999</v>
      </c>
    </row>
    <row r="18" spans="1:36">
      <c r="A18">
        <v>1023366</v>
      </c>
      <c r="B18" t="s">
        <v>75</v>
      </c>
      <c r="C18" t="s">
        <v>62</v>
      </c>
      <c r="D18" s="2">
        <v>46113</v>
      </c>
      <c r="E18" s="2">
        <v>46113</v>
      </c>
      <c r="G18">
        <v>348</v>
      </c>
      <c r="H18" t="s">
        <v>63</v>
      </c>
      <c r="I18">
        <v>6429</v>
      </c>
      <c r="J18">
        <v>972013</v>
      </c>
      <c r="L18" t="s">
        <v>98</v>
      </c>
      <c r="M18" t="s">
        <v>65</v>
      </c>
      <c r="N18" t="s">
        <v>66</v>
      </c>
      <c r="O18" s="2">
        <v>46113</v>
      </c>
      <c r="P18" s="1">
        <v>65</v>
      </c>
      <c r="Q18" t="s">
        <v>67</v>
      </c>
      <c r="R18">
        <v>1.88</v>
      </c>
      <c r="S18">
        <v>0.84</v>
      </c>
      <c r="T18">
        <v>0.15</v>
      </c>
      <c r="U18">
        <v>62.97</v>
      </c>
      <c r="V18" s="1">
        <v>0</v>
      </c>
      <c r="X18">
        <v>20260406</v>
      </c>
      <c r="Z18" t="s">
        <v>68</v>
      </c>
      <c r="AA18">
        <v>3974527</v>
      </c>
      <c r="AB18" t="s">
        <v>77</v>
      </c>
      <c r="AE18" s="3">
        <v>0.60516203703703708</v>
      </c>
      <c r="AF18" t="s">
        <v>70</v>
      </c>
      <c r="AI18" s="8">
        <v>46128</v>
      </c>
      <c r="AJ18" s="40">
        <v>13522.199999999997</v>
      </c>
    </row>
    <row r="19" spans="1:36">
      <c r="A19">
        <v>1023366</v>
      </c>
      <c r="B19" t="s">
        <v>75</v>
      </c>
      <c r="C19" t="s">
        <v>62</v>
      </c>
      <c r="D19" s="2">
        <v>46113</v>
      </c>
      <c r="E19" s="2">
        <v>46113</v>
      </c>
      <c r="G19">
        <v>348</v>
      </c>
      <c r="H19" t="s">
        <v>63</v>
      </c>
      <c r="I19">
        <v>6431</v>
      </c>
      <c r="J19">
        <v>22857</v>
      </c>
      <c r="K19">
        <v>12</v>
      </c>
      <c r="L19" t="s">
        <v>99</v>
      </c>
      <c r="M19" t="s">
        <v>65</v>
      </c>
      <c r="N19" t="s">
        <v>66</v>
      </c>
      <c r="O19" s="2">
        <v>46113</v>
      </c>
      <c r="P19" s="1">
        <v>2048</v>
      </c>
      <c r="Q19" t="s">
        <v>67</v>
      </c>
      <c r="R19">
        <v>59.19</v>
      </c>
      <c r="S19">
        <v>16.18</v>
      </c>
      <c r="T19">
        <v>2.91</v>
      </c>
      <c r="U19">
        <v>1985.9</v>
      </c>
      <c r="V19" s="1">
        <v>0</v>
      </c>
      <c r="X19">
        <v>20260406</v>
      </c>
      <c r="Z19" t="s">
        <v>72</v>
      </c>
      <c r="AA19">
        <v>3974527</v>
      </c>
      <c r="AB19" t="s">
        <v>84</v>
      </c>
      <c r="AC19" t="s">
        <v>74</v>
      </c>
      <c r="AE19" s="3">
        <v>0.60917824074074078</v>
      </c>
      <c r="AF19" t="s">
        <v>70</v>
      </c>
      <c r="AI19" s="8">
        <v>46129</v>
      </c>
      <c r="AJ19" s="40">
        <v>15231.789999999997</v>
      </c>
    </row>
    <row r="20" spans="1:36">
      <c r="A20">
        <v>1023366</v>
      </c>
      <c r="B20" t="s">
        <v>75</v>
      </c>
      <c r="C20" t="s">
        <v>62</v>
      </c>
      <c r="D20" s="2">
        <v>46113</v>
      </c>
      <c r="E20" s="2">
        <v>46113</v>
      </c>
      <c r="G20">
        <v>348</v>
      </c>
      <c r="H20">
        <v>65656565</v>
      </c>
      <c r="I20">
        <v>6434</v>
      </c>
      <c r="J20">
        <v>409056</v>
      </c>
      <c r="L20" t="s">
        <v>100</v>
      </c>
      <c r="M20" t="s">
        <v>65</v>
      </c>
      <c r="N20" t="s">
        <v>66</v>
      </c>
      <c r="O20" s="2">
        <v>46113</v>
      </c>
      <c r="P20" s="1">
        <v>90.8</v>
      </c>
      <c r="Q20" t="s">
        <v>67</v>
      </c>
      <c r="R20">
        <v>2.62</v>
      </c>
      <c r="S20">
        <v>1.17</v>
      </c>
      <c r="T20">
        <v>0.21</v>
      </c>
      <c r="U20">
        <v>87.97</v>
      </c>
      <c r="V20" s="1">
        <v>0</v>
      </c>
      <c r="X20">
        <v>20260406</v>
      </c>
      <c r="Z20" t="s">
        <v>68</v>
      </c>
      <c r="AA20">
        <v>3974527</v>
      </c>
      <c r="AB20" t="s">
        <v>79</v>
      </c>
      <c r="AD20" t="s">
        <v>88</v>
      </c>
      <c r="AE20" s="3">
        <v>0.61487268518518523</v>
      </c>
      <c r="AF20" t="s">
        <v>70</v>
      </c>
      <c r="AI20" s="8">
        <v>46130</v>
      </c>
      <c r="AJ20" s="40">
        <v>20935.7</v>
      </c>
    </row>
    <row r="21" spans="1:36">
      <c r="A21">
        <v>1023366</v>
      </c>
      <c r="B21" t="s">
        <v>75</v>
      </c>
      <c r="C21" t="s">
        <v>62</v>
      </c>
      <c r="D21" s="2">
        <v>46113</v>
      </c>
      <c r="E21" s="2">
        <v>46113</v>
      </c>
      <c r="G21">
        <v>348</v>
      </c>
      <c r="H21" t="s">
        <v>63</v>
      </c>
      <c r="I21">
        <v>6437</v>
      </c>
      <c r="J21">
        <v>3188</v>
      </c>
      <c r="L21" t="s">
        <v>101</v>
      </c>
      <c r="M21" t="s">
        <v>65</v>
      </c>
      <c r="N21" t="s">
        <v>66</v>
      </c>
      <c r="O21" s="2">
        <v>46113</v>
      </c>
      <c r="P21" s="1">
        <v>105</v>
      </c>
      <c r="Q21" t="s">
        <v>67</v>
      </c>
      <c r="R21">
        <v>3.03</v>
      </c>
      <c r="S21">
        <v>1.35</v>
      </c>
      <c r="T21">
        <v>0.24</v>
      </c>
      <c r="U21">
        <v>101.73</v>
      </c>
      <c r="V21" s="1">
        <v>0</v>
      </c>
      <c r="X21">
        <v>20260406</v>
      </c>
      <c r="Z21" t="s">
        <v>68</v>
      </c>
      <c r="AA21">
        <v>3974527</v>
      </c>
      <c r="AB21" t="s">
        <v>79</v>
      </c>
      <c r="AE21" s="3">
        <v>0.61605324074074075</v>
      </c>
      <c r="AF21" t="s">
        <v>70</v>
      </c>
      <c r="AI21" s="8">
        <v>46131</v>
      </c>
      <c r="AJ21" s="40">
        <v>18685.3</v>
      </c>
    </row>
    <row r="22" spans="1:36">
      <c r="A22">
        <v>1023366</v>
      </c>
      <c r="B22" t="s">
        <v>75</v>
      </c>
      <c r="C22" t="s">
        <v>62</v>
      </c>
      <c r="D22" s="2">
        <v>46113</v>
      </c>
      <c r="E22" s="2">
        <v>46113</v>
      </c>
      <c r="G22">
        <v>348</v>
      </c>
      <c r="H22" t="s">
        <v>63</v>
      </c>
      <c r="I22">
        <v>6439</v>
      </c>
      <c r="J22">
        <v>480827</v>
      </c>
      <c r="L22" t="s">
        <v>102</v>
      </c>
      <c r="M22" t="s">
        <v>65</v>
      </c>
      <c r="N22" t="s">
        <v>66</v>
      </c>
      <c r="O22" s="2">
        <v>46113</v>
      </c>
      <c r="P22" s="1">
        <v>139</v>
      </c>
      <c r="Q22" t="s">
        <v>67</v>
      </c>
      <c r="R22">
        <v>4.0199999999999996</v>
      </c>
      <c r="S22">
        <v>0.82</v>
      </c>
      <c r="T22">
        <v>0.15</v>
      </c>
      <c r="U22">
        <v>134.83000000000001</v>
      </c>
      <c r="V22" s="1">
        <v>0</v>
      </c>
      <c r="X22">
        <v>20260406</v>
      </c>
      <c r="Z22" t="s">
        <v>72</v>
      </c>
      <c r="AA22">
        <v>3974527</v>
      </c>
      <c r="AB22" t="s">
        <v>93</v>
      </c>
      <c r="AE22" s="3">
        <v>0.61993055555555554</v>
      </c>
      <c r="AF22" t="s">
        <v>70</v>
      </c>
      <c r="AI22" s="8">
        <v>46132</v>
      </c>
      <c r="AJ22" s="40">
        <v>11028.599999999999</v>
      </c>
    </row>
    <row r="23" spans="1:36">
      <c r="A23">
        <v>1023366</v>
      </c>
      <c r="B23" t="s">
        <v>75</v>
      </c>
      <c r="C23" t="s">
        <v>62</v>
      </c>
      <c r="D23" s="2">
        <v>46113</v>
      </c>
      <c r="E23" s="2">
        <v>46113</v>
      </c>
      <c r="G23">
        <v>348</v>
      </c>
      <c r="H23">
        <v>65656565</v>
      </c>
      <c r="I23">
        <v>6441</v>
      </c>
      <c r="J23">
        <v>587402</v>
      </c>
      <c r="L23" t="s">
        <v>103</v>
      </c>
      <c r="M23" t="s">
        <v>65</v>
      </c>
      <c r="N23" t="s">
        <v>66</v>
      </c>
      <c r="O23" s="2">
        <v>46113</v>
      </c>
      <c r="P23" s="1">
        <v>349</v>
      </c>
      <c r="Q23" t="s">
        <v>67</v>
      </c>
      <c r="R23">
        <v>10.08</v>
      </c>
      <c r="S23">
        <v>4.5</v>
      </c>
      <c r="T23">
        <v>0.81</v>
      </c>
      <c r="U23">
        <v>338.11</v>
      </c>
      <c r="V23" s="1">
        <v>0</v>
      </c>
      <c r="X23">
        <v>20260406</v>
      </c>
      <c r="Z23" t="s">
        <v>68</v>
      </c>
      <c r="AA23">
        <v>3974527</v>
      </c>
      <c r="AB23" t="s">
        <v>79</v>
      </c>
      <c r="AD23" t="s">
        <v>88</v>
      </c>
      <c r="AE23" s="3">
        <v>0.62228009259259254</v>
      </c>
      <c r="AF23" t="s">
        <v>70</v>
      </c>
      <c r="AI23" s="8">
        <v>46133</v>
      </c>
      <c r="AJ23" s="40">
        <v>19560.599999999999</v>
      </c>
    </row>
    <row r="24" spans="1:36">
      <c r="A24">
        <v>1023366</v>
      </c>
      <c r="B24" t="s">
        <v>75</v>
      </c>
      <c r="C24" t="s">
        <v>62</v>
      </c>
      <c r="D24" s="2">
        <v>46113</v>
      </c>
      <c r="E24" s="2">
        <v>46113</v>
      </c>
      <c r="G24">
        <v>348</v>
      </c>
      <c r="H24" t="s">
        <v>63</v>
      </c>
      <c r="I24">
        <v>6449</v>
      </c>
      <c r="J24">
        <v>630558</v>
      </c>
      <c r="L24" t="s">
        <v>104</v>
      </c>
      <c r="M24" t="s">
        <v>65</v>
      </c>
      <c r="N24" t="s">
        <v>66</v>
      </c>
      <c r="O24" s="2">
        <v>46113</v>
      </c>
      <c r="P24" s="1">
        <v>298</v>
      </c>
      <c r="Q24" t="s">
        <v>67</v>
      </c>
      <c r="R24">
        <v>8.61</v>
      </c>
      <c r="S24">
        <v>3.84</v>
      </c>
      <c r="T24">
        <v>0.69</v>
      </c>
      <c r="U24">
        <v>288.7</v>
      </c>
      <c r="V24" s="1">
        <v>0</v>
      </c>
      <c r="X24">
        <v>20260406</v>
      </c>
      <c r="Z24" t="s">
        <v>68</v>
      </c>
      <c r="AA24">
        <v>3974527</v>
      </c>
      <c r="AB24" t="s">
        <v>81</v>
      </c>
      <c r="AE24" s="3">
        <v>0.64946759259259257</v>
      </c>
      <c r="AF24" t="s">
        <v>70</v>
      </c>
      <c r="AI24" s="8">
        <v>46134</v>
      </c>
      <c r="AJ24" s="40">
        <v>15922.05</v>
      </c>
    </row>
    <row r="25" spans="1:36">
      <c r="A25">
        <v>1023366</v>
      </c>
      <c r="B25" t="s">
        <v>75</v>
      </c>
      <c r="C25" t="s">
        <v>62</v>
      </c>
      <c r="D25" s="2">
        <v>46113</v>
      </c>
      <c r="E25" s="2">
        <v>46113</v>
      </c>
      <c r="G25">
        <v>348</v>
      </c>
      <c r="H25" t="s">
        <v>63</v>
      </c>
      <c r="I25">
        <v>6451</v>
      </c>
      <c r="J25">
        <v>682413</v>
      </c>
      <c r="L25" t="s">
        <v>105</v>
      </c>
      <c r="M25" t="s">
        <v>65</v>
      </c>
      <c r="N25" t="s">
        <v>66</v>
      </c>
      <c r="O25" s="2">
        <v>46113</v>
      </c>
      <c r="P25" s="1">
        <v>89.9</v>
      </c>
      <c r="Q25" t="s">
        <v>67</v>
      </c>
      <c r="R25">
        <v>2.6</v>
      </c>
      <c r="S25">
        <v>0.53</v>
      </c>
      <c r="T25">
        <v>0.1</v>
      </c>
      <c r="U25">
        <v>87.2</v>
      </c>
      <c r="V25" s="1">
        <v>0</v>
      </c>
      <c r="X25">
        <v>20260406</v>
      </c>
      <c r="Z25" t="s">
        <v>72</v>
      </c>
      <c r="AA25">
        <v>3974527</v>
      </c>
      <c r="AB25" t="s">
        <v>106</v>
      </c>
      <c r="AE25" s="3">
        <v>0.65171296296296299</v>
      </c>
      <c r="AF25" t="s">
        <v>70</v>
      </c>
      <c r="AI25" s="8">
        <v>46135</v>
      </c>
      <c r="AJ25" s="40">
        <v>21716.900000000005</v>
      </c>
    </row>
    <row r="26" spans="1:36">
      <c r="A26">
        <v>1023366</v>
      </c>
      <c r="B26" t="s">
        <v>75</v>
      </c>
      <c r="C26" t="s">
        <v>62</v>
      </c>
      <c r="D26" s="2">
        <v>46113</v>
      </c>
      <c r="E26" s="2">
        <v>46113</v>
      </c>
      <c r="G26">
        <v>348</v>
      </c>
      <c r="H26" t="s">
        <v>63</v>
      </c>
      <c r="I26">
        <v>6453</v>
      </c>
      <c r="J26">
        <v>683893</v>
      </c>
      <c r="L26" t="s">
        <v>107</v>
      </c>
      <c r="M26" t="s">
        <v>65</v>
      </c>
      <c r="N26" t="s">
        <v>66</v>
      </c>
      <c r="O26" s="2">
        <v>46113</v>
      </c>
      <c r="P26" s="1">
        <v>2499</v>
      </c>
      <c r="Q26" t="s">
        <v>67</v>
      </c>
      <c r="R26">
        <v>72.22</v>
      </c>
      <c r="S26">
        <v>32.24</v>
      </c>
      <c r="T26">
        <v>5.8</v>
      </c>
      <c r="U26">
        <v>2420.98</v>
      </c>
      <c r="V26" s="1">
        <v>0</v>
      </c>
      <c r="X26">
        <v>20260406</v>
      </c>
      <c r="Z26" t="s">
        <v>68</v>
      </c>
      <c r="AA26">
        <v>3974527</v>
      </c>
      <c r="AB26" t="s">
        <v>79</v>
      </c>
      <c r="AE26" s="3">
        <v>0.66151620370370368</v>
      </c>
      <c r="AF26" t="s">
        <v>70</v>
      </c>
      <c r="AI26" s="8">
        <v>46136</v>
      </c>
      <c r="AJ26" s="40">
        <v>16286.499999999998</v>
      </c>
    </row>
    <row r="27" spans="1:36">
      <c r="A27">
        <v>1023366</v>
      </c>
      <c r="B27" t="s">
        <v>75</v>
      </c>
      <c r="C27" t="s">
        <v>62</v>
      </c>
      <c r="D27" s="2">
        <v>46113</v>
      </c>
      <c r="E27" s="2">
        <v>46113</v>
      </c>
      <c r="G27">
        <v>348</v>
      </c>
      <c r="H27" t="s">
        <v>63</v>
      </c>
      <c r="I27">
        <v>6455</v>
      </c>
      <c r="J27">
        <v>544866</v>
      </c>
      <c r="K27">
        <v>2</v>
      </c>
      <c r="L27" t="s">
        <v>108</v>
      </c>
      <c r="M27" t="s">
        <v>65</v>
      </c>
      <c r="N27" t="s">
        <v>66</v>
      </c>
      <c r="O27" s="2">
        <v>46113</v>
      </c>
      <c r="P27" s="1">
        <v>189</v>
      </c>
      <c r="Q27" t="s">
        <v>67</v>
      </c>
      <c r="R27">
        <v>5.46</v>
      </c>
      <c r="S27">
        <v>1.49</v>
      </c>
      <c r="T27">
        <v>0.27</v>
      </c>
      <c r="U27">
        <v>183.27</v>
      </c>
      <c r="V27" s="1">
        <v>0</v>
      </c>
      <c r="X27">
        <v>20260406</v>
      </c>
      <c r="Z27" t="s">
        <v>72</v>
      </c>
      <c r="AA27">
        <v>3974527</v>
      </c>
      <c r="AB27" t="s">
        <v>77</v>
      </c>
      <c r="AC27" t="s">
        <v>74</v>
      </c>
      <c r="AE27" s="3">
        <v>0.66295138888888894</v>
      </c>
      <c r="AF27" t="s">
        <v>70</v>
      </c>
      <c r="AI27" s="8">
        <v>46137</v>
      </c>
      <c r="AJ27" s="40">
        <v>16298.149999999998</v>
      </c>
    </row>
    <row r="28" spans="1:36">
      <c r="A28">
        <v>1023366</v>
      </c>
      <c r="B28" t="s">
        <v>75</v>
      </c>
      <c r="C28" t="s">
        <v>62</v>
      </c>
      <c r="D28" s="2">
        <v>46113</v>
      </c>
      <c r="E28" s="2">
        <v>46113</v>
      </c>
      <c r="G28">
        <v>348</v>
      </c>
      <c r="H28" t="s">
        <v>63</v>
      </c>
      <c r="I28">
        <v>6459</v>
      </c>
      <c r="J28">
        <v>754387</v>
      </c>
      <c r="L28" t="s">
        <v>109</v>
      </c>
      <c r="M28" t="s">
        <v>65</v>
      </c>
      <c r="N28" t="s">
        <v>66</v>
      </c>
      <c r="O28" s="2">
        <v>46113</v>
      </c>
      <c r="P28" s="1">
        <v>149</v>
      </c>
      <c r="Q28" t="s">
        <v>67</v>
      </c>
      <c r="R28">
        <v>4.3099999999999996</v>
      </c>
      <c r="S28">
        <v>1.93</v>
      </c>
      <c r="T28">
        <v>0.35</v>
      </c>
      <c r="U28">
        <v>144.34</v>
      </c>
      <c r="V28" s="1">
        <v>0</v>
      </c>
      <c r="X28">
        <v>20260406</v>
      </c>
      <c r="Z28" t="s">
        <v>68</v>
      </c>
      <c r="AA28">
        <v>3974527</v>
      </c>
      <c r="AB28" t="s">
        <v>81</v>
      </c>
      <c r="AE28" s="3">
        <v>0.68974537037037043</v>
      </c>
      <c r="AF28" t="s">
        <v>70</v>
      </c>
      <c r="AI28" s="8">
        <v>46138</v>
      </c>
      <c r="AJ28" s="40">
        <v>14822.9</v>
      </c>
    </row>
    <row r="29" spans="1:36">
      <c r="A29">
        <v>1023366</v>
      </c>
      <c r="B29" t="s">
        <v>75</v>
      </c>
      <c r="C29" t="s">
        <v>62</v>
      </c>
      <c r="D29" s="2">
        <v>46113</v>
      </c>
      <c r="E29" s="2">
        <v>46113</v>
      </c>
      <c r="G29">
        <v>348</v>
      </c>
      <c r="H29" t="s">
        <v>63</v>
      </c>
      <c r="I29">
        <v>6461</v>
      </c>
      <c r="J29">
        <v>600890</v>
      </c>
      <c r="L29" t="s">
        <v>110</v>
      </c>
      <c r="M29" t="s">
        <v>65</v>
      </c>
      <c r="N29" t="s">
        <v>66</v>
      </c>
      <c r="O29" s="2">
        <v>46113</v>
      </c>
      <c r="P29" s="1">
        <v>2923.52</v>
      </c>
      <c r="Q29" t="s">
        <v>67</v>
      </c>
      <c r="R29">
        <v>84.49</v>
      </c>
      <c r="S29">
        <v>37.71</v>
      </c>
      <c r="T29">
        <v>6.79</v>
      </c>
      <c r="U29">
        <v>2832.24</v>
      </c>
      <c r="V29" s="1">
        <v>0</v>
      </c>
      <c r="X29">
        <v>20260406</v>
      </c>
      <c r="Z29" t="s">
        <v>68</v>
      </c>
      <c r="AA29">
        <v>3974527</v>
      </c>
      <c r="AB29" t="s">
        <v>79</v>
      </c>
      <c r="AE29" s="3">
        <v>0.69248842592592597</v>
      </c>
      <c r="AF29" t="s">
        <v>70</v>
      </c>
      <c r="AI29" s="8">
        <v>46139</v>
      </c>
      <c r="AJ29" s="40">
        <v>14809.9</v>
      </c>
    </row>
    <row r="30" spans="1:36">
      <c r="A30">
        <v>1023366</v>
      </c>
      <c r="B30" t="s">
        <v>75</v>
      </c>
      <c r="C30" t="s">
        <v>62</v>
      </c>
      <c r="D30" s="2">
        <v>46113</v>
      </c>
      <c r="E30" s="2">
        <v>46113</v>
      </c>
      <c r="G30">
        <v>348</v>
      </c>
      <c r="H30" t="s">
        <v>63</v>
      </c>
      <c r="I30">
        <v>6464</v>
      </c>
      <c r="J30">
        <v>864187</v>
      </c>
      <c r="L30" t="s">
        <v>111</v>
      </c>
      <c r="M30" t="s">
        <v>65</v>
      </c>
      <c r="N30" t="s">
        <v>66</v>
      </c>
      <c r="O30" s="2">
        <v>46113</v>
      </c>
      <c r="P30" s="1">
        <v>55</v>
      </c>
      <c r="Q30" t="s">
        <v>67</v>
      </c>
      <c r="R30">
        <v>1.59</v>
      </c>
      <c r="S30">
        <v>0.71</v>
      </c>
      <c r="T30">
        <v>0.13</v>
      </c>
      <c r="U30">
        <v>53.28</v>
      </c>
      <c r="V30" s="1">
        <v>0</v>
      </c>
      <c r="X30">
        <v>20260406</v>
      </c>
      <c r="Z30" t="s">
        <v>68</v>
      </c>
      <c r="AA30">
        <v>3974527</v>
      </c>
      <c r="AB30" t="s">
        <v>93</v>
      </c>
      <c r="AE30" s="3">
        <v>0.69460648148148152</v>
      </c>
      <c r="AF30" t="s">
        <v>70</v>
      </c>
      <c r="AI30" s="8">
        <v>46140</v>
      </c>
      <c r="AJ30" s="40">
        <v>12249.9</v>
      </c>
    </row>
    <row r="31" spans="1:36">
      <c r="A31">
        <v>1023366</v>
      </c>
      <c r="B31" t="s">
        <v>75</v>
      </c>
      <c r="C31" t="s">
        <v>62</v>
      </c>
      <c r="D31" s="2">
        <v>46113</v>
      </c>
      <c r="E31" s="2">
        <v>46113</v>
      </c>
      <c r="G31">
        <v>348</v>
      </c>
      <c r="H31" t="s">
        <v>63</v>
      </c>
      <c r="I31">
        <v>6466</v>
      </c>
      <c r="J31">
        <v>4638</v>
      </c>
      <c r="L31" t="s">
        <v>112</v>
      </c>
      <c r="M31" t="s">
        <v>65</v>
      </c>
      <c r="N31" t="s">
        <v>66</v>
      </c>
      <c r="O31" s="2">
        <v>46113</v>
      </c>
      <c r="P31" s="1">
        <v>79</v>
      </c>
      <c r="Q31" t="s">
        <v>67</v>
      </c>
      <c r="R31">
        <v>2.2799999999999998</v>
      </c>
      <c r="S31">
        <v>0.3</v>
      </c>
      <c r="T31">
        <v>0.05</v>
      </c>
      <c r="U31">
        <v>76.67</v>
      </c>
      <c r="V31" s="1">
        <v>0</v>
      </c>
      <c r="X31">
        <v>20260406</v>
      </c>
      <c r="Z31" t="s">
        <v>72</v>
      </c>
      <c r="AA31">
        <v>3974527</v>
      </c>
      <c r="AB31" t="s">
        <v>79</v>
      </c>
      <c r="AE31" s="3">
        <v>0.70923611111111107</v>
      </c>
      <c r="AF31" t="s">
        <v>70</v>
      </c>
      <c r="AI31" s="8">
        <v>46141</v>
      </c>
      <c r="AJ31" s="40">
        <v>19554.300000000003</v>
      </c>
    </row>
    <row r="32" spans="1:36">
      <c r="A32">
        <v>1023366</v>
      </c>
      <c r="B32" t="s">
        <v>75</v>
      </c>
      <c r="C32" t="s">
        <v>62</v>
      </c>
      <c r="D32" s="2">
        <v>46113</v>
      </c>
      <c r="E32" s="2">
        <v>46113</v>
      </c>
      <c r="G32">
        <v>348</v>
      </c>
      <c r="H32" t="s">
        <v>63</v>
      </c>
      <c r="I32">
        <v>6468</v>
      </c>
      <c r="J32">
        <v>990586</v>
      </c>
      <c r="L32" t="s">
        <v>113</v>
      </c>
      <c r="M32" t="s">
        <v>65</v>
      </c>
      <c r="N32" t="s">
        <v>66</v>
      </c>
      <c r="O32" s="2">
        <v>46113</v>
      </c>
      <c r="P32" s="1">
        <v>65</v>
      </c>
      <c r="Q32" t="s">
        <v>67</v>
      </c>
      <c r="R32">
        <v>1.88</v>
      </c>
      <c r="S32">
        <v>0.84</v>
      </c>
      <c r="T32">
        <v>0.15</v>
      </c>
      <c r="U32">
        <v>62.97</v>
      </c>
      <c r="V32" s="1">
        <v>0</v>
      </c>
      <c r="X32">
        <v>20260406</v>
      </c>
      <c r="Z32" t="s">
        <v>68</v>
      </c>
      <c r="AA32">
        <v>3974527</v>
      </c>
      <c r="AB32" t="s">
        <v>93</v>
      </c>
      <c r="AE32" s="3">
        <v>0.7173842592592593</v>
      </c>
      <c r="AF32" t="s">
        <v>70</v>
      </c>
      <c r="AI32" s="8">
        <v>46142</v>
      </c>
      <c r="AJ32" s="40">
        <v>8487.9</v>
      </c>
    </row>
    <row r="33" spans="1:36">
      <c r="A33">
        <v>1023366</v>
      </c>
      <c r="B33" t="s">
        <v>75</v>
      </c>
      <c r="C33" t="s">
        <v>62</v>
      </c>
      <c r="D33" s="2">
        <v>46113</v>
      </c>
      <c r="E33" s="2">
        <v>46113</v>
      </c>
      <c r="G33">
        <v>348</v>
      </c>
      <c r="H33" t="s">
        <v>63</v>
      </c>
      <c r="I33">
        <v>6470</v>
      </c>
      <c r="J33">
        <v>738</v>
      </c>
      <c r="L33" t="s">
        <v>114</v>
      </c>
      <c r="M33" t="s">
        <v>65</v>
      </c>
      <c r="N33" t="s">
        <v>66</v>
      </c>
      <c r="O33" s="2">
        <v>46113</v>
      </c>
      <c r="P33" s="1">
        <v>159</v>
      </c>
      <c r="Q33" t="s">
        <v>67</v>
      </c>
      <c r="R33">
        <v>4.5999999999999996</v>
      </c>
      <c r="S33">
        <v>0.62</v>
      </c>
      <c r="T33">
        <v>0.11</v>
      </c>
      <c r="U33">
        <v>154.29</v>
      </c>
      <c r="V33" s="1">
        <v>0</v>
      </c>
      <c r="X33">
        <v>20260406</v>
      </c>
      <c r="Z33" t="s">
        <v>72</v>
      </c>
      <c r="AA33">
        <v>3974527</v>
      </c>
      <c r="AB33" t="s">
        <v>79</v>
      </c>
      <c r="AE33" s="3">
        <v>0.72591435185185182</v>
      </c>
      <c r="AF33" t="s">
        <v>70</v>
      </c>
      <c r="AI33" s="6" t="s">
        <v>428</v>
      </c>
      <c r="AJ33" s="40">
        <v>-1296</v>
      </c>
    </row>
    <row r="34" spans="1:36">
      <c r="A34">
        <v>1023366</v>
      </c>
      <c r="B34" t="s">
        <v>75</v>
      </c>
      <c r="C34" t="s">
        <v>62</v>
      </c>
      <c r="D34" s="2">
        <v>46113</v>
      </c>
      <c r="E34" s="2">
        <v>46113</v>
      </c>
      <c r="G34">
        <v>348</v>
      </c>
      <c r="H34" t="s">
        <v>63</v>
      </c>
      <c r="I34">
        <v>6476</v>
      </c>
      <c r="J34">
        <v>8597</v>
      </c>
      <c r="L34" t="s">
        <v>115</v>
      </c>
      <c r="M34" t="s">
        <v>65</v>
      </c>
      <c r="N34" t="s">
        <v>66</v>
      </c>
      <c r="O34" s="2">
        <v>46113</v>
      </c>
      <c r="P34" s="1">
        <v>49</v>
      </c>
      <c r="Q34" t="s">
        <v>67</v>
      </c>
      <c r="R34">
        <v>1.42</v>
      </c>
      <c r="S34">
        <v>0.39</v>
      </c>
      <c r="T34">
        <v>7.0000000000000007E-2</v>
      </c>
      <c r="U34">
        <v>47.51</v>
      </c>
      <c r="V34" s="1">
        <v>0</v>
      </c>
      <c r="X34">
        <v>20260406</v>
      </c>
      <c r="Z34" t="s">
        <v>72</v>
      </c>
      <c r="AA34">
        <v>3974527</v>
      </c>
      <c r="AB34" t="s">
        <v>79</v>
      </c>
      <c r="AE34" s="3">
        <v>0.77329861111111109</v>
      </c>
      <c r="AF34" t="s">
        <v>70</v>
      </c>
      <c r="AI34" s="8">
        <v>46121</v>
      </c>
      <c r="AJ34" s="40">
        <v>-110</v>
      </c>
    </row>
    <row r="35" spans="1:36">
      <c r="A35">
        <v>1023366</v>
      </c>
      <c r="B35" t="s">
        <v>75</v>
      </c>
      <c r="C35" t="s">
        <v>62</v>
      </c>
      <c r="D35" s="2">
        <v>46113</v>
      </c>
      <c r="E35" s="2">
        <v>46113</v>
      </c>
      <c r="G35">
        <v>348</v>
      </c>
      <c r="H35" t="s">
        <v>63</v>
      </c>
      <c r="I35">
        <v>6478</v>
      </c>
      <c r="J35">
        <v>855916</v>
      </c>
      <c r="L35" t="s">
        <v>116</v>
      </c>
      <c r="M35" t="s">
        <v>65</v>
      </c>
      <c r="N35" t="s">
        <v>66</v>
      </c>
      <c r="O35" s="2">
        <v>46113</v>
      </c>
      <c r="P35" s="1">
        <v>279</v>
      </c>
      <c r="Q35" t="s">
        <v>67</v>
      </c>
      <c r="R35">
        <v>8.06</v>
      </c>
      <c r="S35">
        <v>3.6</v>
      </c>
      <c r="T35">
        <v>0.65</v>
      </c>
      <c r="U35">
        <v>270.29000000000002</v>
      </c>
      <c r="V35" s="1">
        <v>0</v>
      </c>
      <c r="X35">
        <v>20260406</v>
      </c>
      <c r="Z35" t="s">
        <v>68</v>
      </c>
      <c r="AA35">
        <v>3974527</v>
      </c>
      <c r="AB35" t="s">
        <v>79</v>
      </c>
      <c r="AE35" s="3">
        <v>0.78337962962962959</v>
      </c>
      <c r="AF35" t="s">
        <v>70</v>
      </c>
      <c r="AI35" s="8">
        <v>46122</v>
      </c>
      <c r="AJ35" s="40">
        <v>-378</v>
      </c>
    </row>
    <row r="36" spans="1:36">
      <c r="A36">
        <v>1023366</v>
      </c>
      <c r="B36" t="s">
        <v>75</v>
      </c>
      <c r="C36" t="s">
        <v>62</v>
      </c>
      <c r="D36" s="2">
        <v>46113</v>
      </c>
      <c r="E36" s="2">
        <v>46113</v>
      </c>
      <c r="G36">
        <v>348</v>
      </c>
      <c r="H36" t="s">
        <v>63</v>
      </c>
      <c r="I36">
        <v>6480</v>
      </c>
      <c r="J36">
        <v>743963</v>
      </c>
      <c r="L36" t="s">
        <v>117</v>
      </c>
      <c r="M36" t="s">
        <v>65</v>
      </c>
      <c r="N36" t="s">
        <v>66</v>
      </c>
      <c r="O36" s="2">
        <v>46113</v>
      </c>
      <c r="P36" s="1">
        <v>269</v>
      </c>
      <c r="Q36" t="s">
        <v>67</v>
      </c>
      <c r="R36">
        <v>7.77</v>
      </c>
      <c r="S36">
        <v>2.12</v>
      </c>
      <c r="T36">
        <v>0.38</v>
      </c>
      <c r="U36">
        <v>260.85000000000002</v>
      </c>
      <c r="V36" s="1">
        <v>0</v>
      </c>
      <c r="X36">
        <v>20260406</v>
      </c>
      <c r="Z36" t="s">
        <v>72</v>
      </c>
      <c r="AA36">
        <v>3974527</v>
      </c>
      <c r="AB36" t="s">
        <v>106</v>
      </c>
      <c r="AE36" s="3">
        <v>0.78413194444444445</v>
      </c>
      <c r="AF36" t="s">
        <v>70</v>
      </c>
      <c r="AI36" s="8">
        <v>46128</v>
      </c>
      <c r="AJ36" s="40">
        <v>-808</v>
      </c>
    </row>
    <row r="37" spans="1:36">
      <c r="A37">
        <v>1023366</v>
      </c>
      <c r="B37" t="s">
        <v>75</v>
      </c>
      <c r="C37" t="s">
        <v>62</v>
      </c>
      <c r="D37" s="2">
        <v>46113</v>
      </c>
      <c r="E37" s="2">
        <v>46113</v>
      </c>
      <c r="G37">
        <v>348</v>
      </c>
      <c r="H37" t="s">
        <v>63</v>
      </c>
      <c r="I37">
        <v>6483</v>
      </c>
      <c r="J37">
        <v>437521</v>
      </c>
      <c r="L37" t="s">
        <v>118</v>
      </c>
      <c r="M37" t="s">
        <v>65</v>
      </c>
      <c r="N37" t="s">
        <v>66</v>
      </c>
      <c r="O37" s="2">
        <v>46113</v>
      </c>
      <c r="P37" s="1">
        <v>55</v>
      </c>
      <c r="Q37" t="s">
        <v>67</v>
      </c>
      <c r="R37">
        <v>1.59</v>
      </c>
      <c r="S37">
        <v>0.43</v>
      </c>
      <c r="T37">
        <v>0.08</v>
      </c>
      <c r="U37">
        <v>53.33</v>
      </c>
      <c r="V37" s="1">
        <v>0</v>
      </c>
      <c r="X37">
        <v>20260406</v>
      </c>
      <c r="Z37" t="s">
        <v>72</v>
      </c>
      <c r="AA37">
        <v>3974527</v>
      </c>
      <c r="AB37" t="s">
        <v>81</v>
      </c>
      <c r="AE37" s="3">
        <v>0.78842592592592597</v>
      </c>
      <c r="AF37" t="s">
        <v>70</v>
      </c>
      <c r="AI37" s="6" t="s">
        <v>537</v>
      </c>
      <c r="AJ37" s="40">
        <v>0</v>
      </c>
    </row>
    <row r="38" spans="1:36">
      <c r="A38">
        <v>1023366</v>
      </c>
      <c r="B38" t="s">
        <v>75</v>
      </c>
      <c r="C38" t="s">
        <v>62</v>
      </c>
      <c r="D38" s="2">
        <v>46113</v>
      </c>
      <c r="E38" s="2">
        <v>46113</v>
      </c>
      <c r="G38">
        <v>348</v>
      </c>
      <c r="H38" t="s">
        <v>63</v>
      </c>
      <c r="I38">
        <v>6485</v>
      </c>
      <c r="J38">
        <v>467118</v>
      </c>
      <c r="K38">
        <v>3</v>
      </c>
      <c r="L38" t="s">
        <v>119</v>
      </c>
      <c r="M38" t="s">
        <v>65</v>
      </c>
      <c r="N38" t="s">
        <v>66</v>
      </c>
      <c r="O38" s="2">
        <v>46113</v>
      </c>
      <c r="P38" s="1">
        <v>279</v>
      </c>
      <c r="Q38" t="s">
        <v>67</v>
      </c>
      <c r="R38">
        <v>12.94</v>
      </c>
      <c r="S38">
        <v>1.64</v>
      </c>
      <c r="T38">
        <v>0.3</v>
      </c>
      <c r="U38">
        <v>265.76</v>
      </c>
      <c r="V38" s="1">
        <v>0</v>
      </c>
      <c r="X38">
        <v>20260406</v>
      </c>
      <c r="Z38" t="s">
        <v>72</v>
      </c>
      <c r="AA38">
        <v>3974527</v>
      </c>
      <c r="AB38" t="s">
        <v>93</v>
      </c>
      <c r="AC38" t="s">
        <v>120</v>
      </c>
      <c r="AE38" s="3">
        <v>0.79296296296296298</v>
      </c>
      <c r="AF38" t="s">
        <v>70</v>
      </c>
      <c r="AI38" s="7" t="s">
        <v>537</v>
      </c>
      <c r="AJ38" s="40">
        <v>0</v>
      </c>
    </row>
    <row r="39" spans="1:36">
      <c r="A39">
        <v>1023366</v>
      </c>
      <c r="B39" t="s">
        <v>75</v>
      </c>
      <c r="C39" t="s">
        <v>62</v>
      </c>
      <c r="D39" s="2">
        <v>46113</v>
      </c>
      <c r="E39" s="2">
        <v>46113</v>
      </c>
      <c r="G39">
        <v>348</v>
      </c>
      <c r="H39" t="s">
        <v>63</v>
      </c>
      <c r="I39">
        <v>6487</v>
      </c>
      <c r="J39">
        <v>107132</v>
      </c>
      <c r="L39" t="s">
        <v>121</v>
      </c>
      <c r="M39" t="s">
        <v>65</v>
      </c>
      <c r="N39" t="s">
        <v>66</v>
      </c>
      <c r="O39" s="2">
        <v>46113</v>
      </c>
      <c r="P39" s="1">
        <v>349</v>
      </c>
      <c r="Q39" t="s">
        <v>67</v>
      </c>
      <c r="R39">
        <v>10.09</v>
      </c>
      <c r="S39">
        <v>4.51</v>
      </c>
      <c r="T39">
        <v>0.81</v>
      </c>
      <c r="U39">
        <v>338.1</v>
      </c>
      <c r="V39" s="1">
        <v>0</v>
      </c>
      <c r="X39">
        <v>20260406</v>
      </c>
      <c r="Z39" t="s">
        <v>68</v>
      </c>
      <c r="AA39">
        <v>3974527</v>
      </c>
      <c r="AB39" t="s">
        <v>122</v>
      </c>
      <c r="AE39" s="3">
        <v>0.79533564814814817</v>
      </c>
      <c r="AF39" t="s">
        <v>70</v>
      </c>
      <c r="AI39" s="6" t="s">
        <v>538</v>
      </c>
      <c r="AJ39" s="40">
        <v>506081.37000000005</v>
      </c>
    </row>
    <row r="40" spans="1:36">
      <c r="A40">
        <v>1023366</v>
      </c>
      <c r="B40" t="s">
        <v>75</v>
      </c>
      <c r="C40" t="s">
        <v>62</v>
      </c>
      <c r="D40" s="2">
        <v>46113</v>
      </c>
      <c r="E40" s="2">
        <v>46113</v>
      </c>
      <c r="G40">
        <v>348</v>
      </c>
      <c r="H40" t="s">
        <v>63</v>
      </c>
      <c r="I40">
        <v>6489</v>
      </c>
      <c r="J40">
        <v>529428</v>
      </c>
      <c r="K40">
        <v>3</v>
      </c>
      <c r="L40" t="s">
        <v>123</v>
      </c>
      <c r="M40" t="s">
        <v>65</v>
      </c>
      <c r="N40" t="s">
        <v>66</v>
      </c>
      <c r="O40" s="2">
        <v>46113</v>
      </c>
      <c r="P40" s="1">
        <v>49</v>
      </c>
      <c r="Q40" t="s">
        <v>67</v>
      </c>
      <c r="R40">
        <v>2.2799999999999998</v>
      </c>
      <c r="S40">
        <v>0.28999999999999998</v>
      </c>
      <c r="T40">
        <v>0.05</v>
      </c>
      <c r="U40">
        <v>46.67</v>
      </c>
      <c r="V40" s="1">
        <v>0</v>
      </c>
      <c r="X40">
        <v>20260406</v>
      </c>
      <c r="Z40" t="s">
        <v>72</v>
      </c>
      <c r="AA40">
        <v>3974527</v>
      </c>
      <c r="AB40" t="s">
        <v>93</v>
      </c>
      <c r="AC40" t="s">
        <v>120</v>
      </c>
      <c r="AE40" s="3">
        <v>0.80234953703703704</v>
      </c>
      <c r="AF40" t="s">
        <v>70</v>
      </c>
    </row>
    <row r="41" spans="1:36">
      <c r="A41">
        <v>1023366</v>
      </c>
      <c r="B41" t="s">
        <v>75</v>
      </c>
      <c r="C41" t="s">
        <v>62</v>
      </c>
      <c r="D41" s="2">
        <v>46113</v>
      </c>
      <c r="E41" s="2">
        <v>46113</v>
      </c>
      <c r="G41">
        <v>348</v>
      </c>
      <c r="H41" t="s">
        <v>63</v>
      </c>
      <c r="I41">
        <v>6491</v>
      </c>
      <c r="J41">
        <v>576766</v>
      </c>
      <c r="K41">
        <v>2</v>
      </c>
      <c r="L41" t="s">
        <v>124</v>
      </c>
      <c r="M41" t="s">
        <v>65</v>
      </c>
      <c r="N41" t="s">
        <v>66</v>
      </c>
      <c r="O41" s="2">
        <v>46113</v>
      </c>
      <c r="P41" s="1">
        <v>269</v>
      </c>
      <c r="Q41" t="s">
        <v>67</v>
      </c>
      <c r="R41">
        <v>12.48</v>
      </c>
      <c r="S41">
        <v>2.12</v>
      </c>
      <c r="T41">
        <v>0.38</v>
      </c>
      <c r="U41">
        <v>256.14</v>
      </c>
      <c r="V41" s="1">
        <v>0</v>
      </c>
      <c r="X41">
        <v>20260406</v>
      </c>
      <c r="Z41" t="s">
        <v>72</v>
      </c>
      <c r="AA41">
        <v>3974527</v>
      </c>
      <c r="AB41" t="s">
        <v>93</v>
      </c>
      <c r="AC41" t="s">
        <v>120</v>
      </c>
      <c r="AE41" s="3">
        <v>0.80938657407407411</v>
      </c>
      <c r="AF41" t="s">
        <v>70</v>
      </c>
    </row>
    <row r="42" spans="1:36">
      <c r="A42">
        <v>1023366</v>
      </c>
      <c r="B42" t="s">
        <v>75</v>
      </c>
      <c r="C42" t="s">
        <v>62</v>
      </c>
      <c r="D42" s="2">
        <v>46113</v>
      </c>
      <c r="E42" s="2">
        <v>46113</v>
      </c>
      <c r="G42">
        <v>348</v>
      </c>
      <c r="H42" t="s">
        <v>63</v>
      </c>
      <c r="I42">
        <v>6493</v>
      </c>
      <c r="J42">
        <v>9604</v>
      </c>
      <c r="L42" t="s">
        <v>125</v>
      </c>
      <c r="M42" t="s">
        <v>65</v>
      </c>
      <c r="N42" t="s">
        <v>66</v>
      </c>
      <c r="O42" s="2">
        <v>46113</v>
      </c>
      <c r="P42" s="1">
        <v>89.9</v>
      </c>
      <c r="Q42" t="s">
        <v>67</v>
      </c>
      <c r="R42">
        <v>2.6</v>
      </c>
      <c r="S42">
        <v>0.35</v>
      </c>
      <c r="T42">
        <v>0.06</v>
      </c>
      <c r="U42">
        <v>87.24</v>
      </c>
      <c r="V42" s="1">
        <v>0</v>
      </c>
      <c r="X42">
        <v>20260406</v>
      </c>
      <c r="Z42" t="s">
        <v>72</v>
      </c>
      <c r="AA42">
        <v>3974527</v>
      </c>
      <c r="AB42" t="s">
        <v>79</v>
      </c>
      <c r="AE42" s="3">
        <v>0.82226851851851857</v>
      </c>
      <c r="AF42" t="s">
        <v>70</v>
      </c>
    </row>
    <row r="43" spans="1:36">
      <c r="A43">
        <v>1023366</v>
      </c>
      <c r="B43" t="s">
        <v>75</v>
      </c>
      <c r="C43" t="s">
        <v>62</v>
      </c>
      <c r="D43" s="2">
        <v>46113</v>
      </c>
      <c r="E43" s="2">
        <v>46113</v>
      </c>
      <c r="G43">
        <v>348</v>
      </c>
      <c r="H43" t="s">
        <v>63</v>
      </c>
      <c r="I43">
        <v>6495</v>
      </c>
      <c r="J43">
        <v>10445</v>
      </c>
      <c r="K43">
        <v>2</v>
      </c>
      <c r="L43" t="s">
        <v>126</v>
      </c>
      <c r="M43" t="s">
        <v>65</v>
      </c>
      <c r="N43" t="s">
        <v>66</v>
      </c>
      <c r="O43" s="2">
        <v>46113</v>
      </c>
      <c r="P43" s="1">
        <v>269</v>
      </c>
      <c r="Q43" t="s">
        <v>67</v>
      </c>
      <c r="R43">
        <v>7.77</v>
      </c>
      <c r="S43">
        <v>2.12</v>
      </c>
      <c r="T43">
        <v>0.38</v>
      </c>
      <c r="U43">
        <v>260.85000000000002</v>
      </c>
      <c r="V43" s="1">
        <v>0</v>
      </c>
      <c r="X43">
        <v>20260406</v>
      </c>
      <c r="Z43" t="s">
        <v>72</v>
      </c>
      <c r="AA43">
        <v>3974527</v>
      </c>
      <c r="AB43" t="s">
        <v>84</v>
      </c>
      <c r="AC43" t="s">
        <v>74</v>
      </c>
      <c r="AE43" s="3">
        <v>0.83246527777777779</v>
      </c>
      <c r="AF43" t="s">
        <v>70</v>
      </c>
    </row>
    <row r="44" spans="1:36">
      <c r="A44">
        <v>1023366</v>
      </c>
      <c r="B44" t="s">
        <v>75</v>
      </c>
      <c r="C44" t="s">
        <v>62</v>
      </c>
      <c r="D44" s="2">
        <v>46113</v>
      </c>
      <c r="E44" s="2">
        <v>46113</v>
      </c>
      <c r="G44">
        <v>348</v>
      </c>
      <c r="H44" t="s">
        <v>63</v>
      </c>
      <c r="I44">
        <v>6501</v>
      </c>
      <c r="J44">
        <v>123937</v>
      </c>
      <c r="L44" t="s">
        <v>127</v>
      </c>
      <c r="M44" t="s">
        <v>65</v>
      </c>
      <c r="N44" t="s">
        <v>66</v>
      </c>
      <c r="O44" s="2">
        <v>46113</v>
      </c>
      <c r="P44" s="1">
        <v>1899</v>
      </c>
      <c r="Q44" t="s">
        <v>67</v>
      </c>
      <c r="R44">
        <v>54.88</v>
      </c>
      <c r="S44">
        <v>24.5</v>
      </c>
      <c r="T44">
        <v>4.41</v>
      </c>
      <c r="U44">
        <v>1839.71</v>
      </c>
      <c r="V44" s="1">
        <v>0</v>
      </c>
      <c r="X44">
        <v>20260406</v>
      </c>
      <c r="Z44" t="s">
        <v>68</v>
      </c>
      <c r="AA44">
        <v>3974527</v>
      </c>
      <c r="AB44" t="s">
        <v>77</v>
      </c>
      <c r="AE44" s="3">
        <v>0.83649305555555553</v>
      </c>
      <c r="AF44" t="s">
        <v>70</v>
      </c>
    </row>
    <row r="45" spans="1:36">
      <c r="A45">
        <v>1023366</v>
      </c>
      <c r="B45" t="s">
        <v>75</v>
      </c>
      <c r="C45" t="s">
        <v>62</v>
      </c>
      <c r="D45" s="2">
        <v>46113</v>
      </c>
      <c r="E45" s="2">
        <v>46113</v>
      </c>
      <c r="G45">
        <v>348</v>
      </c>
      <c r="H45" t="s">
        <v>63</v>
      </c>
      <c r="I45">
        <v>6503</v>
      </c>
      <c r="J45">
        <v>12262</v>
      </c>
      <c r="L45" t="s">
        <v>128</v>
      </c>
      <c r="M45" t="s">
        <v>65</v>
      </c>
      <c r="N45" t="s">
        <v>66</v>
      </c>
      <c r="O45" s="2">
        <v>46113</v>
      </c>
      <c r="P45" s="1">
        <v>268.89999999999998</v>
      </c>
      <c r="Q45" t="s">
        <v>67</v>
      </c>
      <c r="R45">
        <v>7.77</v>
      </c>
      <c r="S45">
        <v>1.05</v>
      </c>
      <c r="T45">
        <v>0.19</v>
      </c>
      <c r="U45">
        <v>260.94</v>
      </c>
      <c r="V45" s="1">
        <v>0</v>
      </c>
      <c r="X45">
        <v>20260406</v>
      </c>
      <c r="Z45" t="s">
        <v>72</v>
      </c>
      <c r="AA45">
        <v>3974527</v>
      </c>
      <c r="AB45" t="s">
        <v>84</v>
      </c>
      <c r="AE45" s="3">
        <v>0.83709490740740744</v>
      </c>
      <c r="AF45" t="s">
        <v>70</v>
      </c>
    </row>
    <row r="46" spans="1:36">
      <c r="A46">
        <v>1023366</v>
      </c>
      <c r="B46" t="s">
        <v>75</v>
      </c>
      <c r="C46" t="s">
        <v>62</v>
      </c>
      <c r="D46" s="2">
        <v>46113</v>
      </c>
      <c r="E46" s="2">
        <v>46113</v>
      </c>
      <c r="G46">
        <v>348</v>
      </c>
      <c r="H46" t="s">
        <v>63</v>
      </c>
      <c r="I46">
        <v>6506</v>
      </c>
      <c r="J46">
        <v>768317</v>
      </c>
      <c r="L46" t="s">
        <v>129</v>
      </c>
      <c r="M46" t="s">
        <v>65</v>
      </c>
      <c r="N46" t="s">
        <v>66</v>
      </c>
      <c r="O46" s="2">
        <v>46113</v>
      </c>
      <c r="P46" s="1">
        <v>79</v>
      </c>
      <c r="Q46" t="s">
        <v>67</v>
      </c>
      <c r="R46">
        <v>2.2799999999999998</v>
      </c>
      <c r="S46">
        <v>0.3</v>
      </c>
      <c r="T46">
        <v>0.05</v>
      </c>
      <c r="U46">
        <v>76.67</v>
      </c>
      <c r="V46" s="1">
        <v>0</v>
      </c>
      <c r="X46">
        <v>20260406</v>
      </c>
      <c r="Z46" t="s">
        <v>72</v>
      </c>
      <c r="AA46">
        <v>3974527</v>
      </c>
      <c r="AB46" t="s">
        <v>81</v>
      </c>
      <c r="AE46" s="3">
        <v>0.83858796296296301</v>
      </c>
      <c r="AF46" t="s">
        <v>70</v>
      </c>
    </row>
    <row r="47" spans="1:36">
      <c r="A47">
        <v>1023366</v>
      </c>
      <c r="B47" t="s">
        <v>75</v>
      </c>
      <c r="C47" t="s">
        <v>62</v>
      </c>
      <c r="D47" s="2">
        <v>46113</v>
      </c>
      <c r="E47" s="2">
        <v>46113</v>
      </c>
      <c r="G47">
        <v>348</v>
      </c>
      <c r="H47">
        <v>65656565</v>
      </c>
      <c r="I47">
        <v>6508</v>
      </c>
      <c r="J47">
        <v>121758</v>
      </c>
      <c r="L47" t="s">
        <v>130</v>
      </c>
      <c r="M47" t="s">
        <v>65</v>
      </c>
      <c r="N47" t="s">
        <v>66</v>
      </c>
      <c r="O47" s="2">
        <v>46113</v>
      </c>
      <c r="P47" s="1">
        <v>193</v>
      </c>
      <c r="Q47" t="s">
        <v>67</v>
      </c>
      <c r="R47">
        <v>5.57</v>
      </c>
      <c r="S47">
        <v>2.48</v>
      </c>
      <c r="T47">
        <v>0.45</v>
      </c>
      <c r="U47">
        <v>186.98</v>
      </c>
      <c r="V47" s="1">
        <v>0</v>
      </c>
      <c r="X47">
        <v>20260406</v>
      </c>
      <c r="Z47" t="s">
        <v>68</v>
      </c>
      <c r="AA47">
        <v>3974527</v>
      </c>
      <c r="AB47" t="s">
        <v>79</v>
      </c>
      <c r="AD47" t="s">
        <v>88</v>
      </c>
      <c r="AE47" s="3">
        <v>0.84416666666666662</v>
      </c>
      <c r="AF47" t="s">
        <v>70</v>
      </c>
    </row>
    <row r="48" spans="1:36">
      <c r="A48">
        <v>1023366</v>
      </c>
      <c r="B48" t="s">
        <v>75</v>
      </c>
      <c r="C48" t="s">
        <v>62</v>
      </c>
      <c r="D48" s="2">
        <v>46113</v>
      </c>
      <c r="E48" s="2">
        <v>46113</v>
      </c>
      <c r="G48">
        <v>348</v>
      </c>
      <c r="H48" t="s">
        <v>63</v>
      </c>
      <c r="I48">
        <v>6511</v>
      </c>
      <c r="J48">
        <v>14504</v>
      </c>
      <c r="L48" t="s">
        <v>131</v>
      </c>
      <c r="M48" t="s">
        <v>65</v>
      </c>
      <c r="N48" t="s">
        <v>66</v>
      </c>
      <c r="O48" s="2">
        <v>46113</v>
      </c>
      <c r="P48" s="1">
        <v>119.7</v>
      </c>
      <c r="Q48" t="s">
        <v>67</v>
      </c>
      <c r="R48">
        <v>3.46</v>
      </c>
      <c r="S48">
        <v>1.54</v>
      </c>
      <c r="T48">
        <v>0.28000000000000003</v>
      </c>
      <c r="U48">
        <v>115.96</v>
      </c>
      <c r="V48" s="1">
        <v>0</v>
      </c>
      <c r="X48">
        <v>20260406</v>
      </c>
      <c r="Z48" t="s">
        <v>68</v>
      </c>
      <c r="AA48">
        <v>3974527</v>
      </c>
      <c r="AB48" t="s">
        <v>77</v>
      </c>
      <c r="AE48" s="3">
        <v>0.84798611111111111</v>
      </c>
      <c r="AF48" t="s">
        <v>70</v>
      </c>
    </row>
    <row r="49" spans="1:42">
      <c r="A49">
        <v>1023366</v>
      </c>
      <c r="B49" t="s">
        <v>75</v>
      </c>
      <c r="C49" t="s">
        <v>62</v>
      </c>
      <c r="D49" s="2">
        <v>46113</v>
      </c>
      <c r="E49" s="2">
        <v>46113</v>
      </c>
      <c r="G49">
        <v>348</v>
      </c>
      <c r="H49" t="s">
        <v>63</v>
      </c>
      <c r="I49">
        <v>6513</v>
      </c>
      <c r="J49">
        <v>440858</v>
      </c>
      <c r="L49" t="s">
        <v>132</v>
      </c>
      <c r="M49" t="s">
        <v>65</v>
      </c>
      <c r="N49" t="s">
        <v>66</v>
      </c>
      <c r="O49" s="2">
        <v>46113</v>
      </c>
      <c r="P49" s="1">
        <v>79</v>
      </c>
      <c r="Q49" t="s">
        <v>67</v>
      </c>
      <c r="R49">
        <v>2.2799999999999998</v>
      </c>
      <c r="S49">
        <v>0.46</v>
      </c>
      <c r="T49">
        <v>0.08</v>
      </c>
      <c r="U49">
        <v>76.64</v>
      </c>
      <c r="V49" s="1">
        <v>20061.3</v>
      </c>
      <c r="W49" s="2">
        <v>46118</v>
      </c>
      <c r="X49">
        <v>20260406</v>
      </c>
      <c r="Z49" t="s">
        <v>72</v>
      </c>
      <c r="AA49">
        <v>3974527</v>
      </c>
      <c r="AB49" t="s">
        <v>77</v>
      </c>
      <c r="AE49" s="3">
        <v>0.86388888888888893</v>
      </c>
      <c r="AF49" t="s">
        <v>70</v>
      </c>
      <c r="AL49">
        <v>104107</v>
      </c>
      <c r="AM49" s="30">
        <f>+V49</f>
        <v>20061.3</v>
      </c>
      <c r="AN49" t="str">
        <f>_xlfn.XLOOKUP(V49,Bancos!H:H,Bancos!C:C)</f>
        <v>8224819</v>
      </c>
      <c r="AO49" t="str">
        <f>_xlfn.XLOOKUP(AN49,Bancos!C:C,Bancos!A:A)</f>
        <v>06/04/2026</v>
      </c>
      <c r="AP49" s="12">
        <f>+AO49-W49</f>
        <v>0</v>
      </c>
    </row>
    <row r="50" spans="1:42">
      <c r="A50">
        <v>1023366</v>
      </c>
      <c r="B50" t="s">
        <v>133</v>
      </c>
      <c r="C50" t="s">
        <v>62</v>
      </c>
      <c r="D50" s="2">
        <v>46113</v>
      </c>
      <c r="E50" s="2">
        <v>46113</v>
      </c>
      <c r="G50">
        <v>348</v>
      </c>
      <c r="H50" t="s">
        <v>63</v>
      </c>
      <c r="I50">
        <v>6446</v>
      </c>
      <c r="J50">
        <v>48843</v>
      </c>
      <c r="L50" t="s">
        <v>134</v>
      </c>
      <c r="M50" t="s">
        <v>65</v>
      </c>
      <c r="N50" t="s">
        <v>66</v>
      </c>
      <c r="O50" s="2">
        <v>46113</v>
      </c>
      <c r="P50" s="1">
        <v>49</v>
      </c>
      <c r="Q50" t="s">
        <v>67</v>
      </c>
      <c r="R50">
        <v>1.42</v>
      </c>
      <c r="S50">
        <v>1.42</v>
      </c>
      <c r="T50">
        <v>0.26</v>
      </c>
      <c r="U50">
        <v>47.32</v>
      </c>
      <c r="V50" s="1">
        <v>47.32</v>
      </c>
      <c r="W50" s="2">
        <v>46118</v>
      </c>
      <c r="X50">
        <v>20260406</v>
      </c>
      <c r="Z50" t="s">
        <v>68</v>
      </c>
      <c r="AA50">
        <v>3974527</v>
      </c>
      <c r="AB50" t="s">
        <v>135</v>
      </c>
      <c r="AE50" s="3">
        <v>0.64671296296296299</v>
      </c>
      <c r="AF50" t="s">
        <v>70</v>
      </c>
      <c r="AL50">
        <v>104107</v>
      </c>
      <c r="AM50" s="30">
        <f>+V50</f>
        <v>47.32</v>
      </c>
      <c r="AN50" t="str">
        <f>_xlfn.XLOOKUP(V50,Bancos!H:H,Bancos!C:C)</f>
        <v>8170924</v>
      </c>
      <c r="AO50" t="str">
        <f>_xlfn.XLOOKUP(AN50,Bancos!C:C,Bancos!A:A)</f>
        <v>06/04/2026</v>
      </c>
      <c r="AP50" s="12">
        <f>+AO50-W50</f>
        <v>0</v>
      </c>
    </row>
    <row r="51" spans="1:42">
      <c r="A51">
        <v>1023366</v>
      </c>
      <c r="B51" t="s">
        <v>61</v>
      </c>
      <c r="C51" t="s">
        <v>62</v>
      </c>
      <c r="D51" s="2">
        <v>46114</v>
      </c>
      <c r="E51" s="2">
        <v>46114</v>
      </c>
      <c r="G51">
        <v>349</v>
      </c>
      <c r="H51" t="s">
        <v>63</v>
      </c>
      <c r="I51">
        <v>6560</v>
      </c>
      <c r="J51">
        <v>100970</v>
      </c>
      <c r="L51" t="s">
        <v>136</v>
      </c>
      <c r="M51" t="s">
        <v>65</v>
      </c>
      <c r="N51" t="s">
        <v>66</v>
      </c>
      <c r="O51" s="2">
        <v>46114</v>
      </c>
      <c r="P51" s="1">
        <v>179.8</v>
      </c>
      <c r="Q51" t="s">
        <v>67</v>
      </c>
      <c r="R51">
        <v>5.2</v>
      </c>
      <c r="S51">
        <v>1.42</v>
      </c>
      <c r="T51">
        <v>0.26</v>
      </c>
      <c r="U51">
        <v>174.34</v>
      </c>
      <c r="V51" s="1">
        <v>0</v>
      </c>
      <c r="X51">
        <v>20260406</v>
      </c>
      <c r="Z51" t="s">
        <v>72</v>
      </c>
      <c r="AA51">
        <v>3974527</v>
      </c>
      <c r="AB51" t="s">
        <v>73</v>
      </c>
      <c r="AE51" s="3">
        <v>0.59675925925925921</v>
      </c>
      <c r="AF51" t="s">
        <v>70</v>
      </c>
    </row>
    <row r="52" spans="1:42">
      <c r="A52">
        <v>1023366</v>
      </c>
      <c r="B52" t="s">
        <v>61</v>
      </c>
      <c r="C52" t="s">
        <v>62</v>
      </c>
      <c r="D52" s="2">
        <v>46114</v>
      </c>
      <c r="E52" s="2">
        <v>46114</v>
      </c>
      <c r="G52">
        <v>349</v>
      </c>
      <c r="H52" t="s">
        <v>63</v>
      </c>
      <c r="I52">
        <v>6588</v>
      </c>
      <c r="J52" t="s">
        <v>137</v>
      </c>
      <c r="L52" t="s">
        <v>138</v>
      </c>
      <c r="M52" t="s">
        <v>65</v>
      </c>
      <c r="N52" t="s">
        <v>66</v>
      </c>
      <c r="O52" s="2">
        <v>46114</v>
      </c>
      <c r="P52" s="1">
        <v>179</v>
      </c>
      <c r="Q52" t="s">
        <v>67</v>
      </c>
      <c r="R52">
        <v>5.17</v>
      </c>
      <c r="S52">
        <v>0.61</v>
      </c>
      <c r="T52">
        <v>0.11</v>
      </c>
      <c r="U52">
        <v>173.72</v>
      </c>
      <c r="V52" s="1">
        <v>0</v>
      </c>
      <c r="X52">
        <v>20260406</v>
      </c>
      <c r="Z52" t="s">
        <v>72</v>
      </c>
      <c r="AA52">
        <v>3974527</v>
      </c>
      <c r="AB52" t="s">
        <v>139</v>
      </c>
      <c r="AE52" s="3">
        <v>0.67703703703703699</v>
      </c>
      <c r="AF52" t="s">
        <v>70</v>
      </c>
    </row>
    <row r="53" spans="1:42">
      <c r="A53">
        <v>1023366</v>
      </c>
      <c r="B53" t="s">
        <v>61</v>
      </c>
      <c r="C53" t="s">
        <v>62</v>
      </c>
      <c r="D53" s="2">
        <v>46114</v>
      </c>
      <c r="E53" s="2">
        <v>46114</v>
      </c>
      <c r="G53">
        <v>349</v>
      </c>
      <c r="H53" t="s">
        <v>63</v>
      </c>
      <c r="I53">
        <v>6592</v>
      </c>
      <c r="J53" t="s">
        <v>140</v>
      </c>
      <c r="L53" t="s">
        <v>141</v>
      </c>
      <c r="M53" t="s">
        <v>65</v>
      </c>
      <c r="N53" t="s">
        <v>66</v>
      </c>
      <c r="O53" s="2">
        <v>46114</v>
      </c>
      <c r="P53" s="1">
        <v>169</v>
      </c>
      <c r="Q53" t="s">
        <v>67</v>
      </c>
      <c r="R53">
        <v>4.88</v>
      </c>
      <c r="S53">
        <v>1.25</v>
      </c>
      <c r="T53">
        <v>0.23</v>
      </c>
      <c r="U53">
        <v>163.89</v>
      </c>
      <c r="V53" s="1">
        <v>0</v>
      </c>
      <c r="X53">
        <v>20260406</v>
      </c>
      <c r="Z53" t="s">
        <v>72</v>
      </c>
      <c r="AA53">
        <v>3974527</v>
      </c>
      <c r="AB53" t="s">
        <v>122</v>
      </c>
      <c r="AE53" s="3">
        <v>0.6834837962962963</v>
      </c>
      <c r="AF53" t="s">
        <v>70</v>
      </c>
    </row>
    <row r="54" spans="1:42">
      <c r="A54">
        <v>1023366</v>
      </c>
      <c r="B54" t="s">
        <v>61</v>
      </c>
      <c r="C54" t="s">
        <v>62</v>
      </c>
      <c r="D54" s="2">
        <v>46114</v>
      </c>
      <c r="E54" s="2">
        <v>46114</v>
      </c>
      <c r="G54">
        <v>349</v>
      </c>
      <c r="H54" t="s">
        <v>63</v>
      </c>
      <c r="I54">
        <v>6611</v>
      </c>
      <c r="J54">
        <v>713939</v>
      </c>
      <c r="L54" t="s">
        <v>142</v>
      </c>
      <c r="M54" t="s">
        <v>65</v>
      </c>
      <c r="N54" t="s">
        <v>66</v>
      </c>
      <c r="O54" s="2">
        <v>46114</v>
      </c>
      <c r="P54" s="1">
        <v>129</v>
      </c>
      <c r="Q54" t="s">
        <v>67</v>
      </c>
      <c r="R54">
        <v>3.73</v>
      </c>
      <c r="S54">
        <v>0.44</v>
      </c>
      <c r="T54">
        <v>0.08</v>
      </c>
      <c r="U54">
        <v>125.19</v>
      </c>
      <c r="V54" s="1">
        <v>0</v>
      </c>
      <c r="X54">
        <v>20260406</v>
      </c>
      <c r="Z54" t="s">
        <v>72</v>
      </c>
      <c r="AA54">
        <v>3974527</v>
      </c>
      <c r="AB54" t="s">
        <v>93</v>
      </c>
      <c r="AE54" s="3">
        <v>0.73107638888888893</v>
      </c>
      <c r="AF54" t="s">
        <v>70</v>
      </c>
    </row>
    <row r="55" spans="1:42">
      <c r="A55">
        <v>1023366</v>
      </c>
      <c r="B55" t="s">
        <v>61</v>
      </c>
      <c r="C55" t="s">
        <v>62</v>
      </c>
      <c r="D55" s="2">
        <v>46114</v>
      </c>
      <c r="E55" s="2">
        <v>46114</v>
      </c>
      <c r="G55">
        <v>349</v>
      </c>
      <c r="H55" t="s">
        <v>63</v>
      </c>
      <c r="I55">
        <v>6657</v>
      </c>
      <c r="J55" t="s">
        <v>143</v>
      </c>
      <c r="L55" t="s">
        <v>144</v>
      </c>
      <c r="M55" t="s">
        <v>65</v>
      </c>
      <c r="N55" t="s">
        <v>66</v>
      </c>
      <c r="O55" s="2">
        <v>46114</v>
      </c>
      <c r="P55" s="1">
        <v>89.9</v>
      </c>
      <c r="Q55" t="s">
        <v>67</v>
      </c>
      <c r="R55">
        <v>2.6</v>
      </c>
      <c r="S55">
        <v>0.71</v>
      </c>
      <c r="T55">
        <v>0.13</v>
      </c>
      <c r="U55">
        <v>87.17</v>
      </c>
      <c r="V55" s="1">
        <v>724.31</v>
      </c>
      <c r="W55" s="2">
        <v>46118</v>
      </c>
      <c r="X55">
        <v>20260406</v>
      </c>
      <c r="Z55" t="s">
        <v>72</v>
      </c>
      <c r="AA55">
        <v>3974527</v>
      </c>
      <c r="AB55" t="s">
        <v>145</v>
      </c>
      <c r="AE55" s="3">
        <v>0.84127314814814813</v>
      </c>
      <c r="AF55" t="s">
        <v>70</v>
      </c>
      <c r="AL55">
        <v>104107</v>
      </c>
      <c r="AM55" s="30">
        <f>+V55</f>
        <v>724.31</v>
      </c>
      <c r="AN55" t="str">
        <f>_xlfn.XLOOKUP(V55,Bancos!H:H,Bancos!C:C)</f>
        <v>8224820</v>
      </c>
      <c r="AO55" t="str">
        <f>_xlfn.XLOOKUP(AN55,Bancos!C:C,Bancos!A:A)</f>
        <v>06/04/2026</v>
      </c>
      <c r="AP55" s="12">
        <f>+AO55-W55</f>
        <v>0</v>
      </c>
    </row>
    <row r="56" spans="1:42">
      <c r="A56">
        <v>1023366</v>
      </c>
      <c r="B56" t="s">
        <v>146</v>
      </c>
      <c r="C56" t="s">
        <v>62</v>
      </c>
      <c r="D56" s="2">
        <v>46114</v>
      </c>
      <c r="E56" s="2">
        <v>46114</v>
      </c>
      <c r="G56">
        <v>349</v>
      </c>
      <c r="H56" t="s">
        <v>63</v>
      </c>
      <c r="I56">
        <v>6585</v>
      </c>
      <c r="J56" t="s">
        <v>147</v>
      </c>
      <c r="L56" t="s">
        <v>148</v>
      </c>
      <c r="M56" t="s">
        <v>65</v>
      </c>
      <c r="N56" t="s">
        <v>66</v>
      </c>
      <c r="O56" s="2">
        <v>46114</v>
      </c>
      <c r="P56" s="1">
        <v>149</v>
      </c>
      <c r="Q56" t="s">
        <v>67</v>
      </c>
      <c r="R56">
        <v>4.3099999999999996</v>
      </c>
      <c r="S56">
        <v>4.3099999999999996</v>
      </c>
      <c r="T56">
        <v>0.78</v>
      </c>
      <c r="U56">
        <v>143.91</v>
      </c>
      <c r="V56" s="1">
        <v>143.91</v>
      </c>
      <c r="W56" s="2">
        <v>46118</v>
      </c>
      <c r="X56">
        <v>20260406</v>
      </c>
      <c r="Z56" t="s">
        <v>72</v>
      </c>
      <c r="AA56">
        <v>3974527</v>
      </c>
      <c r="AB56" t="s">
        <v>149</v>
      </c>
      <c r="AE56" s="3">
        <v>0.65482638888888889</v>
      </c>
      <c r="AF56" t="s">
        <v>70</v>
      </c>
      <c r="AL56">
        <v>104107</v>
      </c>
      <c r="AM56" s="30">
        <f>+V56</f>
        <v>143.91</v>
      </c>
      <c r="AN56" t="str">
        <f>_xlfn.XLOOKUP(V56,Bancos!H:H,Bancos!C:C)</f>
        <v>8170926</v>
      </c>
      <c r="AO56" t="str">
        <f>_xlfn.XLOOKUP(AN56,Bancos!C:C,Bancos!A:A)</f>
        <v>06/04/2026</v>
      </c>
      <c r="AP56" s="12">
        <f>+AO56-W56</f>
        <v>0</v>
      </c>
    </row>
    <row r="57" spans="1:42">
      <c r="A57">
        <v>1023366</v>
      </c>
      <c r="B57" t="s">
        <v>75</v>
      </c>
      <c r="C57" t="s">
        <v>62</v>
      </c>
      <c r="D57" s="2">
        <v>46114</v>
      </c>
      <c r="E57" s="2">
        <v>46114</v>
      </c>
      <c r="G57">
        <v>349</v>
      </c>
      <c r="H57" t="s">
        <v>63</v>
      </c>
      <c r="I57">
        <v>6529</v>
      </c>
      <c r="J57">
        <v>543465</v>
      </c>
      <c r="L57" t="s">
        <v>150</v>
      </c>
      <c r="M57" t="s">
        <v>65</v>
      </c>
      <c r="N57" t="s">
        <v>66</v>
      </c>
      <c r="O57" s="2">
        <v>46114</v>
      </c>
      <c r="P57" s="1">
        <v>69</v>
      </c>
      <c r="Q57" t="s">
        <v>67</v>
      </c>
      <c r="R57">
        <v>1.99</v>
      </c>
      <c r="S57">
        <v>0.89</v>
      </c>
      <c r="T57">
        <v>0.16</v>
      </c>
      <c r="U57">
        <v>66.849999999999994</v>
      </c>
      <c r="V57" s="1">
        <v>0</v>
      </c>
      <c r="X57">
        <v>20260406</v>
      </c>
      <c r="Z57" t="s">
        <v>68</v>
      </c>
      <c r="AA57">
        <v>3974527</v>
      </c>
      <c r="AB57" t="s">
        <v>79</v>
      </c>
      <c r="AE57" s="3">
        <v>0.42228009259259258</v>
      </c>
      <c r="AF57" t="s">
        <v>70</v>
      </c>
    </row>
    <row r="58" spans="1:42">
      <c r="A58">
        <v>1023366</v>
      </c>
      <c r="B58" t="s">
        <v>75</v>
      </c>
      <c r="C58" t="s">
        <v>62</v>
      </c>
      <c r="D58" s="2">
        <v>46114</v>
      </c>
      <c r="E58" s="2">
        <v>46114</v>
      </c>
      <c r="G58">
        <v>349</v>
      </c>
      <c r="H58" t="s">
        <v>63</v>
      </c>
      <c r="I58">
        <v>6531</v>
      </c>
      <c r="J58">
        <v>207331</v>
      </c>
      <c r="K58">
        <v>3</v>
      </c>
      <c r="L58" t="s">
        <v>151</v>
      </c>
      <c r="M58" t="s">
        <v>65</v>
      </c>
      <c r="N58" t="s">
        <v>66</v>
      </c>
      <c r="O58" s="2">
        <v>46114</v>
      </c>
      <c r="P58" s="1">
        <v>968</v>
      </c>
      <c r="Q58" t="s">
        <v>67</v>
      </c>
      <c r="R58">
        <v>44.92</v>
      </c>
      <c r="S58">
        <v>5.72</v>
      </c>
      <c r="T58">
        <v>1.03</v>
      </c>
      <c r="U58">
        <v>922.05</v>
      </c>
      <c r="V58" s="1">
        <v>0</v>
      </c>
      <c r="X58">
        <v>20260406</v>
      </c>
      <c r="Z58" t="s">
        <v>72</v>
      </c>
      <c r="AA58">
        <v>3974527</v>
      </c>
      <c r="AB58" t="s">
        <v>93</v>
      </c>
      <c r="AC58" t="s">
        <v>120</v>
      </c>
      <c r="AE58" s="3">
        <v>0.43526620370370372</v>
      </c>
      <c r="AF58" t="s">
        <v>70</v>
      </c>
    </row>
    <row r="59" spans="1:42">
      <c r="A59">
        <v>1023366</v>
      </c>
      <c r="B59" t="s">
        <v>75</v>
      </c>
      <c r="C59" t="s">
        <v>62</v>
      </c>
      <c r="D59" s="2">
        <v>46114</v>
      </c>
      <c r="E59" s="2">
        <v>46114</v>
      </c>
      <c r="G59">
        <v>349</v>
      </c>
      <c r="H59" t="s">
        <v>63</v>
      </c>
      <c r="I59">
        <v>6533</v>
      </c>
      <c r="J59">
        <v>64601</v>
      </c>
      <c r="L59" t="s">
        <v>152</v>
      </c>
      <c r="M59" t="s">
        <v>65</v>
      </c>
      <c r="N59" t="s">
        <v>66</v>
      </c>
      <c r="O59" s="2">
        <v>46114</v>
      </c>
      <c r="P59" s="1">
        <v>139</v>
      </c>
      <c r="Q59" t="s">
        <v>67</v>
      </c>
      <c r="R59">
        <v>4.0199999999999996</v>
      </c>
      <c r="S59">
        <v>1.1000000000000001</v>
      </c>
      <c r="T59">
        <v>0.2</v>
      </c>
      <c r="U59">
        <v>134.78</v>
      </c>
      <c r="V59" s="1">
        <v>0</v>
      </c>
      <c r="X59">
        <v>20260406</v>
      </c>
      <c r="Z59" t="s">
        <v>72</v>
      </c>
      <c r="AA59">
        <v>3974527</v>
      </c>
      <c r="AB59" t="s">
        <v>84</v>
      </c>
      <c r="AE59" s="3">
        <v>0.49638888888888888</v>
      </c>
      <c r="AF59" t="s">
        <v>70</v>
      </c>
    </row>
    <row r="60" spans="1:42">
      <c r="A60">
        <v>1023366</v>
      </c>
      <c r="B60" t="s">
        <v>75</v>
      </c>
      <c r="C60" t="s">
        <v>62</v>
      </c>
      <c r="D60" s="2">
        <v>46114</v>
      </c>
      <c r="E60" s="2">
        <v>46114</v>
      </c>
      <c r="G60">
        <v>349</v>
      </c>
      <c r="H60" t="s">
        <v>63</v>
      </c>
      <c r="I60">
        <v>6535</v>
      </c>
      <c r="J60">
        <v>39056</v>
      </c>
      <c r="L60" t="s">
        <v>153</v>
      </c>
      <c r="M60" t="s">
        <v>65</v>
      </c>
      <c r="N60" t="s">
        <v>66</v>
      </c>
      <c r="O60" s="2">
        <v>46114</v>
      </c>
      <c r="P60" s="1">
        <v>39.9</v>
      </c>
      <c r="Q60" t="s">
        <v>67</v>
      </c>
      <c r="R60">
        <v>1.1499999999999999</v>
      </c>
      <c r="S60">
        <v>0.51</v>
      </c>
      <c r="T60">
        <v>0.09</v>
      </c>
      <c r="U60">
        <v>38.659999999999997</v>
      </c>
      <c r="V60" s="1">
        <v>0</v>
      </c>
      <c r="X60">
        <v>20260406</v>
      </c>
      <c r="Z60" t="s">
        <v>68</v>
      </c>
      <c r="AA60">
        <v>3974527</v>
      </c>
      <c r="AB60" t="s">
        <v>122</v>
      </c>
      <c r="AE60" s="3">
        <v>0.49960648148148146</v>
      </c>
      <c r="AF60" t="s">
        <v>70</v>
      </c>
    </row>
    <row r="61" spans="1:42">
      <c r="A61">
        <v>1023366</v>
      </c>
      <c r="B61" t="s">
        <v>75</v>
      </c>
      <c r="C61" t="s">
        <v>62</v>
      </c>
      <c r="D61" s="2">
        <v>46114</v>
      </c>
      <c r="E61" s="2">
        <v>46114</v>
      </c>
      <c r="G61">
        <v>349</v>
      </c>
      <c r="H61">
        <v>65656565</v>
      </c>
      <c r="I61">
        <v>6539</v>
      </c>
      <c r="J61">
        <v>572802</v>
      </c>
      <c r="L61" t="s">
        <v>154</v>
      </c>
      <c r="M61" t="s">
        <v>65</v>
      </c>
      <c r="N61" t="s">
        <v>66</v>
      </c>
      <c r="O61" s="2">
        <v>46114</v>
      </c>
      <c r="P61" s="1">
        <v>49</v>
      </c>
      <c r="Q61" t="s">
        <v>67</v>
      </c>
      <c r="R61">
        <v>1.41</v>
      </c>
      <c r="S61">
        <v>0.63</v>
      </c>
      <c r="T61">
        <v>0.11</v>
      </c>
      <c r="U61">
        <v>47.48</v>
      </c>
      <c r="V61" s="1">
        <v>0</v>
      </c>
      <c r="X61">
        <v>20260406</v>
      </c>
      <c r="Z61" t="s">
        <v>68</v>
      </c>
      <c r="AA61">
        <v>3974527</v>
      </c>
      <c r="AB61" t="s">
        <v>93</v>
      </c>
      <c r="AD61" t="s">
        <v>155</v>
      </c>
      <c r="AE61" s="3">
        <v>0.50289351851851849</v>
      </c>
      <c r="AF61" t="s">
        <v>70</v>
      </c>
    </row>
    <row r="62" spans="1:42">
      <c r="A62">
        <v>1023366</v>
      </c>
      <c r="B62" t="s">
        <v>75</v>
      </c>
      <c r="C62" t="s">
        <v>62</v>
      </c>
      <c r="D62" s="2">
        <v>46114</v>
      </c>
      <c r="E62" s="2">
        <v>46114</v>
      </c>
      <c r="G62">
        <v>349</v>
      </c>
      <c r="H62" t="s">
        <v>63</v>
      </c>
      <c r="I62">
        <v>6542</v>
      </c>
      <c r="J62">
        <v>4133</v>
      </c>
      <c r="L62" t="s">
        <v>156</v>
      </c>
      <c r="M62" t="s">
        <v>65</v>
      </c>
      <c r="N62" t="s">
        <v>66</v>
      </c>
      <c r="O62" s="2">
        <v>46114</v>
      </c>
      <c r="P62" s="1">
        <v>124</v>
      </c>
      <c r="Q62" t="s">
        <v>67</v>
      </c>
      <c r="R62">
        <v>3.58</v>
      </c>
      <c r="S62">
        <v>0.73</v>
      </c>
      <c r="T62">
        <v>0.13</v>
      </c>
      <c r="U62">
        <v>120.29</v>
      </c>
      <c r="V62" s="1">
        <v>0</v>
      </c>
      <c r="X62">
        <v>20260406</v>
      </c>
      <c r="Z62" t="s">
        <v>72</v>
      </c>
      <c r="AA62">
        <v>3974527</v>
      </c>
      <c r="AB62" t="s">
        <v>79</v>
      </c>
      <c r="AE62" s="3">
        <v>0.50541666666666663</v>
      </c>
      <c r="AF62" t="s">
        <v>70</v>
      </c>
    </row>
    <row r="63" spans="1:42">
      <c r="A63">
        <v>1023366</v>
      </c>
      <c r="B63" t="s">
        <v>75</v>
      </c>
      <c r="C63" t="s">
        <v>62</v>
      </c>
      <c r="D63" s="2">
        <v>46114</v>
      </c>
      <c r="E63" s="2">
        <v>46114</v>
      </c>
      <c r="G63">
        <v>349</v>
      </c>
      <c r="H63" t="s">
        <v>63</v>
      </c>
      <c r="I63">
        <v>6544</v>
      </c>
      <c r="J63">
        <v>791443</v>
      </c>
      <c r="L63" t="s">
        <v>157</v>
      </c>
      <c r="M63" t="s">
        <v>65</v>
      </c>
      <c r="N63" t="s">
        <v>66</v>
      </c>
      <c r="O63" s="2">
        <v>46114</v>
      </c>
      <c r="P63" s="1">
        <v>2998</v>
      </c>
      <c r="Q63" t="s">
        <v>67</v>
      </c>
      <c r="R63">
        <v>86.64</v>
      </c>
      <c r="S63">
        <v>38.67</v>
      </c>
      <c r="T63">
        <v>6.96</v>
      </c>
      <c r="U63">
        <v>2904.4</v>
      </c>
      <c r="V63" s="1">
        <v>0</v>
      </c>
      <c r="X63">
        <v>20260406</v>
      </c>
      <c r="Z63" t="s">
        <v>68</v>
      </c>
      <c r="AA63">
        <v>3974527</v>
      </c>
      <c r="AB63" t="s">
        <v>79</v>
      </c>
      <c r="AE63" s="3">
        <v>0.53050925925925929</v>
      </c>
      <c r="AF63" t="s">
        <v>70</v>
      </c>
    </row>
    <row r="64" spans="1:42">
      <c r="A64">
        <v>1023366</v>
      </c>
      <c r="B64" t="s">
        <v>75</v>
      </c>
      <c r="C64" t="s">
        <v>62</v>
      </c>
      <c r="D64" s="2">
        <v>46114</v>
      </c>
      <c r="E64" s="2">
        <v>46114</v>
      </c>
      <c r="G64">
        <v>349</v>
      </c>
      <c r="H64" t="s">
        <v>63</v>
      </c>
      <c r="I64">
        <v>6546</v>
      </c>
      <c r="J64">
        <v>816512</v>
      </c>
      <c r="L64" t="s">
        <v>158</v>
      </c>
      <c r="M64" t="s">
        <v>65</v>
      </c>
      <c r="N64" t="s">
        <v>66</v>
      </c>
      <c r="O64" s="2">
        <v>46114</v>
      </c>
      <c r="P64" s="1">
        <v>89.9</v>
      </c>
      <c r="Q64" t="s">
        <v>67</v>
      </c>
      <c r="R64">
        <v>2.6</v>
      </c>
      <c r="S64">
        <v>1.1599999999999999</v>
      </c>
      <c r="T64">
        <v>0.21</v>
      </c>
      <c r="U64">
        <v>87.09</v>
      </c>
      <c r="V64" s="1">
        <v>0</v>
      </c>
      <c r="X64">
        <v>20260406</v>
      </c>
      <c r="Z64" t="s">
        <v>68</v>
      </c>
      <c r="AA64">
        <v>3974527</v>
      </c>
      <c r="AB64" t="s">
        <v>93</v>
      </c>
      <c r="AE64" s="3">
        <v>0.54489583333333336</v>
      </c>
      <c r="AF64" t="s">
        <v>70</v>
      </c>
    </row>
    <row r="65" spans="1:32">
      <c r="A65">
        <v>1023366</v>
      </c>
      <c r="B65" t="s">
        <v>75</v>
      </c>
      <c r="C65" t="s">
        <v>62</v>
      </c>
      <c r="D65" s="2">
        <v>46114</v>
      </c>
      <c r="E65" s="2">
        <v>46114</v>
      </c>
      <c r="G65">
        <v>349</v>
      </c>
      <c r="H65" t="s">
        <v>63</v>
      </c>
      <c r="I65">
        <v>6548</v>
      </c>
      <c r="J65">
        <v>695872</v>
      </c>
      <c r="L65" t="s">
        <v>159</v>
      </c>
      <c r="M65" t="s">
        <v>65</v>
      </c>
      <c r="N65" t="s">
        <v>66</v>
      </c>
      <c r="O65" s="2">
        <v>46114</v>
      </c>
      <c r="P65" s="1">
        <v>1954</v>
      </c>
      <c r="Q65" t="s">
        <v>67</v>
      </c>
      <c r="R65">
        <v>56.47</v>
      </c>
      <c r="S65">
        <v>25.21</v>
      </c>
      <c r="T65">
        <v>4.54</v>
      </c>
      <c r="U65">
        <v>1892.99</v>
      </c>
      <c r="V65" s="1">
        <v>0</v>
      </c>
      <c r="X65">
        <v>20260406</v>
      </c>
      <c r="Z65" t="s">
        <v>68</v>
      </c>
      <c r="AA65">
        <v>3974527</v>
      </c>
      <c r="AB65" t="s">
        <v>77</v>
      </c>
      <c r="AE65" s="3">
        <v>0.55974537037037042</v>
      </c>
      <c r="AF65" t="s">
        <v>70</v>
      </c>
    </row>
    <row r="66" spans="1:32">
      <c r="A66">
        <v>1023366</v>
      </c>
      <c r="B66" t="s">
        <v>75</v>
      </c>
      <c r="C66" t="s">
        <v>62</v>
      </c>
      <c r="D66" s="2">
        <v>46114</v>
      </c>
      <c r="E66" s="2">
        <v>46114</v>
      </c>
      <c r="G66">
        <v>349</v>
      </c>
      <c r="H66" t="s">
        <v>63</v>
      </c>
      <c r="I66">
        <v>6551</v>
      </c>
      <c r="J66">
        <v>885811</v>
      </c>
      <c r="L66" t="s">
        <v>160</v>
      </c>
      <c r="M66" t="s">
        <v>65</v>
      </c>
      <c r="N66" t="s">
        <v>66</v>
      </c>
      <c r="O66" s="2">
        <v>46114</v>
      </c>
      <c r="P66" s="1">
        <v>40</v>
      </c>
      <c r="Q66" t="s">
        <v>67</v>
      </c>
      <c r="R66">
        <v>1.1599999999999999</v>
      </c>
      <c r="S66">
        <v>0.52</v>
      </c>
      <c r="T66">
        <v>0.09</v>
      </c>
      <c r="U66">
        <v>38.75</v>
      </c>
      <c r="V66" s="1">
        <v>0</v>
      </c>
      <c r="X66">
        <v>20260406</v>
      </c>
      <c r="Z66" t="s">
        <v>68</v>
      </c>
      <c r="AA66">
        <v>3974527</v>
      </c>
      <c r="AB66" t="s">
        <v>79</v>
      </c>
      <c r="AE66" s="3">
        <v>0.56848379629629631</v>
      </c>
      <c r="AF66" t="s">
        <v>70</v>
      </c>
    </row>
    <row r="67" spans="1:32">
      <c r="A67">
        <v>1023366</v>
      </c>
      <c r="B67" t="s">
        <v>75</v>
      </c>
      <c r="C67" t="s">
        <v>62</v>
      </c>
      <c r="D67" s="2">
        <v>46114</v>
      </c>
      <c r="E67" s="2">
        <v>46114</v>
      </c>
      <c r="G67">
        <v>349</v>
      </c>
      <c r="H67">
        <v>65656565</v>
      </c>
      <c r="I67">
        <v>6553</v>
      </c>
      <c r="J67">
        <v>917556</v>
      </c>
      <c r="L67" t="s">
        <v>161</v>
      </c>
      <c r="M67" t="s">
        <v>65</v>
      </c>
      <c r="N67" t="s">
        <v>66</v>
      </c>
      <c r="O67" s="2">
        <v>46114</v>
      </c>
      <c r="P67" s="1">
        <v>89</v>
      </c>
      <c r="Q67" t="s">
        <v>67</v>
      </c>
      <c r="R67">
        <v>2.57</v>
      </c>
      <c r="S67">
        <v>1.1499999999999999</v>
      </c>
      <c r="T67">
        <v>0.21</v>
      </c>
      <c r="U67">
        <v>86.22</v>
      </c>
      <c r="V67" s="1">
        <v>0</v>
      </c>
      <c r="X67">
        <v>20260406</v>
      </c>
      <c r="Z67" t="s">
        <v>68</v>
      </c>
      <c r="AA67">
        <v>3974527</v>
      </c>
      <c r="AB67" t="s">
        <v>79</v>
      </c>
      <c r="AD67" t="s">
        <v>88</v>
      </c>
      <c r="AE67" s="3">
        <v>0.57271990740740741</v>
      </c>
      <c r="AF67" t="s">
        <v>70</v>
      </c>
    </row>
    <row r="68" spans="1:32">
      <c r="A68">
        <v>1023366</v>
      </c>
      <c r="B68" t="s">
        <v>75</v>
      </c>
      <c r="C68" t="s">
        <v>62</v>
      </c>
      <c r="D68" s="2">
        <v>46114</v>
      </c>
      <c r="E68" s="2">
        <v>46114</v>
      </c>
      <c r="G68">
        <v>349</v>
      </c>
      <c r="H68" t="s">
        <v>63</v>
      </c>
      <c r="I68">
        <v>6556</v>
      </c>
      <c r="J68">
        <v>5020</v>
      </c>
      <c r="L68" t="s">
        <v>162</v>
      </c>
      <c r="M68" t="s">
        <v>65</v>
      </c>
      <c r="N68" t="s">
        <v>66</v>
      </c>
      <c r="O68" s="2">
        <v>46114</v>
      </c>
      <c r="P68" s="1">
        <v>1999</v>
      </c>
      <c r="Q68" t="s">
        <v>67</v>
      </c>
      <c r="R68">
        <v>57.77</v>
      </c>
      <c r="S68">
        <v>7.79</v>
      </c>
      <c r="T68">
        <v>1.4</v>
      </c>
      <c r="U68">
        <v>1939.83</v>
      </c>
      <c r="V68" s="1">
        <v>0</v>
      </c>
      <c r="X68">
        <v>20260406</v>
      </c>
      <c r="Z68" t="s">
        <v>72</v>
      </c>
      <c r="AA68">
        <v>3974527</v>
      </c>
      <c r="AB68" t="s">
        <v>79</v>
      </c>
      <c r="AE68" s="3">
        <v>0.58158564814814817</v>
      </c>
      <c r="AF68" t="s">
        <v>70</v>
      </c>
    </row>
    <row r="69" spans="1:32">
      <c r="A69">
        <v>1023366</v>
      </c>
      <c r="B69" t="s">
        <v>75</v>
      </c>
      <c r="C69" t="s">
        <v>62</v>
      </c>
      <c r="D69" s="2">
        <v>46114</v>
      </c>
      <c r="E69" s="2">
        <v>46114</v>
      </c>
      <c r="G69">
        <v>349</v>
      </c>
      <c r="H69" t="s">
        <v>63</v>
      </c>
      <c r="I69">
        <v>6558</v>
      </c>
      <c r="J69">
        <v>4725</v>
      </c>
      <c r="L69" t="s">
        <v>163</v>
      </c>
      <c r="M69" t="s">
        <v>65</v>
      </c>
      <c r="N69" t="s">
        <v>66</v>
      </c>
      <c r="O69" s="2">
        <v>46114</v>
      </c>
      <c r="P69" s="1">
        <v>219</v>
      </c>
      <c r="Q69" t="s">
        <v>67</v>
      </c>
      <c r="R69">
        <v>6.33</v>
      </c>
      <c r="S69">
        <v>1.29</v>
      </c>
      <c r="T69">
        <v>0.23</v>
      </c>
      <c r="U69">
        <v>212.44</v>
      </c>
      <c r="V69" s="1">
        <v>0</v>
      </c>
      <c r="X69">
        <v>20260406</v>
      </c>
      <c r="Z69" t="s">
        <v>72</v>
      </c>
      <c r="AA69">
        <v>3974527</v>
      </c>
      <c r="AB69" t="s">
        <v>79</v>
      </c>
      <c r="AE69" s="3">
        <v>0.59221064814814817</v>
      </c>
      <c r="AF69" t="s">
        <v>70</v>
      </c>
    </row>
    <row r="70" spans="1:32">
      <c r="A70">
        <v>1023366</v>
      </c>
      <c r="B70" t="s">
        <v>75</v>
      </c>
      <c r="C70" t="s">
        <v>62</v>
      </c>
      <c r="D70" s="2">
        <v>46114</v>
      </c>
      <c r="E70" s="2">
        <v>46114</v>
      </c>
      <c r="G70">
        <v>349</v>
      </c>
      <c r="H70" t="s">
        <v>63</v>
      </c>
      <c r="I70">
        <v>6565</v>
      </c>
      <c r="J70">
        <v>54710</v>
      </c>
      <c r="L70" t="s">
        <v>164</v>
      </c>
      <c r="M70" t="s">
        <v>96</v>
      </c>
      <c r="N70" t="s">
        <v>66</v>
      </c>
      <c r="O70" s="2">
        <v>46114</v>
      </c>
      <c r="P70" s="1">
        <v>86.9</v>
      </c>
      <c r="Q70" t="s">
        <v>67</v>
      </c>
      <c r="R70">
        <v>3.39</v>
      </c>
      <c r="S70">
        <v>1.66</v>
      </c>
      <c r="T70">
        <v>0.3</v>
      </c>
      <c r="U70">
        <v>83.21</v>
      </c>
      <c r="V70" s="1">
        <v>0</v>
      </c>
      <c r="X70">
        <v>20260406</v>
      </c>
      <c r="Z70" t="s">
        <v>72</v>
      </c>
      <c r="AA70">
        <v>3974527</v>
      </c>
      <c r="AB70" t="s">
        <v>97</v>
      </c>
      <c r="AE70" s="3">
        <v>0.60274305555555552</v>
      </c>
      <c r="AF70" t="s">
        <v>70</v>
      </c>
    </row>
    <row r="71" spans="1:32">
      <c r="A71">
        <v>1023366</v>
      </c>
      <c r="B71" t="s">
        <v>75</v>
      </c>
      <c r="C71" t="s">
        <v>62</v>
      </c>
      <c r="D71" s="2">
        <v>46114</v>
      </c>
      <c r="E71" s="2">
        <v>46114</v>
      </c>
      <c r="G71">
        <v>349</v>
      </c>
      <c r="H71" t="s">
        <v>63</v>
      </c>
      <c r="I71">
        <v>6567</v>
      </c>
      <c r="J71">
        <v>179755</v>
      </c>
      <c r="L71" t="s">
        <v>165</v>
      </c>
      <c r="M71" t="s">
        <v>65</v>
      </c>
      <c r="N71" t="s">
        <v>66</v>
      </c>
      <c r="O71" s="2">
        <v>46114</v>
      </c>
      <c r="P71" s="1">
        <v>89</v>
      </c>
      <c r="Q71" t="s">
        <v>67</v>
      </c>
      <c r="R71">
        <v>2.57</v>
      </c>
      <c r="S71">
        <v>0.52</v>
      </c>
      <c r="T71">
        <v>0.09</v>
      </c>
      <c r="U71">
        <v>86.34</v>
      </c>
      <c r="V71" s="1">
        <v>0</v>
      </c>
      <c r="X71">
        <v>20260406</v>
      </c>
      <c r="Z71" t="s">
        <v>72</v>
      </c>
      <c r="AA71">
        <v>3974527</v>
      </c>
      <c r="AB71" t="s">
        <v>93</v>
      </c>
      <c r="AE71" s="3">
        <v>0.61357638888888888</v>
      </c>
      <c r="AF71" t="s">
        <v>70</v>
      </c>
    </row>
    <row r="72" spans="1:32">
      <c r="A72">
        <v>1023366</v>
      </c>
      <c r="B72" t="s">
        <v>75</v>
      </c>
      <c r="C72" t="s">
        <v>62</v>
      </c>
      <c r="D72" s="2">
        <v>46114</v>
      </c>
      <c r="E72" s="2">
        <v>46114</v>
      </c>
      <c r="G72">
        <v>349</v>
      </c>
      <c r="H72" t="s">
        <v>63</v>
      </c>
      <c r="I72">
        <v>6569</v>
      </c>
      <c r="J72">
        <v>701441</v>
      </c>
      <c r="L72" t="s">
        <v>166</v>
      </c>
      <c r="M72" t="s">
        <v>65</v>
      </c>
      <c r="N72" t="s">
        <v>66</v>
      </c>
      <c r="O72" s="2">
        <v>46114</v>
      </c>
      <c r="P72" s="1">
        <v>149</v>
      </c>
      <c r="Q72" t="s">
        <v>67</v>
      </c>
      <c r="R72">
        <v>4.3099999999999996</v>
      </c>
      <c r="S72">
        <v>1.93</v>
      </c>
      <c r="T72">
        <v>0.35</v>
      </c>
      <c r="U72">
        <v>144.34</v>
      </c>
      <c r="V72" s="1">
        <v>0</v>
      </c>
      <c r="X72">
        <v>20260406</v>
      </c>
      <c r="Z72" t="s">
        <v>68</v>
      </c>
      <c r="AA72">
        <v>3974527</v>
      </c>
      <c r="AB72" t="s">
        <v>77</v>
      </c>
      <c r="AE72" s="3">
        <v>0.61728009259259264</v>
      </c>
      <c r="AF72" t="s">
        <v>70</v>
      </c>
    </row>
    <row r="73" spans="1:32">
      <c r="A73">
        <v>1023366</v>
      </c>
      <c r="B73" t="s">
        <v>75</v>
      </c>
      <c r="C73" t="s">
        <v>62</v>
      </c>
      <c r="D73" s="2">
        <v>46114</v>
      </c>
      <c r="E73" s="2">
        <v>46114</v>
      </c>
      <c r="G73">
        <v>349</v>
      </c>
      <c r="H73" t="s">
        <v>63</v>
      </c>
      <c r="I73">
        <v>6571</v>
      </c>
      <c r="J73">
        <v>767392</v>
      </c>
      <c r="L73" t="s">
        <v>166</v>
      </c>
      <c r="M73" t="s">
        <v>65</v>
      </c>
      <c r="N73" t="s">
        <v>66</v>
      </c>
      <c r="O73" s="2">
        <v>46114</v>
      </c>
      <c r="P73" s="1">
        <v>19.899999999999999</v>
      </c>
      <c r="Q73" t="s">
        <v>67</v>
      </c>
      <c r="R73">
        <v>0.57999999999999996</v>
      </c>
      <c r="S73">
        <v>0.26</v>
      </c>
      <c r="T73">
        <v>0.05</v>
      </c>
      <c r="U73">
        <v>19.27</v>
      </c>
      <c r="V73" s="1">
        <v>0</v>
      </c>
      <c r="X73">
        <v>20260406</v>
      </c>
      <c r="Z73" t="s">
        <v>68</v>
      </c>
      <c r="AA73">
        <v>3974527</v>
      </c>
      <c r="AB73" t="s">
        <v>77</v>
      </c>
      <c r="AE73" s="3">
        <v>0.62028935185185186</v>
      </c>
      <c r="AF73" t="s">
        <v>70</v>
      </c>
    </row>
    <row r="74" spans="1:32">
      <c r="A74">
        <v>1023366</v>
      </c>
      <c r="B74" t="s">
        <v>75</v>
      </c>
      <c r="C74" t="s">
        <v>62</v>
      </c>
      <c r="D74" s="2">
        <v>46114</v>
      </c>
      <c r="E74" s="2">
        <v>46114</v>
      </c>
      <c r="G74">
        <v>349</v>
      </c>
      <c r="H74" t="s">
        <v>63</v>
      </c>
      <c r="I74">
        <v>6573</v>
      </c>
      <c r="J74">
        <v>1440</v>
      </c>
      <c r="L74" t="s">
        <v>167</v>
      </c>
      <c r="M74" t="s">
        <v>65</v>
      </c>
      <c r="N74" t="s">
        <v>66</v>
      </c>
      <c r="O74" s="2">
        <v>46114</v>
      </c>
      <c r="P74" s="1">
        <v>159</v>
      </c>
      <c r="Q74" t="s">
        <v>67</v>
      </c>
      <c r="R74">
        <v>4.5999999999999996</v>
      </c>
      <c r="S74">
        <v>0.94</v>
      </c>
      <c r="T74">
        <v>0.17</v>
      </c>
      <c r="U74">
        <v>154.22999999999999</v>
      </c>
      <c r="V74" s="1">
        <v>0</v>
      </c>
      <c r="X74">
        <v>20260406</v>
      </c>
      <c r="Z74" t="s">
        <v>72</v>
      </c>
      <c r="AA74">
        <v>3974527</v>
      </c>
      <c r="AB74" t="s">
        <v>79</v>
      </c>
      <c r="AE74" s="3">
        <v>0.62210648148148151</v>
      </c>
      <c r="AF74" t="s">
        <v>70</v>
      </c>
    </row>
    <row r="75" spans="1:32">
      <c r="A75">
        <v>1023366</v>
      </c>
      <c r="B75" t="s">
        <v>75</v>
      </c>
      <c r="C75" t="s">
        <v>62</v>
      </c>
      <c r="D75" s="2">
        <v>46114</v>
      </c>
      <c r="E75" s="2">
        <v>46114</v>
      </c>
      <c r="G75">
        <v>349</v>
      </c>
      <c r="H75" t="s">
        <v>63</v>
      </c>
      <c r="I75">
        <v>6575</v>
      </c>
      <c r="J75">
        <v>251035</v>
      </c>
      <c r="L75" t="s">
        <v>168</v>
      </c>
      <c r="M75" t="s">
        <v>65</v>
      </c>
      <c r="N75" t="s">
        <v>66</v>
      </c>
      <c r="O75" s="2">
        <v>46114</v>
      </c>
      <c r="P75" s="1">
        <v>549</v>
      </c>
      <c r="Q75" t="s">
        <v>67</v>
      </c>
      <c r="R75">
        <v>15.87</v>
      </c>
      <c r="S75">
        <v>7.09</v>
      </c>
      <c r="T75">
        <v>1.28</v>
      </c>
      <c r="U75">
        <v>531.85</v>
      </c>
      <c r="V75" s="1">
        <v>0</v>
      </c>
      <c r="X75">
        <v>20260406</v>
      </c>
      <c r="Z75" t="s">
        <v>68</v>
      </c>
      <c r="AA75">
        <v>3974527</v>
      </c>
      <c r="AB75" t="s">
        <v>93</v>
      </c>
      <c r="AE75" s="3">
        <v>0.62875000000000003</v>
      </c>
      <c r="AF75" t="s">
        <v>70</v>
      </c>
    </row>
    <row r="76" spans="1:32">
      <c r="A76">
        <v>1023366</v>
      </c>
      <c r="B76" t="s">
        <v>75</v>
      </c>
      <c r="C76" t="s">
        <v>62</v>
      </c>
      <c r="D76" s="2">
        <v>46114</v>
      </c>
      <c r="E76" s="2">
        <v>46114</v>
      </c>
      <c r="G76">
        <v>349</v>
      </c>
      <c r="H76" t="s">
        <v>63</v>
      </c>
      <c r="I76">
        <v>6580</v>
      </c>
      <c r="J76">
        <v>344163</v>
      </c>
      <c r="K76">
        <v>3</v>
      </c>
      <c r="L76" t="s">
        <v>169</v>
      </c>
      <c r="M76" t="s">
        <v>65</v>
      </c>
      <c r="N76" t="s">
        <v>66</v>
      </c>
      <c r="O76" s="2">
        <v>46114</v>
      </c>
      <c r="P76" s="1">
        <v>349</v>
      </c>
      <c r="Q76" t="s">
        <v>67</v>
      </c>
      <c r="R76">
        <v>16.2</v>
      </c>
      <c r="S76">
        <v>2.06</v>
      </c>
      <c r="T76">
        <v>0.37</v>
      </c>
      <c r="U76">
        <v>332.43</v>
      </c>
      <c r="V76" s="1">
        <v>0</v>
      </c>
      <c r="X76">
        <v>20260406</v>
      </c>
      <c r="Z76" t="s">
        <v>72</v>
      </c>
      <c r="AA76">
        <v>3974527</v>
      </c>
      <c r="AB76" t="s">
        <v>93</v>
      </c>
      <c r="AC76" t="s">
        <v>120</v>
      </c>
      <c r="AE76" s="3">
        <v>0.64902777777777776</v>
      </c>
      <c r="AF76" t="s">
        <v>70</v>
      </c>
    </row>
    <row r="77" spans="1:32">
      <c r="A77">
        <v>1023366</v>
      </c>
      <c r="B77" t="s">
        <v>75</v>
      </c>
      <c r="C77" t="s">
        <v>62</v>
      </c>
      <c r="D77" s="2">
        <v>46114</v>
      </c>
      <c r="E77" s="2">
        <v>46114</v>
      </c>
      <c r="G77">
        <v>349</v>
      </c>
      <c r="H77" t="s">
        <v>63</v>
      </c>
      <c r="I77">
        <v>6582</v>
      </c>
      <c r="J77">
        <v>9210</v>
      </c>
      <c r="L77" t="s">
        <v>170</v>
      </c>
      <c r="M77" t="s">
        <v>65</v>
      </c>
      <c r="N77" t="s">
        <v>66</v>
      </c>
      <c r="O77" s="2">
        <v>46114</v>
      </c>
      <c r="P77" s="1">
        <v>179</v>
      </c>
      <c r="Q77" t="s">
        <v>67</v>
      </c>
      <c r="R77">
        <v>5.17</v>
      </c>
      <c r="S77">
        <v>0.69</v>
      </c>
      <c r="T77">
        <v>0.12</v>
      </c>
      <c r="U77">
        <v>173.71</v>
      </c>
      <c r="V77" s="1">
        <v>0</v>
      </c>
      <c r="X77">
        <v>20260406</v>
      </c>
      <c r="Z77" t="s">
        <v>72</v>
      </c>
      <c r="AA77">
        <v>3974527</v>
      </c>
      <c r="AB77" t="s">
        <v>79</v>
      </c>
      <c r="AE77" s="3">
        <v>0.65365740740740741</v>
      </c>
      <c r="AF77" t="s">
        <v>70</v>
      </c>
    </row>
    <row r="78" spans="1:32">
      <c r="A78">
        <v>1023366</v>
      </c>
      <c r="B78" t="s">
        <v>75</v>
      </c>
      <c r="C78" t="s">
        <v>62</v>
      </c>
      <c r="D78" s="2">
        <v>46114</v>
      </c>
      <c r="E78" s="2">
        <v>46114</v>
      </c>
      <c r="G78">
        <v>349</v>
      </c>
      <c r="H78" t="s">
        <v>63</v>
      </c>
      <c r="I78">
        <v>6590</v>
      </c>
      <c r="J78">
        <v>160652</v>
      </c>
      <c r="L78" t="s">
        <v>171</v>
      </c>
      <c r="M78" t="s">
        <v>65</v>
      </c>
      <c r="N78" t="s">
        <v>66</v>
      </c>
      <c r="O78" s="2">
        <v>46114</v>
      </c>
      <c r="P78" s="1">
        <v>269</v>
      </c>
      <c r="Q78" t="s">
        <v>67</v>
      </c>
      <c r="R78">
        <v>7.77</v>
      </c>
      <c r="S78">
        <v>3.47</v>
      </c>
      <c r="T78">
        <v>0.62</v>
      </c>
      <c r="U78">
        <v>260.61</v>
      </c>
      <c r="V78" s="1">
        <v>0</v>
      </c>
      <c r="X78">
        <v>20260406</v>
      </c>
      <c r="Z78" t="s">
        <v>68</v>
      </c>
      <c r="AA78">
        <v>3974527</v>
      </c>
      <c r="AB78" t="s">
        <v>79</v>
      </c>
      <c r="AE78" s="3">
        <v>0.67828703703703708</v>
      </c>
      <c r="AF78" t="s">
        <v>70</v>
      </c>
    </row>
    <row r="79" spans="1:32">
      <c r="A79">
        <v>1023366</v>
      </c>
      <c r="B79" t="s">
        <v>75</v>
      </c>
      <c r="C79" t="s">
        <v>62</v>
      </c>
      <c r="D79" s="2">
        <v>46114</v>
      </c>
      <c r="E79" s="2">
        <v>46114</v>
      </c>
      <c r="G79">
        <v>349</v>
      </c>
      <c r="H79" t="s">
        <v>63</v>
      </c>
      <c r="I79">
        <v>6595</v>
      </c>
      <c r="J79">
        <v>171622</v>
      </c>
      <c r="L79" t="s">
        <v>172</v>
      </c>
      <c r="M79" t="s">
        <v>65</v>
      </c>
      <c r="N79" t="s">
        <v>66</v>
      </c>
      <c r="O79" s="2">
        <v>46114</v>
      </c>
      <c r="P79" s="1">
        <v>69</v>
      </c>
      <c r="Q79" t="s">
        <v>67</v>
      </c>
      <c r="R79">
        <v>1.99</v>
      </c>
      <c r="S79">
        <v>0.89</v>
      </c>
      <c r="T79">
        <v>0.16</v>
      </c>
      <c r="U79">
        <v>66.849999999999994</v>
      </c>
      <c r="V79" s="1">
        <v>0</v>
      </c>
      <c r="X79">
        <v>20260406</v>
      </c>
      <c r="Z79" t="s">
        <v>68</v>
      </c>
      <c r="AA79">
        <v>3974527</v>
      </c>
      <c r="AB79" t="s">
        <v>81</v>
      </c>
      <c r="AE79" s="3">
        <v>0.69491898148148146</v>
      </c>
      <c r="AF79" t="s">
        <v>70</v>
      </c>
    </row>
    <row r="80" spans="1:32">
      <c r="A80">
        <v>1023366</v>
      </c>
      <c r="B80" t="s">
        <v>75</v>
      </c>
      <c r="C80" t="s">
        <v>62</v>
      </c>
      <c r="D80" s="2">
        <v>46114</v>
      </c>
      <c r="E80" s="2">
        <v>46114</v>
      </c>
      <c r="G80">
        <v>349</v>
      </c>
      <c r="H80" t="s">
        <v>63</v>
      </c>
      <c r="I80">
        <v>6597</v>
      </c>
      <c r="J80">
        <v>91598</v>
      </c>
      <c r="L80" t="s">
        <v>173</v>
      </c>
      <c r="M80" t="s">
        <v>65</v>
      </c>
      <c r="N80" t="s">
        <v>66</v>
      </c>
      <c r="O80" s="2">
        <v>46114</v>
      </c>
      <c r="P80" s="1">
        <v>105</v>
      </c>
      <c r="Q80" t="s">
        <v>67</v>
      </c>
      <c r="R80">
        <v>3.03</v>
      </c>
      <c r="S80">
        <v>1.35</v>
      </c>
      <c r="T80">
        <v>0.24</v>
      </c>
      <c r="U80">
        <v>101.73</v>
      </c>
      <c r="V80" s="1">
        <v>0</v>
      </c>
      <c r="X80">
        <v>20260406</v>
      </c>
      <c r="Z80" t="s">
        <v>68</v>
      </c>
      <c r="AA80">
        <v>3974527</v>
      </c>
      <c r="AB80" t="s">
        <v>122</v>
      </c>
      <c r="AE80" s="3">
        <v>0.69751157407407405</v>
      </c>
      <c r="AF80" t="s">
        <v>70</v>
      </c>
    </row>
    <row r="81" spans="1:32">
      <c r="A81">
        <v>1023366</v>
      </c>
      <c r="B81" t="s">
        <v>75</v>
      </c>
      <c r="C81" t="s">
        <v>62</v>
      </c>
      <c r="D81" s="2">
        <v>46114</v>
      </c>
      <c r="E81" s="2">
        <v>46114</v>
      </c>
      <c r="G81">
        <v>349</v>
      </c>
      <c r="H81" t="s">
        <v>63</v>
      </c>
      <c r="I81">
        <v>6599</v>
      </c>
      <c r="J81">
        <v>216602</v>
      </c>
      <c r="L81" t="s">
        <v>174</v>
      </c>
      <c r="M81" t="s">
        <v>65</v>
      </c>
      <c r="N81" t="s">
        <v>66</v>
      </c>
      <c r="O81" s="2">
        <v>46114</v>
      </c>
      <c r="P81" s="1">
        <v>322</v>
      </c>
      <c r="Q81" t="s">
        <v>67</v>
      </c>
      <c r="R81">
        <v>9.31</v>
      </c>
      <c r="S81">
        <v>2.5499999999999998</v>
      </c>
      <c r="T81">
        <v>0.46</v>
      </c>
      <c r="U81">
        <v>312.23</v>
      </c>
      <c r="V81" s="1">
        <v>0</v>
      </c>
      <c r="X81">
        <v>20260406</v>
      </c>
      <c r="Z81" t="s">
        <v>68</v>
      </c>
      <c r="AA81">
        <v>3974527</v>
      </c>
      <c r="AB81" t="s">
        <v>79</v>
      </c>
      <c r="AE81" s="3">
        <v>0.70299768518518524</v>
      </c>
      <c r="AF81" t="s">
        <v>70</v>
      </c>
    </row>
    <row r="82" spans="1:32">
      <c r="A82">
        <v>1023366</v>
      </c>
      <c r="B82" t="s">
        <v>75</v>
      </c>
      <c r="C82" t="s">
        <v>62</v>
      </c>
      <c r="D82" s="2">
        <v>46114</v>
      </c>
      <c r="E82" s="2">
        <v>46114</v>
      </c>
      <c r="G82">
        <v>349</v>
      </c>
      <c r="H82" t="s">
        <v>63</v>
      </c>
      <c r="I82">
        <v>6601</v>
      </c>
      <c r="J82">
        <v>3907</v>
      </c>
      <c r="L82" t="s">
        <v>175</v>
      </c>
      <c r="M82" t="s">
        <v>65</v>
      </c>
      <c r="N82" t="s">
        <v>66</v>
      </c>
      <c r="O82" s="2">
        <v>46114</v>
      </c>
      <c r="P82" s="1">
        <v>34.9</v>
      </c>
      <c r="Q82" t="s">
        <v>67</v>
      </c>
      <c r="R82">
        <v>1.01</v>
      </c>
      <c r="S82">
        <v>0.28000000000000003</v>
      </c>
      <c r="T82">
        <v>0.05</v>
      </c>
      <c r="U82">
        <v>33.840000000000003</v>
      </c>
      <c r="V82" s="1">
        <v>0</v>
      </c>
      <c r="X82">
        <v>20260406</v>
      </c>
      <c r="Z82" t="s">
        <v>72</v>
      </c>
      <c r="AA82">
        <v>3974527</v>
      </c>
      <c r="AB82" t="s">
        <v>79</v>
      </c>
      <c r="AE82" s="3">
        <v>0.70571759259259259</v>
      </c>
      <c r="AF82" t="s">
        <v>70</v>
      </c>
    </row>
    <row r="83" spans="1:32">
      <c r="A83">
        <v>1023366</v>
      </c>
      <c r="B83" t="s">
        <v>75</v>
      </c>
      <c r="C83" t="s">
        <v>62</v>
      </c>
      <c r="D83" s="2">
        <v>46114</v>
      </c>
      <c r="E83" s="2">
        <v>46114</v>
      </c>
      <c r="G83">
        <v>349</v>
      </c>
      <c r="H83" t="s">
        <v>63</v>
      </c>
      <c r="I83">
        <v>6603</v>
      </c>
      <c r="J83">
        <v>199439</v>
      </c>
      <c r="L83" t="s">
        <v>176</v>
      </c>
      <c r="M83" t="s">
        <v>65</v>
      </c>
      <c r="N83" t="s">
        <v>66</v>
      </c>
      <c r="O83" s="2">
        <v>46114</v>
      </c>
      <c r="P83" s="1">
        <v>699</v>
      </c>
      <c r="Q83" t="s">
        <v>67</v>
      </c>
      <c r="R83">
        <v>20.2</v>
      </c>
      <c r="S83">
        <v>9.02</v>
      </c>
      <c r="T83">
        <v>1.62</v>
      </c>
      <c r="U83">
        <v>677.18</v>
      </c>
      <c r="V83" s="1">
        <v>0</v>
      </c>
      <c r="X83">
        <v>20260406</v>
      </c>
      <c r="Z83" t="s">
        <v>68</v>
      </c>
      <c r="AA83">
        <v>3974527</v>
      </c>
      <c r="AB83" t="s">
        <v>79</v>
      </c>
      <c r="AE83" s="3">
        <v>0.70733796296296292</v>
      </c>
      <c r="AF83" t="s">
        <v>70</v>
      </c>
    </row>
    <row r="84" spans="1:32">
      <c r="A84">
        <v>1023366</v>
      </c>
      <c r="B84" t="s">
        <v>75</v>
      </c>
      <c r="C84" t="s">
        <v>62</v>
      </c>
      <c r="D84" s="2">
        <v>46114</v>
      </c>
      <c r="E84" s="2">
        <v>46114</v>
      </c>
      <c r="G84">
        <v>349</v>
      </c>
      <c r="H84" t="s">
        <v>63</v>
      </c>
      <c r="I84">
        <v>6605</v>
      </c>
      <c r="J84">
        <v>607791</v>
      </c>
      <c r="L84" t="s">
        <v>177</v>
      </c>
      <c r="M84" t="s">
        <v>65</v>
      </c>
      <c r="N84" t="s">
        <v>66</v>
      </c>
      <c r="O84" s="2">
        <v>46114</v>
      </c>
      <c r="P84" s="1">
        <v>1000</v>
      </c>
      <c r="Q84" t="s">
        <v>67</v>
      </c>
      <c r="R84">
        <v>28.9</v>
      </c>
      <c r="S84">
        <v>5.9</v>
      </c>
      <c r="T84">
        <v>1.06</v>
      </c>
      <c r="U84">
        <v>970.04</v>
      </c>
      <c r="V84" s="1">
        <v>0</v>
      </c>
      <c r="X84">
        <v>20260406</v>
      </c>
      <c r="Z84" t="s">
        <v>72</v>
      </c>
      <c r="AA84">
        <v>3974527</v>
      </c>
      <c r="AB84" t="s">
        <v>93</v>
      </c>
      <c r="AE84" s="3">
        <v>0.70775462962962965</v>
      </c>
      <c r="AF84" t="s">
        <v>70</v>
      </c>
    </row>
    <row r="85" spans="1:32">
      <c r="A85">
        <v>1023366</v>
      </c>
      <c r="B85" t="s">
        <v>75</v>
      </c>
      <c r="C85" t="s">
        <v>62</v>
      </c>
      <c r="D85" s="2">
        <v>46114</v>
      </c>
      <c r="E85" s="2">
        <v>46114</v>
      </c>
      <c r="G85">
        <v>349</v>
      </c>
      <c r="H85" t="s">
        <v>63</v>
      </c>
      <c r="I85">
        <v>6607</v>
      </c>
      <c r="J85">
        <v>3217</v>
      </c>
      <c r="L85" t="s">
        <v>178</v>
      </c>
      <c r="M85" t="s">
        <v>65</v>
      </c>
      <c r="N85" t="s">
        <v>66</v>
      </c>
      <c r="O85" s="2">
        <v>46114</v>
      </c>
      <c r="P85" s="1">
        <v>169</v>
      </c>
      <c r="Q85" t="s">
        <v>67</v>
      </c>
      <c r="R85">
        <v>4.88</v>
      </c>
      <c r="S85">
        <v>0.99</v>
      </c>
      <c r="T85">
        <v>0.18</v>
      </c>
      <c r="U85">
        <v>163.94</v>
      </c>
      <c r="V85" s="1">
        <v>0</v>
      </c>
      <c r="X85">
        <v>20260406</v>
      </c>
      <c r="Z85" t="s">
        <v>72</v>
      </c>
      <c r="AA85">
        <v>3974527</v>
      </c>
      <c r="AB85" t="s">
        <v>79</v>
      </c>
      <c r="AE85" s="3">
        <v>0.71659722222222222</v>
      </c>
      <c r="AF85" t="s">
        <v>70</v>
      </c>
    </row>
    <row r="86" spans="1:32">
      <c r="A86">
        <v>1023366</v>
      </c>
      <c r="B86" t="s">
        <v>75</v>
      </c>
      <c r="C86" t="s">
        <v>62</v>
      </c>
      <c r="D86" s="2">
        <v>46114</v>
      </c>
      <c r="E86" s="2">
        <v>46114</v>
      </c>
      <c r="G86">
        <v>349</v>
      </c>
      <c r="H86" t="s">
        <v>63</v>
      </c>
      <c r="I86">
        <v>6609</v>
      </c>
      <c r="J86">
        <v>213054</v>
      </c>
      <c r="L86" t="s">
        <v>179</v>
      </c>
      <c r="M86" t="s">
        <v>65</v>
      </c>
      <c r="N86" t="s">
        <v>66</v>
      </c>
      <c r="O86" s="2">
        <v>46114</v>
      </c>
      <c r="P86" s="1">
        <v>2499</v>
      </c>
      <c r="Q86" t="s">
        <v>67</v>
      </c>
      <c r="R86">
        <v>72.22</v>
      </c>
      <c r="S86">
        <v>32.24</v>
      </c>
      <c r="T86">
        <v>5.8</v>
      </c>
      <c r="U86">
        <v>2420.98</v>
      </c>
      <c r="V86" s="1">
        <v>0</v>
      </c>
      <c r="X86">
        <v>20260406</v>
      </c>
      <c r="Z86" t="s">
        <v>68</v>
      </c>
      <c r="AA86">
        <v>3974527</v>
      </c>
      <c r="AB86" t="s">
        <v>79</v>
      </c>
      <c r="AE86" s="3">
        <v>0.72699074074074077</v>
      </c>
      <c r="AF86" t="s">
        <v>70</v>
      </c>
    </row>
    <row r="87" spans="1:32">
      <c r="A87">
        <v>1023366</v>
      </c>
      <c r="B87" t="s">
        <v>75</v>
      </c>
      <c r="C87" t="s">
        <v>62</v>
      </c>
      <c r="D87" s="2">
        <v>46114</v>
      </c>
      <c r="E87" s="2">
        <v>46114</v>
      </c>
      <c r="G87">
        <v>349</v>
      </c>
      <c r="H87" t="s">
        <v>63</v>
      </c>
      <c r="I87">
        <v>6613</v>
      </c>
      <c r="J87">
        <v>7401</v>
      </c>
      <c r="L87" t="s">
        <v>180</v>
      </c>
      <c r="M87" t="s">
        <v>65</v>
      </c>
      <c r="N87" t="s">
        <v>66</v>
      </c>
      <c r="O87" s="2">
        <v>46114</v>
      </c>
      <c r="P87" s="1">
        <v>169</v>
      </c>
      <c r="Q87" t="s">
        <v>67</v>
      </c>
      <c r="R87">
        <v>4.88</v>
      </c>
      <c r="S87">
        <v>0.99</v>
      </c>
      <c r="T87">
        <v>0.18</v>
      </c>
      <c r="U87">
        <v>163.94</v>
      </c>
      <c r="V87" s="1">
        <v>0</v>
      </c>
      <c r="X87">
        <v>20260406</v>
      </c>
      <c r="Z87" t="s">
        <v>72</v>
      </c>
      <c r="AA87">
        <v>3974527</v>
      </c>
      <c r="AB87" t="s">
        <v>79</v>
      </c>
      <c r="AE87" s="3">
        <v>0.73322916666666671</v>
      </c>
      <c r="AF87" t="s">
        <v>70</v>
      </c>
    </row>
    <row r="88" spans="1:32">
      <c r="A88">
        <v>1023366</v>
      </c>
      <c r="B88" t="s">
        <v>75</v>
      </c>
      <c r="C88" t="s">
        <v>62</v>
      </c>
      <c r="D88" s="2">
        <v>46114</v>
      </c>
      <c r="E88" s="2">
        <v>46114</v>
      </c>
      <c r="G88">
        <v>349</v>
      </c>
      <c r="H88" t="s">
        <v>63</v>
      </c>
      <c r="I88">
        <v>6615</v>
      </c>
      <c r="J88">
        <v>198</v>
      </c>
      <c r="L88" t="s">
        <v>181</v>
      </c>
      <c r="M88" t="s">
        <v>65</v>
      </c>
      <c r="N88" t="s">
        <v>66</v>
      </c>
      <c r="O88" s="2">
        <v>46114</v>
      </c>
      <c r="P88" s="1">
        <v>1499</v>
      </c>
      <c r="Q88" t="s">
        <v>67</v>
      </c>
      <c r="R88">
        <v>43.32</v>
      </c>
      <c r="S88">
        <v>8.84</v>
      </c>
      <c r="T88">
        <v>1.59</v>
      </c>
      <c r="U88">
        <v>1454.09</v>
      </c>
      <c r="V88" s="1">
        <v>0</v>
      </c>
      <c r="X88">
        <v>20260406</v>
      </c>
      <c r="Z88" t="s">
        <v>72</v>
      </c>
      <c r="AA88">
        <v>3974527</v>
      </c>
      <c r="AB88" t="s">
        <v>79</v>
      </c>
      <c r="AE88" s="3">
        <v>0.73646990740740736</v>
      </c>
      <c r="AF88" t="s">
        <v>70</v>
      </c>
    </row>
    <row r="89" spans="1:32">
      <c r="A89">
        <v>1023366</v>
      </c>
      <c r="B89" t="s">
        <v>75</v>
      </c>
      <c r="C89" t="s">
        <v>62</v>
      </c>
      <c r="D89" s="2">
        <v>46114</v>
      </c>
      <c r="E89" s="2">
        <v>46114</v>
      </c>
      <c r="G89">
        <v>349</v>
      </c>
      <c r="H89" t="s">
        <v>63</v>
      </c>
      <c r="I89">
        <v>6617</v>
      </c>
      <c r="J89">
        <v>1371</v>
      </c>
      <c r="L89" t="s">
        <v>182</v>
      </c>
      <c r="M89" t="s">
        <v>65</v>
      </c>
      <c r="N89" t="s">
        <v>66</v>
      </c>
      <c r="O89" s="2">
        <v>46114</v>
      </c>
      <c r="P89" s="1">
        <v>179</v>
      </c>
      <c r="Q89" t="s">
        <v>67</v>
      </c>
      <c r="R89">
        <v>5.17</v>
      </c>
      <c r="S89">
        <v>0.69</v>
      </c>
      <c r="T89">
        <v>0.12</v>
      </c>
      <c r="U89">
        <v>173.71</v>
      </c>
      <c r="V89" s="1">
        <v>0</v>
      </c>
      <c r="X89">
        <v>20260406</v>
      </c>
      <c r="Z89" t="s">
        <v>72</v>
      </c>
      <c r="AA89">
        <v>3974527</v>
      </c>
      <c r="AB89" t="s">
        <v>79</v>
      </c>
      <c r="AE89" s="3">
        <v>0.73780092592592594</v>
      </c>
      <c r="AF89" t="s">
        <v>70</v>
      </c>
    </row>
    <row r="90" spans="1:32">
      <c r="A90">
        <v>1023366</v>
      </c>
      <c r="B90" t="s">
        <v>75</v>
      </c>
      <c r="C90" t="s">
        <v>62</v>
      </c>
      <c r="D90" s="2">
        <v>46114</v>
      </c>
      <c r="E90" s="2">
        <v>46114</v>
      </c>
      <c r="G90">
        <v>349</v>
      </c>
      <c r="H90" t="s">
        <v>63</v>
      </c>
      <c r="I90">
        <v>6620</v>
      </c>
      <c r="J90">
        <v>162845</v>
      </c>
      <c r="L90" t="s">
        <v>183</v>
      </c>
      <c r="M90" t="s">
        <v>65</v>
      </c>
      <c r="N90" t="s">
        <v>66</v>
      </c>
      <c r="O90" s="2">
        <v>46114</v>
      </c>
      <c r="P90" s="1">
        <v>109</v>
      </c>
      <c r="Q90" t="s">
        <v>67</v>
      </c>
      <c r="R90">
        <v>3.15</v>
      </c>
      <c r="S90">
        <v>1.41</v>
      </c>
      <c r="T90">
        <v>0.25</v>
      </c>
      <c r="U90">
        <v>105.6</v>
      </c>
      <c r="V90" s="1">
        <v>0</v>
      </c>
      <c r="X90">
        <v>20260406</v>
      </c>
      <c r="Z90" t="s">
        <v>68</v>
      </c>
      <c r="AA90">
        <v>3974527</v>
      </c>
      <c r="AB90" t="s">
        <v>77</v>
      </c>
      <c r="AE90" s="3">
        <v>0.74459490740740741</v>
      </c>
      <c r="AF90" t="s">
        <v>70</v>
      </c>
    </row>
    <row r="91" spans="1:32">
      <c r="A91">
        <v>1023366</v>
      </c>
      <c r="B91" t="s">
        <v>75</v>
      </c>
      <c r="C91" t="s">
        <v>62</v>
      </c>
      <c r="D91" s="2">
        <v>46114</v>
      </c>
      <c r="E91" s="2">
        <v>46114</v>
      </c>
      <c r="G91">
        <v>349</v>
      </c>
      <c r="H91" t="s">
        <v>63</v>
      </c>
      <c r="I91">
        <v>6622</v>
      </c>
      <c r="J91">
        <v>585845</v>
      </c>
      <c r="L91" t="s">
        <v>183</v>
      </c>
      <c r="M91" t="s">
        <v>65</v>
      </c>
      <c r="N91" t="s">
        <v>66</v>
      </c>
      <c r="O91" s="2">
        <v>46114</v>
      </c>
      <c r="P91" s="1">
        <v>159</v>
      </c>
      <c r="Q91" t="s">
        <v>67</v>
      </c>
      <c r="R91">
        <v>4.5999999999999996</v>
      </c>
      <c r="S91">
        <v>2.06</v>
      </c>
      <c r="T91">
        <v>0.37</v>
      </c>
      <c r="U91">
        <v>154.03</v>
      </c>
      <c r="V91" s="1">
        <v>0</v>
      </c>
      <c r="X91">
        <v>20260406</v>
      </c>
      <c r="Z91" t="s">
        <v>68</v>
      </c>
      <c r="AA91">
        <v>3974527</v>
      </c>
      <c r="AB91" t="s">
        <v>77</v>
      </c>
      <c r="AE91" s="3">
        <v>0.74930555555555556</v>
      </c>
      <c r="AF91" t="s">
        <v>70</v>
      </c>
    </row>
    <row r="92" spans="1:32">
      <c r="A92">
        <v>1023366</v>
      </c>
      <c r="B92" t="s">
        <v>75</v>
      </c>
      <c r="C92" t="s">
        <v>62</v>
      </c>
      <c r="D92" s="2">
        <v>46114</v>
      </c>
      <c r="E92" s="2">
        <v>46114</v>
      </c>
      <c r="G92">
        <v>349</v>
      </c>
      <c r="H92" t="s">
        <v>63</v>
      </c>
      <c r="I92">
        <v>6624</v>
      </c>
      <c r="J92">
        <v>2881</v>
      </c>
      <c r="L92" t="s">
        <v>184</v>
      </c>
      <c r="M92" t="s">
        <v>65</v>
      </c>
      <c r="N92" t="s">
        <v>66</v>
      </c>
      <c r="O92" s="2">
        <v>46114</v>
      </c>
      <c r="P92" s="1">
        <v>109</v>
      </c>
      <c r="Q92" t="s">
        <v>67</v>
      </c>
      <c r="R92">
        <v>3.15</v>
      </c>
      <c r="S92">
        <v>0.42</v>
      </c>
      <c r="T92">
        <v>0.08</v>
      </c>
      <c r="U92">
        <v>105.77</v>
      </c>
      <c r="V92" s="1">
        <v>0</v>
      </c>
      <c r="X92">
        <v>20260406</v>
      </c>
      <c r="Z92" t="s">
        <v>72</v>
      </c>
      <c r="AA92">
        <v>3974527</v>
      </c>
      <c r="AB92" t="s">
        <v>79</v>
      </c>
      <c r="AE92" s="3">
        <v>0.75107638888888884</v>
      </c>
      <c r="AF92" t="s">
        <v>70</v>
      </c>
    </row>
    <row r="93" spans="1:32">
      <c r="A93">
        <v>1023366</v>
      </c>
      <c r="B93" t="s">
        <v>75</v>
      </c>
      <c r="C93" t="s">
        <v>62</v>
      </c>
      <c r="D93" s="2">
        <v>46114</v>
      </c>
      <c r="E93" s="2">
        <v>46114</v>
      </c>
      <c r="G93">
        <v>349</v>
      </c>
      <c r="H93" t="s">
        <v>63</v>
      </c>
      <c r="I93">
        <v>6628</v>
      </c>
      <c r="J93">
        <v>914465</v>
      </c>
      <c r="K93">
        <v>3</v>
      </c>
      <c r="L93" t="s">
        <v>185</v>
      </c>
      <c r="M93" t="s">
        <v>65</v>
      </c>
      <c r="N93" t="s">
        <v>66</v>
      </c>
      <c r="O93" s="2">
        <v>46114</v>
      </c>
      <c r="P93" s="1">
        <v>2450</v>
      </c>
      <c r="Q93" t="s">
        <v>67</v>
      </c>
      <c r="R93">
        <v>113.69</v>
      </c>
      <c r="S93">
        <v>14.46</v>
      </c>
      <c r="T93">
        <v>2.6</v>
      </c>
      <c r="U93">
        <v>2333.71</v>
      </c>
      <c r="V93" s="1">
        <v>0</v>
      </c>
      <c r="X93">
        <v>20260406</v>
      </c>
      <c r="Z93" t="s">
        <v>72</v>
      </c>
      <c r="AA93">
        <v>3974527</v>
      </c>
      <c r="AB93" t="s">
        <v>93</v>
      </c>
      <c r="AC93" t="s">
        <v>120</v>
      </c>
      <c r="AE93" s="3">
        <v>0.77269675925925929</v>
      </c>
      <c r="AF93" t="s">
        <v>70</v>
      </c>
    </row>
    <row r="94" spans="1:32">
      <c r="A94">
        <v>1023366</v>
      </c>
      <c r="B94" t="s">
        <v>75</v>
      </c>
      <c r="C94" t="s">
        <v>62</v>
      </c>
      <c r="D94" s="2">
        <v>46114</v>
      </c>
      <c r="E94" s="2">
        <v>46114</v>
      </c>
      <c r="G94">
        <v>349</v>
      </c>
      <c r="H94" t="s">
        <v>63</v>
      </c>
      <c r="I94">
        <v>6630</v>
      </c>
      <c r="J94">
        <v>953316</v>
      </c>
      <c r="K94">
        <v>3</v>
      </c>
      <c r="L94" t="s">
        <v>186</v>
      </c>
      <c r="M94" t="s">
        <v>65</v>
      </c>
      <c r="N94" t="s">
        <v>66</v>
      </c>
      <c r="O94" s="2">
        <v>46114</v>
      </c>
      <c r="P94" s="1">
        <v>1326</v>
      </c>
      <c r="Q94" t="s">
        <v>67</v>
      </c>
      <c r="R94">
        <v>61.53</v>
      </c>
      <c r="S94">
        <v>5.17</v>
      </c>
      <c r="T94">
        <v>0.93</v>
      </c>
      <c r="U94">
        <v>1263.54</v>
      </c>
      <c r="V94" s="1">
        <v>0</v>
      </c>
      <c r="X94">
        <v>20260406</v>
      </c>
      <c r="Z94" t="s">
        <v>72</v>
      </c>
      <c r="AA94">
        <v>3974527</v>
      </c>
      <c r="AB94" t="s">
        <v>93</v>
      </c>
      <c r="AC94" t="s">
        <v>120</v>
      </c>
      <c r="AE94" s="3">
        <v>0.78031249999999996</v>
      </c>
      <c r="AF94" t="s">
        <v>70</v>
      </c>
    </row>
    <row r="95" spans="1:32">
      <c r="A95">
        <v>1023366</v>
      </c>
      <c r="B95" t="s">
        <v>75</v>
      </c>
      <c r="C95" t="s">
        <v>62</v>
      </c>
      <c r="D95" s="2">
        <v>46114</v>
      </c>
      <c r="E95" s="2">
        <v>46114</v>
      </c>
      <c r="G95">
        <v>349</v>
      </c>
      <c r="H95" t="s">
        <v>63</v>
      </c>
      <c r="I95">
        <v>6632</v>
      </c>
      <c r="J95">
        <v>119246</v>
      </c>
      <c r="L95" t="s">
        <v>187</v>
      </c>
      <c r="M95" t="s">
        <v>65</v>
      </c>
      <c r="N95" t="s">
        <v>66</v>
      </c>
      <c r="O95" s="2">
        <v>46114</v>
      </c>
      <c r="P95" s="1">
        <v>350</v>
      </c>
      <c r="Q95" t="s">
        <v>67</v>
      </c>
      <c r="R95">
        <v>10.119999999999999</v>
      </c>
      <c r="S95">
        <v>4.5199999999999996</v>
      </c>
      <c r="T95">
        <v>0.81</v>
      </c>
      <c r="U95">
        <v>339.07</v>
      </c>
      <c r="V95" s="1">
        <v>0</v>
      </c>
      <c r="X95">
        <v>20260406</v>
      </c>
      <c r="Z95" t="s">
        <v>68</v>
      </c>
      <c r="AA95">
        <v>3974527</v>
      </c>
      <c r="AB95" t="s">
        <v>84</v>
      </c>
      <c r="AE95" s="3">
        <v>0.78372685185185187</v>
      </c>
      <c r="AF95" t="s">
        <v>70</v>
      </c>
    </row>
    <row r="96" spans="1:32">
      <c r="A96">
        <v>1023366</v>
      </c>
      <c r="B96" t="s">
        <v>75</v>
      </c>
      <c r="C96" t="s">
        <v>62</v>
      </c>
      <c r="D96" s="2">
        <v>46114</v>
      </c>
      <c r="E96" s="2">
        <v>46114</v>
      </c>
      <c r="G96">
        <v>349</v>
      </c>
      <c r="H96" t="s">
        <v>63</v>
      </c>
      <c r="I96">
        <v>6634</v>
      </c>
      <c r="J96">
        <v>521059</v>
      </c>
      <c r="L96" t="s">
        <v>188</v>
      </c>
      <c r="M96" t="s">
        <v>65</v>
      </c>
      <c r="N96" t="s">
        <v>66</v>
      </c>
      <c r="O96" s="2">
        <v>46114</v>
      </c>
      <c r="P96" s="1">
        <v>199</v>
      </c>
      <c r="Q96" t="s">
        <v>67</v>
      </c>
      <c r="R96">
        <v>5.75</v>
      </c>
      <c r="S96">
        <v>1.57</v>
      </c>
      <c r="T96">
        <v>0.28000000000000003</v>
      </c>
      <c r="U96">
        <v>192.97</v>
      </c>
      <c r="V96" s="1">
        <v>0</v>
      </c>
      <c r="X96">
        <v>20260406</v>
      </c>
      <c r="Z96" t="s">
        <v>72</v>
      </c>
      <c r="AA96">
        <v>3974527</v>
      </c>
      <c r="AB96" t="s">
        <v>77</v>
      </c>
      <c r="AE96" s="3">
        <v>0.78613425925925928</v>
      </c>
      <c r="AF96" t="s">
        <v>70</v>
      </c>
    </row>
    <row r="97" spans="1:42">
      <c r="A97">
        <v>1023366</v>
      </c>
      <c r="B97" t="s">
        <v>75</v>
      </c>
      <c r="C97" t="s">
        <v>62</v>
      </c>
      <c r="D97" s="2">
        <v>46114</v>
      </c>
      <c r="E97" s="2">
        <v>46114</v>
      </c>
      <c r="G97">
        <v>349</v>
      </c>
      <c r="H97" t="s">
        <v>63</v>
      </c>
      <c r="I97">
        <v>6636</v>
      </c>
      <c r="J97">
        <v>7937</v>
      </c>
      <c r="L97" t="s">
        <v>189</v>
      </c>
      <c r="M97" t="s">
        <v>65</v>
      </c>
      <c r="N97" t="s">
        <v>66</v>
      </c>
      <c r="O97" s="2">
        <v>46114</v>
      </c>
      <c r="P97" s="1">
        <v>17.899999999999999</v>
      </c>
      <c r="Q97" t="s">
        <v>67</v>
      </c>
      <c r="R97">
        <v>0.52</v>
      </c>
      <c r="S97">
        <v>0.11</v>
      </c>
      <c r="T97">
        <v>0.02</v>
      </c>
      <c r="U97">
        <v>17.36</v>
      </c>
      <c r="V97" s="1">
        <v>0</v>
      </c>
      <c r="X97">
        <v>20260406</v>
      </c>
      <c r="Z97" t="s">
        <v>72</v>
      </c>
      <c r="AA97">
        <v>3974527</v>
      </c>
      <c r="AB97" t="s">
        <v>93</v>
      </c>
      <c r="AE97" s="3">
        <v>0.79093749999999996</v>
      </c>
      <c r="AF97" t="s">
        <v>70</v>
      </c>
    </row>
    <row r="98" spans="1:42">
      <c r="A98">
        <v>1023366</v>
      </c>
      <c r="B98" t="s">
        <v>75</v>
      </c>
      <c r="C98" t="s">
        <v>62</v>
      </c>
      <c r="D98" s="2">
        <v>46114</v>
      </c>
      <c r="E98" s="2">
        <v>46114</v>
      </c>
      <c r="G98">
        <v>349</v>
      </c>
      <c r="H98" t="s">
        <v>63</v>
      </c>
      <c r="I98">
        <v>6638</v>
      </c>
      <c r="J98">
        <v>138263</v>
      </c>
      <c r="L98" t="s">
        <v>190</v>
      </c>
      <c r="M98" t="s">
        <v>65</v>
      </c>
      <c r="N98" t="s">
        <v>66</v>
      </c>
      <c r="O98" s="2">
        <v>46114</v>
      </c>
      <c r="P98" s="1">
        <v>134</v>
      </c>
      <c r="Q98" t="s">
        <v>67</v>
      </c>
      <c r="R98">
        <v>3.87</v>
      </c>
      <c r="S98">
        <v>1.73</v>
      </c>
      <c r="T98">
        <v>0.31</v>
      </c>
      <c r="U98">
        <v>129.82</v>
      </c>
      <c r="V98" s="1">
        <v>0</v>
      </c>
      <c r="X98">
        <v>20260406</v>
      </c>
      <c r="Z98" t="s">
        <v>68</v>
      </c>
      <c r="AA98">
        <v>3974527</v>
      </c>
      <c r="AB98" t="s">
        <v>93</v>
      </c>
      <c r="AE98" s="3">
        <v>0.81619212962962961</v>
      </c>
      <c r="AF98" t="s">
        <v>70</v>
      </c>
    </row>
    <row r="99" spans="1:42">
      <c r="A99">
        <v>1023366</v>
      </c>
      <c r="B99" t="s">
        <v>75</v>
      </c>
      <c r="C99" t="s">
        <v>62</v>
      </c>
      <c r="D99" s="2">
        <v>46114</v>
      </c>
      <c r="E99" s="2">
        <v>46114</v>
      </c>
      <c r="G99">
        <v>349</v>
      </c>
      <c r="H99" t="s">
        <v>63</v>
      </c>
      <c r="I99">
        <v>6643</v>
      </c>
      <c r="J99">
        <v>483980</v>
      </c>
      <c r="L99" t="s">
        <v>191</v>
      </c>
      <c r="M99" t="s">
        <v>65</v>
      </c>
      <c r="N99" t="s">
        <v>66</v>
      </c>
      <c r="O99" s="2">
        <v>46114</v>
      </c>
      <c r="P99" s="1">
        <v>1282.9000000000001</v>
      </c>
      <c r="Q99" t="s">
        <v>67</v>
      </c>
      <c r="R99">
        <v>37.08</v>
      </c>
      <c r="S99">
        <v>16.55</v>
      </c>
      <c r="T99">
        <v>2.98</v>
      </c>
      <c r="U99">
        <v>1242.8399999999999</v>
      </c>
      <c r="V99" s="1">
        <v>0</v>
      </c>
      <c r="X99">
        <v>20260406</v>
      </c>
      <c r="Z99" t="s">
        <v>68</v>
      </c>
      <c r="AA99">
        <v>3974527</v>
      </c>
      <c r="AB99" t="s">
        <v>79</v>
      </c>
      <c r="AE99" s="3">
        <v>0.82127314814814811</v>
      </c>
      <c r="AF99" t="s">
        <v>70</v>
      </c>
    </row>
    <row r="100" spans="1:42">
      <c r="A100">
        <v>1023366</v>
      </c>
      <c r="B100" t="s">
        <v>75</v>
      </c>
      <c r="C100" t="s">
        <v>62</v>
      </c>
      <c r="D100" s="2">
        <v>46114</v>
      </c>
      <c r="E100" s="2">
        <v>46114</v>
      </c>
      <c r="G100">
        <v>349</v>
      </c>
      <c r="H100" t="s">
        <v>63</v>
      </c>
      <c r="I100">
        <v>6645</v>
      </c>
      <c r="J100">
        <v>82652</v>
      </c>
      <c r="K100">
        <v>2</v>
      </c>
      <c r="L100" t="s">
        <v>192</v>
      </c>
      <c r="M100" t="s">
        <v>65</v>
      </c>
      <c r="N100" t="s">
        <v>66</v>
      </c>
      <c r="O100" s="2">
        <v>46114</v>
      </c>
      <c r="P100" s="1">
        <v>1964</v>
      </c>
      <c r="Q100" t="s">
        <v>67</v>
      </c>
      <c r="R100">
        <v>56.76</v>
      </c>
      <c r="S100">
        <v>11.59</v>
      </c>
      <c r="T100">
        <v>2.09</v>
      </c>
      <c r="U100">
        <v>1905.15</v>
      </c>
      <c r="V100" s="1">
        <v>0</v>
      </c>
      <c r="X100">
        <v>20260406</v>
      </c>
      <c r="Z100" t="s">
        <v>72</v>
      </c>
      <c r="AA100">
        <v>3974527</v>
      </c>
      <c r="AB100" t="s">
        <v>106</v>
      </c>
      <c r="AC100" t="s">
        <v>74</v>
      </c>
      <c r="AE100" s="3">
        <v>0.83123842592592589</v>
      </c>
      <c r="AF100" t="s">
        <v>70</v>
      </c>
    </row>
    <row r="101" spans="1:42">
      <c r="A101">
        <v>1023366</v>
      </c>
      <c r="B101" t="s">
        <v>75</v>
      </c>
      <c r="C101" t="s">
        <v>62</v>
      </c>
      <c r="D101" s="2">
        <v>46114</v>
      </c>
      <c r="E101" s="2">
        <v>46114</v>
      </c>
      <c r="G101">
        <v>349</v>
      </c>
      <c r="H101" t="s">
        <v>63</v>
      </c>
      <c r="I101">
        <v>6648</v>
      </c>
      <c r="J101">
        <v>8236</v>
      </c>
      <c r="L101" t="s">
        <v>193</v>
      </c>
      <c r="M101" t="s">
        <v>65</v>
      </c>
      <c r="N101" t="s">
        <v>66</v>
      </c>
      <c r="O101" s="2">
        <v>46114</v>
      </c>
      <c r="P101" s="1">
        <v>55</v>
      </c>
      <c r="Q101" t="s">
        <v>67</v>
      </c>
      <c r="R101">
        <v>1.59</v>
      </c>
      <c r="S101">
        <v>0.43</v>
      </c>
      <c r="T101">
        <v>0.08</v>
      </c>
      <c r="U101">
        <v>53.33</v>
      </c>
      <c r="V101" s="1">
        <v>0</v>
      </c>
      <c r="X101">
        <v>20260406</v>
      </c>
      <c r="Z101" t="s">
        <v>72</v>
      </c>
      <c r="AA101">
        <v>3974527</v>
      </c>
      <c r="AB101" t="s">
        <v>81</v>
      </c>
      <c r="AE101" s="3">
        <v>0.83678240740740739</v>
      </c>
      <c r="AF101" t="s">
        <v>70</v>
      </c>
    </row>
    <row r="102" spans="1:42">
      <c r="A102">
        <v>1023366</v>
      </c>
      <c r="B102" t="s">
        <v>75</v>
      </c>
      <c r="C102" t="s">
        <v>62</v>
      </c>
      <c r="D102" s="2">
        <v>46114</v>
      </c>
      <c r="E102" s="2">
        <v>46114</v>
      </c>
      <c r="G102">
        <v>349</v>
      </c>
      <c r="H102" t="s">
        <v>63</v>
      </c>
      <c r="I102">
        <v>6650</v>
      </c>
      <c r="J102">
        <v>70645</v>
      </c>
      <c r="L102" t="s">
        <v>194</v>
      </c>
      <c r="M102" t="s">
        <v>65</v>
      </c>
      <c r="N102" t="s">
        <v>66</v>
      </c>
      <c r="O102" s="2">
        <v>46114</v>
      </c>
      <c r="P102" s="1">
        <v>149</v>
      </c>
      <c r="Q102" t="s">
        <v>67</v>
      </c>
      <c r="R102">
        <v>4.3099999999999996</v>
      </c>
      <c r="S102">
        <v>0.88</v>
      </c>
      <c r="T102">
        <v>0.16</v>
      </c>
      <c r="U102">
        <v>144.53</v>
      </c>
      <c r="V102" s="1">
        <v>0</v>
      </c>
      <c r="X102">
        <v>20260406</v>
      </c>
      <c r="Z102" t="s">
        <v>72</v>
      </c>
      <c r="AA102">
        <v>3974527</v>
      </c>
      <c r="AB102" t="s">
        <v>77</v>
      </c>
      <c r="AE102" s="3">
        <v>0.83817129629629628</v>
      </c>
      <c r="AF102" t="s">
        <v>70</v>
      </c>
    </row>
    <row r="103" spans="1:42">
      <c r="A103">
        <v>1023366</v>
      </c>
      <c r="B103" t="s">
        <v>75</v>
      </c>
      <c r="C103" t="s">
        <v>62</v>
      </c>
      <c r="D103" s="2">
        <v>46114</v>
      </c>
      <c r="E103" s="2">
        <v>46114</v>
      </c>
      <c r="G103">
        <v>349</v>
      </c>
      <c r="H103" t="s">
        <v>63</v>
      </c>
      <c r="I103">
        <v>6655</v>
      </c>
      <c r="J103">
        <v>721</v>
      </c>
      <c r="L103" t="s">
        <v>195</v>
      </c>
      <c r="M103" t="s">
        <v>65</v>
      </c>
      <c r="N103" t="s">
        <v>66</v>
      </c>
      <c r="O103" s="2">
        <v>46114</v>
      </c>
      <c r="P103" s="1">
        <v>1388</v>
      </c>
      <c r="Q103" t="s">
        <v>67</v>
      </c>
      <c r="R103">
        <v>40.11</v>
      </c>
      <c r="S103">
        <v>8.19</v>
      </c>
      <c r="T103">
        <v>1.47</v>
      </c>
      <c r="U103">
        <v>1346.42</v>
      </c>
      <c r="V103" s="1">
        <v>0</v>
      </c>
      <c r="X103">
        <v>20260406</v>
      </c>
      <c r="Z103" t="s">
        <v>72</v>
      </c>
      <c r="AA103">
        <v>3974527</v>
      </c>
      <c r="AB103" t="s">
        <v>79</v>
      </c>
      <c r="AE103" s="3">
        <v>0.83964120370370365</v>
      </c>
      <c r="AF103" t="s">
        <v>70</v>
      </c>
    </row>
    <row r="104" spans="1:42">
      <c r="A104">
        <v>1023366</v>
      </c>
      <c r="B104" t="s">
        <v>75</v>
      </c>
      <c r="C104" t="s">
        <v>62</v>
      </c>
      <c r="D104" s="2">
        <v>46114</v>
      </c>
      <c r="E104" s="2">
        <v>46114</v>
      </c>
      <c r="G104">
        <v>349</v>
      </c>
      <c r="H104">
        <v>65656565</v>
      </c>
      <c r="I104">
        <v>6659</v>
      </c>
      <c r="J104">
        <v>508553</v>
      </c>
      <c r="L104" t="s">
        <v>196</v>
      </c>
      <c r="M104" t="s">
        <v>65</v>
      </c>
      <c r="N104" t="s">
        <v>66</v>
      </c>
      <c r="O104" s="2">
        <v>46114</v>
      </c>
      <c r="P104" s="1">
        <v>269</v>
      </c>
      <c r="Q104" t="s">
        <v>67</v>
      </c>
      <c r="R104">
        <v>7.77</v>
      </c>
      <c r="S104">
        <v>3.47</v>
      </c>
      <c r="T104">
        <v>0.62</v>
      </c>
      <c r="U104">
        <v>260.61</v>
      </c>
      <c r="V104" s="1">
        <v>0</v>
      </c>
      <c r="X104">
        <v>20260406</v>
      </c>
      <c r="Z104" t="s">
        <v>68</v>
      </c>
      <c r="AA104">
        <v>3974527</v>
      </c>
      <c r="AB104" t="s">
        <v>79</v>
      </c>
      <c r="AD104" t="s">
        <v>88</v>
      </c>
      <c r="AE104" s="3">
        <v>0.84269675925925924</v>
      </c>
      <c r="AF104" t="s">
        <v>70</v>
      </c>
    </row>
    <row r="105" spans="1:42">
      <c r="A105">
        <v>1023366</v>
      </c>
      <c r="B105" t="s">
        <v>75</v>
      </c>
      <c r="C105" t="s">
        <v>62</v>
      </c>
      <c r="D105" s="2">
        <v>46114</v>
      </c>
      <c r="E105" s="2">
        <v>46114</v>
      </c>
      <c r="G105">
        <v>349</v>
      </c>
      <c r="H105" t="s">
        <v>63</v>
      </c>
      <c r="I105">
        <v>6664</v>
      </c>
      <c r="J105">
        <v>4319</v>
      </c>
      <c r="L105" t="s">
        <v>197</v>
      </c>
      <c r="M105" t="s">
        <v>65</v>
      </c>
      <c r="N105" t="s">
        <v>66</v>
      </c>
      <c r="O105" s="2">
        <v>46114</v>
      </c>
      <c r="P105" s="1">
        <v>1778.9</v>
      </c>
      <c r="Q105" t="s">
        <v>67</v>
      </c>
      <c r="R105">
        <v>51.41</v>
      </c>
      <c r="S105">
        <v>6.94</v>
      </c>
      <c r="T105">
        <v>1.25</v>
      </c>
      <c r="U105">
        <v>1726.24</v>
      </c>
      <c r="V105" s="1">
        <v>0</v>
      </c>
      <c r="X105">
        <v>20260406</v>
      </c>
      <c r="Z105" t="s">
        <v>72</v>
      </c>
      <c r="AA105">
        <v>3974527</v>
      </c>
      <c r="AB105" t="s">
        <v>79</v>
      </c>
      <c r="AE105" s="3">
        <v>0.8665856481481482</v>
      </c>
      <c r="AF105" t="s">
        <v>70</v>
      </c>
    </row>
    <row r="106" spans="1:42">
      <c r="A106">
        <v>1023366</v>
      </c>
      <c r="B106" t="s">
        <v>75</v>
      </c>
      <c r="C106" t="s">
        <v>62</v>
      </c>
      <c r="D106" s="2">
        <v>46114</v>
      </c>
      <c r="E106" s="2">
        <v>46114</v>
      </c>
      <c r="G106">
        <v>349</v>
      </c>
      <c r="H106">
        <v>65656565</v>
      </c>
      <c r="I106">
        <v>6666</v>
      </c>
      <c r="J106">
        <v>595986</v>
      </c>
      <c r="L106" t="s">
        <v>198</v>
      </c>
      <c r="M106" t="s">
        <v>65</v>
      </c>
      <c r="N106" t="s">
        <v>66</v>
      </c>
      <c r="O106" s="2">
        <v>46114</v>
      </c>
      <c r="P106" s="1">
        <v>150</v>
      </c>
      <c r="Q106" t="s">
        <v>67</v>
      </c>
      <c r="R106">
        <v>4.33</v>
      </c>
      <c r="S106">
        <v>1.93</v>
      </c>
      <c r="T106">
        <v>0.35</v>
      </c>
      <c r="U106">
        <v>145.32</v>
      </c>
      <c r="V106" s="1">
        <v>0</v>
      </c>
      <c r="X106">
        <v>20260406</v>
      </c>
      <c r="Z106" t="s">
        <v>68</v>
      </c>
      <c r="AA106">
        <v>3974527</v>
      </c>
      <c r="AB106" t="s">
        <v>79</v>
      </c>
      <c r="AD106" t="s">
        <v>88</v>
      </c>
      <c r="AE106" s="3">
        <v>0.87005787037037041</v>
      </c>
      <c r="AF106" t="s">
        <v>70</v>
      </c>
    </row>
    <row r="107" spans="1:42">
      <c r="A107">
        <v>1023366</v>
      </c>
      <c r="B107" t="s">
        <v>75</v>
      </c>
      <c r="C107" t="s">
        <v>62</v>
      </c>
      <c r="D107" s="2">
        <v>46114</v>
      </c>
      <c r="E107" s="2">
        <v>46114</v>
      </c>
      <c r="G107">
        <v>349</v>
      </c>
      <c r="H107" t="s">
        <v>63</v>
      </c>
      <c r="I107">
        <v>6669</v>
      </c>
      <c r="J107">
        <v>101166</v>
      </c>
      <c r="K107">
        <v>4</v>
      </c>
      <c r="L107" t="s">
        <v>199</v>
      </c>
      <c r="M107" t="s">
        <v>65</v>
      </c>
      <c r="N107" t="s">
        <v>66</v>
      </c>
      <c r="O107" s="2">
        <v>46114</v>
      </c>
      <c r="P107" s="1">
        <v>199</v>
      </c>
      <c r="Q107" t="s">
        <v>67</v>
      </c>
      <c r="R107">
        <v>5.75</v>
      </c>
      <c r="S107">
        <v>1.57</v>
      </c>
      <c r="T107">
        <v>0.28000000000000003</v>
      </c>
      <c r="U107">
        <v>192.97</v>
      </c>
      <c r="V107" s="1">
        <v>0</v>
      </c>
      <c r="X107">
        <v>20260406</v>
      </c>
      <c r="Z107" t="s">
        <v>72</v>
      </c>
      <c r="AA107">
        <v>3974527</v>
      </c>
      <c r="AB107" t="s">
        <v>106</v>
      </c>
      <c r="AC107" t="s">
        <v>74</v>
      </c>
      <c r="AE107" s="3">
        <v>0.87194444444444441</v>
      </c>
      <c r="AF107" t="s">
        <v>70</v>
      </c>
    </row>
    <row r="108" spans="1:42">
      <c r="A108">
        <v>1023366</v>
      </c>
      <c r="B108" t="s">
        <v>75</v>
      </c>
      <c r="C108" t="s">
        <v>62</v>
      </c>
      <c r="D108" s="2">
        <v>46114</v>
      </c>
      <c r="E108" s="2">
        <v>46114</v>
      </c>
      <c r="G108">
        <v>349</v>
      </c>
      <c r="H108" t="s">
        <v>63</v>
      </c>
      <c r="I108">
        <v>6671</v>
      </c>
      <c r="J108">
        <v>660668</v>
      </c>
      <c r="L108" t="s">
        <v>200</v>
      </c>
      <c r="M108" t="s">
        <v>65</v>
      </c>
      <c r="N108" t="s">
        <v>66</v>
      </c>
      <c r="O108" s="2">
        <v>46114</v>
      </c>
      <c r="P108" s="1">
        <v>49</v>
      </c>
      <c r="Q108" t="s">
        <v>67</v>
      </c>
      <c r="R108">
        <v>1.42</v>
      </c>
      <c r="S108">
        <v>0.64</v>
      </c>
      <c r="T108">
        <v>0.12</v>
      </c>
      <c r="U108">
        <v>47.46</v>
      </c>
      <c r="V108" s="1">
        <v>28523.09</v>
      </c>
      <c r="W108" s="2">
        <v>46118</v>
      </c>
      <c r="X108">
        <v>20260406</v>
      </c>
      <c r="Z108" t="s">
        <v>68</v>
      </c>
      <c r="AA108">
        <v>3974527</v>
      </c>
      <c r="AB108" t="s">
        <v>79</v>
      </c>
      <c r="AE108" s="3">
        <v>0.87737268518518519</v>
      </c>
      <c r="AF108" t="s">
        <v>70</v>
      </c>
      <c r="AL108">
        <v>104107</v>
      </c>
      <c r="AM108" s="30">
        <f>+V108</f>
        <v>28523.09</v>
      </c>
      <c r="AN108" t="str">
        <f>_xlfn.XLOOKUP(V108,Bancos!H:H,Bancos!C:C)</f>
        <v>8224821</v>
      </c>
      <c r="AO108" t="str">
        <f>_xlfn.XLOOKUP(AN108,Bancos!C:C,Bancos!A:A)</f>
        <v>06/04/2026</v>
      </c>
      <c r="AP108" s="12">
        <f>+AO108-W108</f>
        <v>0</v>
      </c>
    </row>
    <row r="109" spans="1:42">
      <c r="A109">
        <v>1023366</v>
      </c>
      <c r="B109" t="s">
        <v>201</v>
      </c>
      <c r="C109" t="s">
        <v>62</v>
      </c>
      <c r="D109" s="2">
        <v>46114</v>
      </c>
      <c r="E109" s="2">
        <v>46114</v>
      </c>
      <c r="G109">
        <v>349</v>
      </c>
      <c r="H109" t="s">
        <v>63</v>
      </c>
      <c r="I109">
        <v>6662</v>
      </c>
      <c r="J109">
        <v>7886</v>
      </c>
      <c r="L109" t="s">
        <v>202</v>
      </c>
      <c r="M109" t="s">
        <v>65</v>
      </c>
      <c r="N109" t="s">
        <v>66</v>
      </c>
      <c r="O109" s="2">
        <v>46114</v>
      </c>
      <c r="P109" s="1">
        <v>89.9</v>
      </c>
      <c r="Q109" t="s">
        <v>67</v>
      </c>
      <c r="R109">
        <v>2.6</v>
      </c>
      <c r="S109">
        <v>0.71</v>
      </c>
      <c r="T109">
        <v>0.13</v>
      </c>
      <c r="U109">
        <v>87.17</v>
      </c>
      <c r="V109" s="1">
        <v>87.17</v>
      </c>
      <c r="W109" s="2">
        <v>46118</v>
      </c>
      <c r="X109">
        <v>20260406</v>
      </c>
      <c r="Z109" t="s">
        <v>72</v>
      </c>
      <c r="AA109">
        <v>3974527</v>
      </c>
      <c r="AB109" t="s">
        <v>203</v>
      </c>
      <c r="AE109" s="3">
        <v>0.84980324074074076</v>
      </c>
      <c r="AF109" t="s">
        <v>70</v>
      </c>
      <c r="AL109">
        <v>104107</v>
      </c>
      <c r="AM109" s="30">
        <f>+V109</f>
        <v>87.17</v>
      </c>
      <c r="AN109" t="str">
        <f>_xlfn.XLOOKUP(V109,Bancos!H:H,Bancos!C:C)</f>
        <v>8224822</v>
      </c>
      <c r="AO109" t="str">
        <f>_xlfn.XLOOKUP(AN109,Bancos!C:C,Bancos!A:A)</f>
        <v>06/04/2026</v>
      </c>
      <c r="AP109" s="12">
        <f>+AO109-W109</f>
        <v>0</v>
      </c>
    </row>
    <row r="110" spans="1:42">
      <c r="A110">
        <v>1023366</v>
      </c>
      <c r="B110" t="s">
        <v>61</v>
      </c>
      <c r="C110" t="s">
        <v>62</v>
      </c>
      <c r="D110" s="2">
        <v>46115</v>
      </c>
      <c r="E110" s="2">
        <v>46115</v>
      </c>
      <c r="G110">
        <v>350</v>
      </c>
      <c r="H110">
        <v>65656565</v>
      </c>
      <c r="I110">
        <v>6699</v>
      </c>
      <c r="J110">
        <v>207349</v>
      </c>
      <c r="L110" t="s">
        <v>204</v>
      </c>
      <c r="M110" t="s">
        <v>65</v>
      </c>
      <c r="N110" t="s">
        <v>66</v>
      </c>
      <c r="O110" s="2">
        <v>46115</v>
      </c>
      <c r="P110" s="1">
        <v>149</v>
      </c>
      <c r="Q110" t="s">
        <v>67</v>
      </c>
      <c r="R110">
        <v>4.3</v>
      </c>
      <c r="S110">
        <v>1.54</v>
      </c>
      <c r="T110">
        <v>0.28000000000000003</v>
      </c>
      <c r="U110">
        <v>144.41999999999999</v>
      </c>
      <c r="V110" s="1">
        <v>144.41999999999999</v>
      </c>
      <c r="W110" s="2">
        <v>46118</v>
      </c>
      <c r="X110">
        <v>20260406</v>
      </c>
      <c r="Z110" t="s">
        <v>68</v>
      </c>
      <c r="AA110">
        <v>3974527</v>
      </c>
      <c r="AB110" t="s">
        <v>69</v>
      </c>
      <c r="AD110" t="s">
        <v>205</v>
      </c>
      <c r="AE110" s="3">
        <v>0.5140393518518519</v>
      </c>
      <c r="AF110" t="s">
        <v>70</v>
      </c>
      <c r="AL110">
        <v>104107</v>
      </c>
      <c r="AM110" s="30">
        <f>+V110</f>
        <v>144.41999999999999</v>
      </c>
      <c r="AN110" t="str">
        <f>_xlfn.XLOOKUP(V110,Bancos!H:H,Bancos!C:C)</f>
        <v>8224823</v>
      </c>
      <c r="AO110" t="str">
        <f>_xlfn.XLOOKUP(AN110,Bancos!C:C,Bancos!A:A)</f>
        <v>06/04/2026</v>
      </c>
      <c r="AP110" s="12">
        <f>+AO110-W110</f>
        <v>0</v>
      </c>
    </row>
    <row r="111" spans="1:42">
      <c r="A111">
        <v>1023366</v>
      </c>
      <c r="B111" t="s">
        <v>75</v>
      </c>
      <c r="C111" t="s">
        <v>62</v>
      </c>
      <c r="D111" s="2">
        <v>46115</v>
      </c>
      <c r="E111" s="2">
        <v>46115</v>
      </c>
      <c r="G111">
        <v>350</v>
      </c>
      <c r="H111" t="s">
        <v>63</v>
      </c>
      <c r="I111">
        <v>6687</v>
      </c>
      <c r="J111">
        <v>906712</v>
      </c>
      <c r="L111" t="s">
        <v>206</v>
      </c>
      <c r="M111" t="s">
        <v>65</v>
      </c>
      <c r="N111" t="s">
        <v>66</v>
      </c>
      <c r="O111" s="2">
        <v>46115</v>
      </c>
      <c r="P111" s="1">
        <v>1799</v>
      </c>
      <c r="Q111" t="s">
        <v>67</v>
      </c>
      <c r="R111">
        <v>51.99</v>
      </c>
      <c r="S111">
        <v>23.21</v>
      </c>
      <c r="T111">
        <v>4.18</v>
      </c>
      <c r="U111">
        <v>1742.83</v>
      </c>
      <c r="V111" s="1">
        <v>0</v>
      </c>
      <c r="X111">
        <v>20260406</v>
      </c>
      <c r="Z111" t="s">
        <v>68</v>
      </c>
      <c r="AA111">
        <v>3974527</v>
      </c>
      <c r="AB111" t="s">
        <v>77</v>
      </c>
      <c r="AE111" s="3">
        <v>0.43131944444444442</v>
      </c>
      <c r="AF111" t="s">
        <v>70</v>
      </c>
    </row>
    <row r="112" spans="1:42">
      <c r="A112">
        <v>1023366</v>
      </c>
      <c r="B112" t="s">
        <v>75</v>
      </c>
      <c r="C112" t="s">
        <v>62</v>
      </c>
      <c r="D112" s="2">
        <v>46115</v>
      </c>
      <c r="E112" s="2">
        <v>46115</v>
      </c>
      <c r="G112">
        <v>350</v>
      </c>
      <c r="H112" t="s">
        <v>63</v>
      </c>
      <c r="I112">
        <v>6689</v>
      </c>
      <c r="J112">
        <v>9987</v>
      </c>
      <c r="L112" t="s">
        <v>207</v>
      </c>
      <c r="M112" t="s">
        <v>65</v>
      </c>
      <c r="N112" t="s">
        <v>66</v>
      </c>
      <c r="O112" s="2">
        <v>46115</v>
      </c>
      <c r="P112" s="1">
        <v>105</v>
      </c>
      <c r="Q112" t="s">
        <v>67</v>
      </c>
      <c r="R112">
        <v>3.03</v>
      </c>
      <c r="S112">
        <v>0.82</v>
      </c>
      <c r="T112">
        <v>0.15</v>
      </c>
      <c r="U112">
        <v>101.82</v>
      </c>
      <c r="V112" s="1">
        <v>0</v>
      </c>
      <c r="X112">
        <v>20260406</v>
      </c>
      <c r="Z112" t="s">
        <v>72</v>
      </c>
      <c r="AA112">
        <v>3974527</v>
      </c>
      <c r="AB112" t="s">
        <v>79</v>
      </c>
      <c r="AE112" s="3">
        <v>0.44853009259259258</v>
      </c>
      <c r="AF112" t="s">
        <v>70</v>
      </c>
    </row>
    <row r="113" spans="1:32">
      <c r="A113">
        <v>1023366</v>
      </c>
      <c r="B113" t="s">
        <v>75</v>
      </c>
      <c r="C113" t="s">
        <v>62</v>
      </c>
      <c r="D113" s="2">
        <v>46115</v>
      </c>
      <c r="E113" s="2">
        <v>46115</v>
      </c>
      <c r="G113">
        <v>350</v>
      </c>
      <c r="H113" t="s">
        <v>63</v>
      </c>
      <c r="I113">
        <v>6691</v>
      </c>
      <c r="J113">
        <v>761442</v>
      </c>
      <c r="L113" t="s">
        <v>206</v>
      </c>
      <c r="M113" t="s">
        <v>65</v>
      </c>
      <c r="N113" t="s">
        <v>66</v>
      </c>
      <c r="O113" s="2">
        <v>46115</v>
      </c>
      <c r="P113" s="1">
        <v>279</v>
      </c>
      <c r="Q113" t="s">
        <v>67</v>
      </c>
      <c r="R113">
        <v>8.06</v>
      </c>
      <c r="S113">
        <v>3.6</v>
      </c>
      <c r="T113">
        <v>0.65</v>
      </c>
      <c r="U113">
        <v>270.29000000000002</v>
      </c>
      <c r="V113" s="1">
        <v>0</v>
      </c>
      <c r="X113">
        <v>20260406</v>
      </c>
      <c r="Z113" t="s">
        <v>68</v>
      </c>
      <c r="AA113">
        <v>3974527</v>
      </c>
      <c r="AB113" t="s">
        <v>77</v>
      </c>
      <c r="AE113" s="3">
        <v>0.45130787037037035</v>
      </c>
      <c r="AF113" t="s">
        <v>70</v>
      </c>
    </row>
    <row r="114" spans="1:32">
      <c r="A114">
        <v>1023366</v>
      </c>
      <c r="B114" t="s">
        <v>75</v>
      </c>
      <c r="C114" t="s">
        <v>62</v>
      </c>
      <c r="D114" s="2">
        <v>46115</v>
      </c>
      <c r="E114" s="2">
        <v>46115</v>
      </c>
      <c r="G114">
        <v>350</v>
      </c>
      <c r="H114" t="s">
        <v>63</v>
      </c>
      <c r="I114">
        <v>6693</v>
      </c>
      <c r="J114">
        <v>317608</v>
      </c>
      <c r="L114" t="s">
        <v>208</v>
      </c>
      <c r="M114" t="s">
        <v>65</v>
      </c>
      <c r="N114" t="s">
        <v>66</v>
      </c>
      <c r="O114" s="2">
        <v>46115</v>
      </c>
      <c r="P114" s="1">
        <v>17.899999999999999</v>
      </c>
      <c r="Q114" t="s">
        <v>67</v>
      </c>
      <c r="R114">
        <v>0.52</v>
      </c>
      <c r="S114">
        <v>0.23</v>
      </c>
      <c r="T114">
        <v>0.04</v>
      </c>
      <c r="U114">
        <v>17.34</v>
      </c>
      <c r="V114" s="1">
        <v>0</v>
      </c>
      <c r="X114">
        <v>20260406</v>
      </c>
      <c r="Z114" t="s">
        <v>68</v>
      </c>
      <c r="AA114">
        <v>3974527</v>
      </c>
      <c r="AB114" t="s">
        <v>79</v>
      </c>
      <c r="AE114" s="3">
        <v>0.50386574074074075</v>
      </c>
      <c r="AF114" t="s">
        <v>70</v>
      </c>
    </row>
    <row r="115" spans="1:32">
      <c r="A115">
        <v>1023366</v>
      </c>
      <c r="B115" t="s">
        <v>75</v>
      </c>
      <c r="C115" t="s">
        <v>62</v>
      </c>
      <c r="D115" s="2">
        <v>46115</v>
      </c>
      <c r="E115" s="2">
        <v>46115</v>
      </c>
      <c r="G115">
        <v>350</v>
      </c>
      <c r="H115" t="s">
        <v>63</v>
      </c>
      <c r="I115">
        <v>6702</v>
      </c>
      <c r="J115">
        <v>379</v>
      </c>
      <c r="L115" t="s">
        <v>209</v>
      </c>
      <c r="M115" t="s">
        <v>65</v>
      </c>
      <c r="N115" t="s">
        <v>66</v>
      </c>
      <c r="O115" s="2">
        <v>46115</v>
      </c>
      <c r="P115" s="1">
        <v>69</v>
      </c>
      <c r="Q115" t="s">
        <v>67</v>
      </c>
      <c r="R115">
        <v>1.99</v>
      </c>
      <c r="S115">
        <v>0.54</v>
      </c>
      <c r="T115">
        <v>0.1</v>
      </c>
      <c r="U115">
        <v>66.91</v>
      </c>
      <c r="V115" s="1">
        <v>0</v>
      </c>
      <c r="X115">
        <v>20260406</v>
      </c>
      <c r="Z115" t="s">
        <v>72</v>
      </c>
      <c r="AA115">
        <v>3974527</v>
      </c>
      <c r="AB115" t="s">
        <v>79</v>
      </c>
      <c r="AE115" s="3">
        <v>0.55851851851851853</v>
      </c>
      <c r="AF115" t="s">
        <v>70</v>
      </c>
    </row>
    <row r="116" spans="1:32">
      <c r="A116">
        <v>1023366</v>
      </c>
      <c r="B116" t="s">
        <v>75</v>
      </c>
      <c r="C116" t="s">
        <v>62</v>
      </c>
      <c r="D116" s="2">
        <v>46115</v>
      </c>
      <c r="E116" s="2">
        <v>46115</v>
      </c>
      <c r="G116">
        <v>350</v>
      </c>
      <c r="H116" t="s">
        <v>63</v>
      </c>
      <c r="I116">
        <v>6704</v>
      </c>
      <c r="J116">
        <v>240379</v>
      </c>
      <c r="K116">
        <v>2</v>
      </c>
      <c r="L116" t="s">
        <v>210</v>
      </c>
      <c r="M116" t="s">
        <v>65</v>
      </c>
      <c r="N116" t="s">
        <v>66</v>
      </c>
      <c r="O116" s="2">
        <v>46115</v>
      </c>
      <c r="P116" s="1">
        <v>438</v>
      </c>
      <c r="Q116" t="s">
        <v>67</v>
      </c>
      <c r="R116">
        <v>12.66</v>
      </c>
      <c r="S116">
        <v>2.59</v>
      </c>
      <c r="T116">
        <v>0.47</v>
      </c>
      <c r="U116">
        <v>424.87</v>
      </c>
      <c r="V116" s="1">
        <v>0</v>
      </c>
      <c r="X116">
        <v>20260406</v>
      </c>
      <c r="Z116" t="s">
        <v>72</v>
      </c>
      <c r="AA116">
        <v>3974527</v>
      </c>
      <c r="AB116" t="s">
        <v>106</v>
      </c>
      <c r="AC116" t="s">
        <v>74</v>
      </c>
      <c r="AE116" s="3">
        <v>0.58425925925925926</v>
      </c>
      <c r="AF116" t="s">
        <v>70</v>
      </c>
    </row>
    <row r="117" spans="1:32">
      <c r="A117">
        <v>1023366</v>
      </c>
      <c r="B117" t="s">
        <v>75</v>
      </c>
      <c r="C117" t="s">
        <v>62</v>
      </c>
      <c r="D117" s="2">
        <v>46115</v>
      </c>
      <c r="E117" s="2">
        <v>46115</v>
      </c>
      <c r="G117">
        <v>350</v>
      </c>
      <c r="H117" t="s">
        <v>63</v>
      </c>
      <c r="I117">
        <v>6708</v>
      </c>
      <c r="J117">
        <v>520843</v>
      </c>
      <c r="L117" t="s">
        <v>211</v>
      </c>
      <c r="M117" t="s">
        <v>65</v>
      </c>
      <c r="N117" t="s">
        <v>66</v>
      </c>
      <c r="O117" s="2">
        <v>46115</v>
      </c>
      <c r="P117" s="1">
        <v>2048</v>
      </c>
      <c r="Q117" t="s">
        <v>67</v>
      </c>
      <c r="R117">
        <v>59.19</v>
      </c>
      <c r="S117">
        <v>26.42</v>
      </c>
      <c r="T117">
        <v>4.76</v>
      </c>
      <c r="U117">
        <v>1984.05</v>
      </c>
      <c r="V117" s="1">
        <v>0</v>
      </c>
      <c r="X117">
        <v>20260406</v>
      </c>
      <c r="Z117" t="s">
        <v>68</v>
      </c>
      <c r="AA117">
        <v>3974527</v>
      </c>
      <c r="AB117" t="s">
        <v>79</v>
      </c>
      <c r="AE117" s="3">
        <v>0.63260416666666663</v>
      </c>
      <c r="AF117" t="s">
        <v>70</v>
      </c>
    </row>
    <row r="118" spans="1:32">
      <c r="A118">
        <v>1023366</v>
      </c>
      <c r="B118" t="s">
        <v>75</v>
      </c>
      <c r="C118" t="s">
        <v>62</v>
      </c>
      <c r="D118" s="2">
        <v>46115</v>
      </c>
      <c r="E118" s="2">
        <v>46115</v>
      </c>
      <c r="G118">
        <v>350</v>
      </c>
      <c r="H118" t="s">
        <v>63</v>
      </c>
      <c r="I118">
        <v>6710</v>
      </c>
      <c r="J118">
        <v>536112</v>
      </c>
      <c r="L118" t="s">
        <v>212</v>
      </c>
      <c r="M118" t="s">
        <v>65</v>
      </c>
      <c r="N118" t="s">
        <v>66</v>
      </c>
      <c r="O118" s="2">
        <v>46115</v>
      </c>
      <c r="P118" s="1">
        <v>199</v>
      </c>
      <c r="Q118" t="s">
        <v>67</v>
      </c>
      <c r="R118">
        <v>5.75</v>
      </c>
      <c r="S118">
        <v>2.57</v>
      </c>
      <c r="T118">
        <v>0.46</v>
      </c>
      <c r="U118">
        <v>192.79</v>
      </c>
      <c r="V118" s="1">
        <v>0</v>
      </c>
      <c r="X118">
        <v>20260406</v>
      </c>
      <c r="Z118" t="s">
        <v>68</v>
      </c>
      <c r="AA118">
        <v>3974527</v>
      </c>
      <c r="AB118" t="s">
        <v>79</v>
      </c>
      <c r="AE118" s="3">
        <v>0.65162037037037035</v>
      </c>
      <c r="AF118" t="s">
        <v>70</v>
      </c>
    </row>
    <row r="119" spans="1:32">
      <c r="A119">
        <v>1023366</v>
      </c>
      <c r="B119" t="s">
        <v>75</v>
      </c>
      <c r="C119" t="s">
        <v>62</v>
      </c>
      <c r="D119" s="2">
        <v>46115</v>
      </c>
      <c r="E119" s="2">
        <v>46115</v>
      </c>
      <c r="G119">
        <v>350</v>
      </c>
      <c r="H119" t="s">
        <v>63</v>
      </c>
      <c r="I119">
        <v>6712</v>
      </c>
      <c r="J119">
        <v>638131</v>
      </c>
      <c r="L119" t="s">
        <v>213</v>
      </c>
      <c r="M119" t="s">
        <v>65</v>
      </c>
      <c r="N119" t="s">
        <v>66</v>
      </c>
      <c r="O119" s="2">
        <v>46115</v>
      </c>
      <c r="P119" s="1">
        <v>328</v>
      </c>
      <c r="Q119" t="s">
        <v>67</v>
      </c>
      <c r="R119">
        <v>9.48</v>
      </c>
      <c r="S119">
        <v>4.2300000000000004</v>
      </c>
      <c r="T119">
        <v>0.76</v>
      </c>
      <c r="U119">
        <v>317.76</v>
      </c>
      <c r="V119" s="1">
        <v>0</v>
      </c>
      <c r="X119">
        <v>20260406</v>
      </c>
      <c r="Z119" t="s">
        <v>68</v>
      </c>
      <c r="AA119">
        <v>3974527</v>
      </c>
      <c r="AB119" t="s">
        <v>79</v>
      </c>
      <c r="AE119" s="3">
        <v>0.65651620370370367</v>
      </c>
      <c r="AF119" t="s">
        <v>70</v>
      </c>
    </row>
    <row r="120" spans="1:32">
      <c r="A120">
        <v>1023366</v>
      </c>
      <c r="B120" t="s">
        <v>75</v>
      </c>
      <c r="C120" t="s">
        <v>62</v>
      </c>
      <c r="D120" s="2">
        <v>46115</v>
      </c>
      <c r="E120" s="2">
        <v>46115</v>
      </c>
      <c r="G120">
        <v>350</v>
      </c>
      <c r="H120" t="s">
        <v>63</v>
      </c>
      <c r="I120">
        <v>6715</v>
      </c>
      <c r="J120">
        <v>556370</v>
      </c>
      <c r="L120" t="s">
        <v>214</v>
      </c>
      <c r="M120" t="s">
        <v>65</v>
      </c>
      <c r="N120" t="s">
        <v>66</v>
      </c>
      <c r="O120" s="2">
        <v>46115</v>
      </c>
      <c r="P120" s="1">
        <v>204</v>
      </c>
      <c r="Q120" t="s">
        <v>67</v>
      </c>
      <c r="R120">
        <v>5.9</v>
      </c>
      <c r="S120">
        <v>1.62</v>
      </c>
      <c r="T120">
        <v>0.28999999999999998</v>
      </c>
      <c r="U120">
        <v>197.81</v>
      </c>
      <c r="V120" s="1">
        <v>0</v>
      </c>
      <c r="X120">
        <v>20260406</v>
      </c>
      <c r="Z120" t="s">
        <v>68</v>
      </c>
      <c r="AA120">
        <v>3974527</v>
      </c>
      <c r="AB120" t="s">
        <v>81</v>
      </c>
      <c r="AE120" s="3">
        <v>0.67234953703703704</v>
      </c>
      <c r="AF120" t="s">
        <v>70</v>
      </c>
    </row>
    <row r="121" spans="1:32">
      <c r="A121">
        <v>1023366</v>
      </c>
      <c r="B121" t="s">
        <v>75</v>
      </c>
      <c r="C121" t="s">
        <v>62</v>
      </c>
      <c r="D121" s="2">
        <v>46115</v>
      </c>
      <c r="E121" s="2">
        <v>46115</v>
      </c>
      <c r="G121">
        <v>350</v>
      </c>
      <c r="H121">
        <v>65656565</v>
      </c>
      <c r="I121">
        <v>6717</v>
      </c>
      <c r="J121">
        <v>632701</v>
      </c>
      <c r="L121" t="s">
        <v>215</v>
      </c>
      <c r="M121" t="s">
        <v>65</v>
      </c>
      <c r="N121" t="s">
        <v>66</v>
      </c>
      <c r="O121" s="2">
        <v>46115</v>
      </c>
      <c r="P121" s="1">
        <v>109</v>
      </c>
      <c r="Q121" t="s">
        <v>67</v>
      </c>
      <c r="R121">
        <v>3.15</v>
      </c>
      <c r="S121">
        <v>1.41</v>
      </c>
      <c r="T121">
        <v>0.25</v>
      </c>
      <c r="U121">
        <v>105.6</v>
      </c>
      <c r="V121" s="1">
        <v>0</v>
      </c>
      <c r="X121">
        <v>20260406</v>
      </c>
      <c r="Z121" t="s">
        <v>68</v>
      </c>
      <c r="AA121">
        <v>3974527</v>
      </c>
      <c r="AB121" t="s">
        <v>79</v>
      </c>
      <c r="AD121" t="s">
        <v>88</v>
      </c>
      <c r="AE121" s="3">
        <v>0.68584490740740744</v>
      </c>
      <c r="AF121" t="s">
        <v>70</v>
      </c>
    </row>
    <row r="122" spans="1:32">
      <c r="A122">
        <v>1023366</v>
      </c>
      <c r="B122" t="s">
        <v>75</v>
      </c>
      <c r="C122" t="s">
        <v>62</v>
      </c>
      <c r="D122" s="2">
        <v>46115</v>
      </c>
      <c r="E122" s="2">
        <v>46115</v>
      </c>
      <c r="G122">
        <v>350</v>
      </c>
      <c r="H122" t="s">
        <v>63</v>
      </c>
      <c r="I122">
        <v>6720</v>
      </c>
      <c r="J122">
        <v>175172</v>
      </c>
      <c r="L122" t="s">
        <v>216</v>
      </c>
      <c r="M122" t="s">
        <v>65</v>
      </c>
      <c r="N122" t="s">
        <v>66</v>
      </c>
      <c r="O122" s="2">
        <v>46115</v>
      </c>
      <c r="P122" s="1">
        <v>269</v>
      </c>
      <c r="Q122" t="s">
        <v>67</v>
      </c>
      <c r="R122">
        <v>7.77</v>
      </c>
      <c r="S122">
        <v>3.47</v>
      </c>
      <c r="T122">
        <v>0.62</v>
      </c>
      <c r="U122">
        <v>260.61</v>
      </c>
      <c r="V122" s="1">
        <v>0</v>
      </c>
      <c r="X122">
        <v>20260406</v>
      </c>
      <c r="Z122" t="s">
        <v>68</v>
      </c>
      <c r="AA122">
        <v>3974527</v>
      </c>
      <c r="AB122" t="s">
        <v>77</v>
      </c>
      <c r="AE122" s="3">
        <v>0.69560185185185186</v>
      </c>
      <c r="AF122" t="s">
        <v>70</v>
      </c>
    </row>
    <row r="123" spans="1:32">
      <c r="A123">
        <v>1023366</v>
      </c>
      <c r="B123" t="s">
        <v>75</v>
      </c>
      <c r="C123" t="s">
        <v>62</v>
      </c>
      <c r="D123" s="2">
        <v>46115</v>
      </c>
      <c r="E123" s="2">
        <v>46115</v>
      </c>
      <c r="G123">
        <v>350</v>
      </c>
      <c r="H123" t="s">
        <v>63</v>
      </c>
      <c r="I123">
        <v>6724</v>
      </c>
      <c r="J123">
        <v>1873</v>
      </c>
      <c r="L123" t="s">
        <v>217</v>
      </c>
      <c r="M123" t="s">
        <v>65</v>
      </c>
      <c r="N123" t="s">
        <v>66</v>
      </c>
      <c r="O123" s="2">
        <v>46115</v>
      </c>
      <c r="P123" s="1">
        <v>149</v>
      </c>
      <c r="Q123" t="s">
        <v>67</v>
      </c>
      <c r="R123">
        <v>4.3099999999999996</v>
      </c>
      <c r="S123">
        <v>1.18</v>
      </c>
      <c r="T123">
        <v>0.21</v>
      </c>
      <c r="U123">
        <v>144.47999999999999</v>
      </c>
      <c r="V123" s="1">
        <v>0</v>
      </c>
      <c r="X123">
        <v>20260406</v>
      </c>
      <c r="Z123" t="s">
        <v>72</v>
      </c>
      <c r="AA123">
        <v>3974527</v>
      </c>
      <c r="AB123" t="s">
        <v>79</v>
      </c>
      <c r="AE123" s="3">
        <v>0.7369444444444444</v>
      </c>
      <c r="AF123" t="s">
        <v>70</v>
      </c>
    </row>
    <row r="124" spans="1:32">
      <c r="A124">
        <v>1023366</v>
      </c>
      <c r="B124" t="s">
        <v>75</v>
      </c>
      <c r="C124" t="s">
        <v>62</v>
      </c>
      <c r="D124" s="2">
        <v>46115</v>
      </c>
      <c r="E124" s="2">
        <v>46115</v>
      </c>
      <c r="G124">
        <v>350</v>
      </c>
      <c r="H124" t="s">
        <v>63</v>
      </c>
      <c r="I124">
        <v>6727</v>
      </c>
      <c r="J124">
        <v>6394</v>
      </c>
      <c r="L124" t="s">
        <v>218</v>
      </c>
      <c r="M124" t="s">
        <v>65</v>
      </c>
      <c r="N124" t="s">
        <v>66</v>
      </c>
      <c r="O124" s="2">
        <v>46115</v>
      </c>
      <c r="P124" s="1">
        <v>349</v>
      </c>
      <c r="Q124" t="s">
        <v>67</v>
      </c>
      <c r="R124">
        <v>10.09</v>
      </c>
      <c r="S124">
        <v>2.76</v>
      </c>
      <c r="T124">
        <v>0.5</v>
      </c>
      <c r="U124">
        <v>338.41</v>
      </c>
      <c r="V124" s="1">
        <v>0</v>
      </c>
      <c r="X124">
        <v>20260406</v>
      </c>
      <c r="Z124" t="s">
        <v>72</v>
      </c>
      <c r="AA124">
        <v>3974527</v>
      </c>
      <c r="AB124" t="s">
        <v>79</v>
      </c>
      <c r="AE124" s="3">
        <v>0.74326388888888884</v>
      </c>
      <c r="AF124" t="s">
        <v>70</v>
      </c>
    </row>
    <row r="125" spans="1:32">
      <c r="A125">
        <v>1023366</v>
      </c>
      <c r="B125" t="s">
        <v>75</v>
      </c>
      <c r="C125" t="s">
        <v>62</v>
      </c>
      <c r="D125" s="2">
        <v>46115</v>
      </c>
      <c r="E125" s="2">
        <v>46115</v>
      </c>
      <c r="G125">
        <v>350</v>
      </c>
      <c r="H125" t="s">
        <v>63</v>
      </c>
      <c r="I125">
        <v>6731</v>
      </c>
      <c r="J125">
        <v>752455</v>
      </c>
      <c r="L125" t="s">
        <v>219</v>
      </c>
      <c r="M125" t="s">
        <v>65</v>
      </c>
      <c r="N125" t="s">
        <v>66</v>
      </c>
      <c r="O125" s="2">
        <v>46115</v>
      </c>
      <c r="P125" s="1">
        <v>189</v>
      </c>
      <c r="Q125" t="s">
        <v>67</v>
      </c>
      <c r="R125">
        <v>5.46</v>
      </c>
      <c r="S125">
        <v>2.44</v>
      </c>
      <c r="T125">
        <v>0.44</v>
      </c>
      <c r="U125">
        <v>183.1</v>
      </c>
      <c r="V125" s="1">
        <v>0</v>
      </c>
      <c r="X125">
        <v>20260406</v>
      </c>
      <c r="Z125" t="s">
        <v>68</v>
      </c>
      <c r="AA125">
        <v>3974527</v>
      </c>
      <c r="AB125" t="s">
        <v>79</v>
      </c>
      <c r="AE125" s="3">
        <v>0.75267361111111108</v>
      </c>
      <c r="AF125" t="s">
        <v>70</v>
      </c>
    </row>
    <row r="126" spans="1:32">
      <c r="A126">
        <v>1023366</v>
      </c>
      <c r="B126" t="s">
        <v>75</v>
      </c>
      <c r="C126" t="s">
        <v>62</v>
      </c>
      <c r="D126" s="2">
        <v>46115</v>
      </c>
      <c r="E126" s="2">
        <v>46115</v>
      </c>
      <c r="G126">
        <v>350</v>
      </c>
      <c r="H126" t="s">
        <v>63</v>
      </c>
      <c r="I126">
        <v>6733</v>
      </c>
      <c r="J126">
        <v>844242</v>
      </c>
      <c r="L126" t="s">
        <v>220</v>
      </c>
      <c r="M126" t="s">
        <v>65</v>
      </c>
      <c r="N126" t="s">
        <v>66</v>
      </c>
      <c r="O126" s="2">
        <v>46115</v>
      </c>
      <c r="P126" s="1">
        <v>418</v>
      </c>
      <c r="Q126" t="s">
        <v>67</v>
      </c>
      <c r="R126">
        <v>12.08</v>
      </c>
      <c r="S126">
        <v>5.39</v>
      </c>
      <c r="T126">
        <v>0.97</v>
      </c>
      <c r="U126">
        <v>404.95</v>
      </c>
      <c r="V126" s="1">
        <v>0</v>
      </c>
      <c r="X126">
        <v>20260406</v>
      </c>
      <c r="Z126" t="s">
        <v>68</v>
      </c>
      <c r="AA126">
        <v>3974527</v>
      </c>
      <c r="AB126" t="s">
        <v>79</v>
      </c>
      <c r="AE126" s="3">
        <v>0.75959490740740743</v>
      </c>
      <c r="AF126" t="s">
        <v>70</v>
      </c>
    </row>
    <row r="127" spans="1:32">
      <c r="A127">
        <v>1023366</v>
      </c>
      <c r="B127" t="s">
        <v>75</v>
      </c>
      <c r="C127" t="s">
        <v>62</v>
      </c>
      <c r="D127" s="2">
        <v>46115</v>
      </c>
      <c r="E127" s="2">
        <v>46115</v>
      </c>
      <c r="G127">
        <v>350</v>
      </c>
      <c r="H127" t="s">
        <v>63</v>
      </c>
      <c r="I127">
        <v>6737</v>
      </c>
      <c r="J127">
        <v>7943</v>
      </c>
      <c r="L127" t="s">
        <v>221</v>
      </c>
      <c r="M127" t="s">
        <v>65</v>
      </c>
      <c r="N127" t="s">
        <v>66</v>
      </c>
      <c r="O127" s="2">
        <v>46115</v>
      </c>
      <c r="P127" s="1">
        <v>118</v>
      </c>
      <c r="Q127" t="s">
        <v>67</v>
      </c>
      <c r="R127">
        <v>3.41</v>
      </c>
      <c r="S127">
        <v>0.7</v>
      </c>
      <c r="T127">
        <v>0.13</v>
      </c>
      <c r="U127">
        <v>114.46</v>
      </c>
      <c r="V127" s="1">
        <v>0</v>
      </c>
      <c r="X127">
        <v>20260406</v>
      </c>
      <c r="Z127" t="s">
        <v>72</v>
      </c>
      <c r="AA127">
        <v>3974527</v>
      </c>
      <c r="AB127" t="s">
        <v>79</v>
      </c>
      <c r="AE127" s="3">
        <v>0.81148148148148147</v>
      </c>
      <c r="AF127" t="s">
        <v>70</v>
      </c>
    </row>
    <row r="128" spans="1:32">
      <c r="A128">
        <v>1023366</v>
      </c>
      <c r="B128" t="s">
        <v>75</v>
      </c>
      <c r="C128" t="s">
        <v>62</v>
      </c>
      <c r="D128" s="2">
        <v>46115</v>
      </c>
      <c r="E128" s="2">
        <v>46115</v>
      </c>
      <c r="G128">
        <v>350</v>
      </c>
      <c r="H128" t="s">
        <v>63</v>
      </c>
      <c r="I128">
        <v>6740</v>
      </c>
      <c r="J128" t="s">
        <v>222</v>
      </c>
      <c r="L128" t="s">
        <v>223</v>
      </c>
      <c r="M128" t="s">
        <v>65</v>
      </c>
      <c r="N128" t="s">
        <v>66</v>
      </c>
      <c r="O128" s="2">
        <v>46115</v>
      </c>
      <c r="P128" s="1">
        <v>105</v>
      </c>
      <c r="Q128" t="s">
        <v>67</v>
      </c>
      <c r="R128">
        <v>3.03</v>
      </c>
      <c r="S128">
        <v>0.82</v>
      </c>
      <c r="T128">
        <v>0.15</v>
      </c>
      <c r="U128">
        <v>101.82</v>
      </c>
      <c r="V128" s="1">
        <v>0</v>
      </c>
      <c r="X128">
        <v>20260406</v>
      </c>
      <c r="Z128" t="s">
        <v>72</v>
      </c>
      <c r="AA128">
        <v>3974527</v>
      </c>
      <c r="AB128" t="s">
        <v>81</v>
      </c>
      <c r="AE128" s="3">
        <v>0.82234953703703706</v>
      </c>
      <c r="AF128" t="s">
        <v>70</v>
      </c>
    </row>
    <row r="129" spans="1:42">
      <c r="A129">
        <v>1023366</v>
      </c>
      <c r="B129" t="s">
        <v>75</v>
      </c>
      <c r="C129" t="s">
        <v>62</v>
      </c>
      <c r="D129" s="2">
        <v>46115</v>
      </c>
      <c r="E129" s="2">
        <v>46115</v>
      </c>
      <c r="G129">
        <v>350</v>
      </c>
      <c r="H129" t="s">
        <v>63</v>
      </c>
      <c r="I129">
        <v>6742</v>
      </c>
      <c r="J129">
        <v>982845</v>
      </c>
      <c r="L129" t="s">
        <v>224</v>
      </c>
      <c r="M129" t="s">
        <v>65</v>
      </c>
      <c r="N129" t="s">
        <v>66</v>
      </c>
      <c r="O129" s="2">
        <v>46115</v>
      </c>
      <c r="P129" s="1">
        <v>159</v>
      </c>
      <c r="Q129" t="s">
        <v>67</v>
      </c>
      <c r="R129">
        <v>4.5999999999999996</v>
      </c>
      <c r="S129">
        <v>0.94</v>
      </c>
      <c r="T129">
        <v>0.17</v>
      </c>
      <c r="U129">
        <v>154.22999999999999</v>
      </c>
      <c r="V129" s="1">
        <v>0</v>
      </c>
      <c r="X129">
        <v>20260406</v>
      </c>
      <c r="Z129" t="s">
        <v>72</v>
      </c>
      <c r="AA129">
        <v>3974527</v>
      </c>
      <c r="AB129" t="s">
        <v>93</v>
      </c>
      <c r="AE129" s="3">
        <v>0.83870370370370373</v>
      </c>
      <c r="AF129" t="s">
        <v>70</v>
      </c>
    </row>
    <row r="130" spans="1:42">
      <c r="A130">
        <v>1023366</v>
      </c>
      <c r="B130" t="s">
        <v>75</v>
      </c>
      <c r="C130" t="s">
        <v>62</v>
      </c>
      <c r="D130" s="2">
        <v>46115</v>
      </c>
      <c r="E130" s="2">
        <v>46115</v>
      </c>
      <c r="G130">
        <v>350</v>
      </c>
      <c r="H130" t="s">
        <v>63</v>
      </c>
      <c r="I130">
        <v>6744</v>
      </c>
      <c r="J130">
        <v>5173</v>
      </c>
      <c r="L130" t="s">
        <v>225</v>
      </c>
      <c r="M130" t="s">
        <v>65</v>
      </c>
      <c r="N130" t="s">
        <v>66</v>
      </c>
      <c r="O130" s="2">
        <v>46115</v>
      </c>
      <c r="P130" s="1">
        <v>738</v>
      </c>
      <c r="Q130" t="s">
        <v>67</v>
      </c>
      <c r="R130">
        <v>21.33</v>
      </c>
      <c r="S130">
        <v>4.3600000000000003</v>
      </c>
      <c r="T130">
        <v>0.78</v>
      </c>
      <c r="U130">
        <v>715.89</v>
      </c>
      <c r="V130" s="1">
        <v>0</v>
      </c>
      <c r="X130">
        <v>20260406</v>
      </c>
      <c r="Z130" t="s">
        <v>72</v>
      </c>
      <c r="AA130">
        <v>3974527</v>
      </c>
      <c r="AB130" t="s">
        <v>93</v>
      </c>
      <c r="AE130" s="3">
        <v>0.84417824074074077</v>
      </c>
      <c r="AF130" t="s">
        <v>70</v>
      </c>
    </row>
    <row r="131" spans="1:42">
      <c r="A131">
        <v>1023366</v>
      </c>
      <c r="B131" t="s">
        <v>75</v>
      </c>
      <c r="C131" t="s">
        <v>62</v>
      </c>
      <c r="D131" s="2">
        <v>46115</v>
      </c>
      <c r="E131" s="2">
        <v>46115</v>
      </c>
      <c r="G131">
        <v>350</v>
      </c>
      <c r="H131" t="s">
        <v>63</v>
      </c>
      <c r="I131">
        <v>6746</v>
      </c>
      <c r="J131">
        <v>172131</v>
      </c>
      <c r="L131" t="s">
        <v>226</v>
      </c>
      <c r="M131" t="s">
        <v>65</v>
      </c>
      <c r="N131" t="s">
        <v>66</v>
      </c>
      <c r="O131" s="2">
        <v>46115</v>
      </c>
      <c r="P131" s="1">
        <v>1799</v>
      </c>
      <c r="Q131" t="s">
        <v>67</v>
      </c>
      <c r="R131">
        <v>51.99</v>
      </c>
      <c r="S131">
        <v>23.21</v>
      </c>
      <c r="T131">
        <v>4.18</v>
      </c>
      <c r="U131">
        <v>1742.83</v>
      </c>
      <c r="V131" s="1">
        <v>9582.85</v>
      </c>
      <c r="W131" s="2">
        <v>46118</v>
      </c>
      <c r="X131">
        <v>20260406</v>
      </c>
      <c r="Z131" t="s">
        <v>68</v>
      </c>
      <c r="AA131">
        <v>3974527</v>
      </c>
      <c r="AB131" t="s">
        <v>77</v>
      </c>
      <c r="AE131" s="3">
        <v>0.8697569444444444</v>
      </c>
      <c r="AF131" t="s">
        <v>70</v>
      </c>
      <c r="AL131">
        <v>104107</v>
      </c>
      <c r="AM131" s="30">
        <f>+V131</f>
        <v>9582.85</v>
      </c>
      <c r="AN131" t="str">
        <f>_xlfn.XLOOKUP(V131,Bancos!H:H,Bancos!C:C)</f>
        <v>8224824</v>
      </c>
      <c r="AO131" t="str">
        <f>_xlfn.XLOOKUP(AN131,Bancos!C:C,Bancos!A:A)</f>
        <v>06/04/2026</v>
      </c>
      <c r="AP131" s="12">
        <f>+AO131-W131</f>
        <v>0</v>
      </c>
    </row>
    <row r="132" spans="1:42">
      <c r="A132">
        <v>1023366</v>
      </c>
      <c r="B132" t="s">
        <v>61</v>
      </c>
      <c r="C132" t="s">
        <v>62</v>
      </c>
      <c r="D132" s="2">
        <v>46116</v>
      </c>
      <c r="E132" s="2">
        <v>46116</v>
      </c>
      <c r="G132">
        <v>351</v>
      </c>
      <c r="H132">
        <v>65656565</v>
      </c>
      <c r="I132">
        <v>6773</v>
      </c>
      <c r="J132">
        <v>348443</v>
      </c>
      <c r="L132" t="s">
        <v>227</v>
      </c>
      <c r="M132" t="s">
        <v>65</v>
      </c>
      <c r="N132" t="s">
        <v>66</v>
      </c>
      <c r="O132" s="2">
        <v>46116</v>
      </c>
      <c r="P132" s="1">
        <v>500</v>
      </c>
      <c r="Q132" t="s">
        <v>67</v>
      </c>
      <c r="R132">
        <v>14.45</v>
      </c>
      <c r="S132">
        <v>5.2</v>
      </c>
      <c r="T132">
        <v>0.94</v>
      </c>
      <c r="U132">
        <v>484.61</v>
      </c>
      <c r="V132" s="1">
        <v>0</v>
      </c>
      <c r="X132">
        <v>20260406</v>
      </c>
      <c r="Z132" t="s">
        <v>68</v>
      </c>
      <c r="AA132">
        <v>3974527</v>
      </c>
      <c r="AB132" t="s">
        <v>69</v>
      </c>
      <c r="AD132" t="s">
        <v>205</v>
      </c>
      <c r="AE132" s="3">
        <v>0.49408564814814815</v>
      </c>
      <c r="AF132" t="s">
        <v>70</v>
      </c>
    </row>
    <row r="133" spans="1:42">
      <c r="A133">
        <v>1023366</v>
      </c>
      <c r="B133" t="s">
        <v>61</v>
      </c>
      <c r="C133" t="s">
        <v>62</v>
      </c>
      <c r="D133" s="2">
        <v>46116</v>
      </c>
      <c r="E133" s="2">
        <v>46116</v>
      </c>
      <c r="G133">
        <v>351</v>
      </c>
      <c r="H133">
        <v>65656565</v>
      </c>
      <c r="I133">
        <v>6776</v>
      </c>
      <c r="J133">
        <v>348573</v>
      </c>
      <c r="L133" t="s">
        <v>227</v>
      </c>
      <c r="M133" t="s">
        <v>65</v>
      </c>
      <c r="N133" t="s">
        <v>66</v>
      </c>
      <c r="O133" s="2">
        <v>46116</v>
      </c>
      <c r="P133" s="1">
        <v>88</v>
      </c>
      <c r="Q133" t="s">
        <v>67</v>
      </c>
      <c r="R133">
        <v>2.54</v>
      </c>
      <c r="S133">
        <v>0.91</v>
      </c>
      <c r="T133">
        <v>0.16</v>
      </c>
      <c r="U133">
        <v>85.3</v>
      </c>
      <c r="V133" s="1">
        <v>0</v>
      </c>
      <c r="X133">
        <v>20260406</v>
      </c>
      <c r="Z133" t="s">
        <v>68</v>
      </c>
      <c r="AA133">
        <v>3974527</v>
      </c>
      <c r="AB133" t="s">
        <v>69</v>
      </c>
      <c r="AD133" t="s">
        <v>205</v>
      </c>
      <c r="AE133" s="3">
        <v>0.49458333333333332</v>
      </c>
      <c r="AF133" t="s">
        <v>70</v>
      </c>
    </row>
    <row r="134" spans="1:42">
      <c r="A134">
        <v>1023366</v>
      </c>
      <c r="B134" t="s">
        <v>61</v>
      </c>
      <c r="C134" t="s">
        <v>62</v>
      </c>
      <c r="D134" s="2">
        <v>46116</v>
      </c>
      <c r="E134" s="2">
        <v>46116</v>
      </c>
      <c r="G134">
        <v>351</v>
      </c>
      <c r="H134" t="s">
        <v>63</v>
      </c>
      <c r="I134">
        <v>6820</v>
      </c>
      <c r="J134">
        <v>358891</v>
      </c>
      <c r="K134">
        <v>3</v>
      </c>
      <c r="L134" t="s">
        <v>228</v>
      </c>
      <c r="M134" t="s">
        <v>65</v>
      </c>
      <c r="N134" t="s">
        <v>66</v>
      </c>
      <c r="O134" s="2">
        <v>46116</v>
      </c>
      <c r="P134" s="1">
        <v>1400</v>
      </c>
      <c r="Q134" t="s">
        <v>67</v>
      </c>
      <c r="R134">
        <v>64.959999999999994</v>
      </c>
      <c r="S134">
        <v>11.06</v>
      </c>
      <c r="T134">
        <v>1.99</v>
      </c>
      <c r="U134">
        <v>1333.05</v>
      </c>
      <c r="V134" s="1">
        <v>0</v>
      </c>
      <c r="X134">
        <v>20260406</v>
      </c>
      <c r="Z134" t="s">
        <v>72</v>
      </c>
      <c r="AA134">
        <v>3974527</v>
      </c>
      <c r="AB134" t="s">
        <v>93</v>
      </c>
      <c r="AC134" t="s">
        <v>120</v>
      </c>
      <c r="AE134" s="3">
        <v>0.66262731481481485</v>
      </c>
      <c r="AF134" t="s">
        <v>70</v>
      </c>
    </row>
    <row r="135" spans="1:42">
      <c r="A135">
        <v>1023366</v>
      </c>
      <c r="B135" t="s">
        <v>61</v>
      </c>
      <c r="C135" t="s">
        <v>62</v>
      </c>
      <c r="D135" s="2">
        <v>46116</v>
      </c>
      <c r="E135" s="2">
        <v>46116</v>
      </c>
      <c r="G135">
        <v>351</v>
      </c>
      <c r="H135" t="s">
        <v>63</v>
      </c>
      <c r="I135">
        <v>6826</v>
      </c>
      <c r="J135">
        <v>510691</v>
      </c>
      <c r="K135">
        <v>3</v>
      </c>
      <c r="L135" t="s">
        <v>229</v>
      </c>
      <c r="M135" t="s">
        <v>65</v>
      </c>
      <c r="N135" t="s">
        <v>66</v>
      </c>
      <c r="O135" s="2">
        <v>46116</v>
      </c>
      <c r="P135" s="1">
        <v>2199</v>
      </c>
      <c r="Q135" t="s">
        <v>67</v>
      </c>
      <c r="R135">
        <v>102.03</v>
      </c>
      <c r="S135">
        <v>17.37</v>
      </c>
      <c r="T135">
        <v>3.13</v>
      </c>
      <c r="U135">
        <v>2093.84</v>
      </c>
      <c r="V135" s="1">
        <v>0</v>
      </c>
      <c r="X135">
        <v>20260406</v>
      </c>
      <c r="Z135" t="s">
        <v>72</v>
      </c>
      <c r="AA135">
        <v>3974527</v>
      </c>
      <c r="AB135" t="s">
        <v>93</v>
      </c>
      <c r="AC135" t="s">
        <v>120</v>
      </c>
      <c r="AE135" s="3">
        <v>0.69324074074074071</v>
      </c>
      <c r="AF135" t="s">
        <v>70</v>
      </c>
    </row>
    <row r="136" spans="1:42">
      <c r="A136">
        <v>1023366</v>
      </c>
      <c r="B136" t="s">
        <v>61</v>
      </c>
      <c r="C136" t="s">
        <v>62</v>
      </c>
      <c r="D136" s="2">
        <v>46116</v>
      </c>
      <c r="E136" s="2">
        <v>46116</v>
      </c>
      <c r="G136">
        <v>351</v>
      </c>
      <c r="H136" t="s">
        <v>63</v>
      </c>
      <c r="I136">
        <v>6835</v>
      </c>
      <c r="J136">
        <v>406062</v>
      </c>
      <c r="L136" t="s">
        <v>230</v>
      </c>
      <c r="M136" t="s">
        <v>65</v>
      </c>
      <c r="N136" t="s">
        <v>66</v>
      </c>
      <c r="O136" s="2">
        <v>46116</v>
      </c>
      <c r="P136" s="1">
        <v>89</v>
      </c>
      <c r="Q136" t="s">
        <v>67</v>
      </c>
      <c r="R136">
        <v>2.57</v>
      </c>
      <c r="S136">
        <v>1.01</v>
      </c>
      <c r="T136">
        <v>0.18</v>
      </c>
      <c r="U136">
        <v>86.25</v>
      </c>
      <c r="V136" s="1">
        <v>0</v>
      </c>
      <c r="X136">
        <v>20260406</v>
      </c>
      <c r="Z136" t="s">
        <v>68</v>
      </c>
      <c r="AA136">
        <v>3974527</v>
      </c>
      <c r="AB136" t="s">
        <v>69</v>
      </c>
      <c r="AE136" s="3">
        <v>0.70056712962962964</v>
      </c>
      <c r="AF136" t="s">
        <v>70</v>
      </c>
    </row>
    <row r="137" spans="1:42">
      <c r="A137">
        <v>1023366</v>
      </c>
      <c r="B137" t="s">
        <v>61</v>
      </c>
      <c r="C137" t="s">
        <v>62</v>
      </c>
      <c r="D137" s="2">
        <v>46116</v>
      </c>
      <c r="E137" s="2">
        <v>46116</v>
      </c>
      <c r="G137">
        <v>351</v>
      </c>
      <c r="H137" t="s">
        <v>63</v>
      </c>
      <c r="I137">
        <v>6866</v>
      </c>
      <c r="J137">
        <v>135495</v>
      </c>
      <c r="K137">
        <v>3</v>
      </c>
      <c r="L137" t="s">
        <v>231</v>
      </c>
      <c r="M137" t="s">
        <v>65</v>
      </c>
      <c r="N137" t="s">
        <v>66</v>
      </c>
      <c r="O137" s="2">
        <v>46116</v>
      </c>
      <c r="P137" s="1">
        <v>699</v>
      </c>
      <c r="Q137" t="s">
        <v>67</v>
      </c>
      <c r="R137">
        <v>32.43</v>
      </c>
      <c r="S137">
        <v>5.52</v>
      </c>
      <c r="T137">
        <v>0.99</v>
      </c>
      <c r="U137">
        <v>665.58</v>
      </c>
      <c r="V137" s="1">
        <v>0</v>
      </c>
      <c r="X137">
        <v>20260406</v>
      </c>
      <c r="Z137" t="s">
        <v>72</v>
      </c>
      <c r="AA137">
        <v>3974527</v>
      </c>
      <c r="AB137" t="s">
        <v>93</v>
      </c>
      <c r="AC137" t="s">
        <v>120</v>
      </c>
      <c r="AE137" s="3">
        <v>0.80983796296296295</v>
      </c>
      <c r="AF137" t="s">
        <v>70</v>
      </c>
    </row>
    <row r="138" spans="1:42">
      <c r="A138">
        <v>1023366</v>
      </c>
      <c r="B138" t="s">
        <v>61</v>
      </c>
      <c r="C138" t="s">
        <v>62</v>
      </c>
      <c r="D138" s="2">
        <v>46116</v>
      </c>
      <c r="E138" s="2">
        <v>46116</v>
      </c>
      <c r="G138">
        <v>351</v>
      </c>
      <c r="H138" t="s">
        <v>63</v>
      </c>
      <c r="I138">
        <v>6871</v>
      </c>
      <c r="J138" t="s">
        <v>232</v>
      </c>
      <c r="L138" t="s">
        <v>233</v>
      </c>
      <c r="M138" t="s">
        <v>96</v>
      </c>
      <c r="N138" t="s">
        <v>66</v>
      </c>
      <c r="O138" s="2">
        <v>46116</v>
      </c>
      <c r="P138" s="1">
        <v>105</v>
      </c>
      <c r="Q138" t="s">
        <v>67</v>
      </c>
      <c r="R138">
        <v>4.0999999999999996</v>
      </c>
      <c r="S138">
        <v>2</v>
      </c>
      <c r="T138">
        <v>0.36</v>
      </c>
      <c r="U138">
        <v>100.54</v>
      </c>
      <c r="V138" s="1">
        <v>4849.17</v>
      </c>
      <c r="W138" s="2">
        <v>46118</v>
      </c>
      <c r="X138">
        <v>20260406</v>
      </c>
      <c r="Z138" t="s">
        <v>72</v>
      </c>
      <c r="AA138">
        <v>3974527</v>
      </c>
      <c r="AB138" t="s">
        <v>234</v>
      </c>
      <c r="AE138" s="3">
        <v>0.82407407407407407</v>
      </c>
      <c r="AF138" t="s">
        <v>70</v>
      </c>
      <c r="AL138">
        <v>104107</v>
      </c>
      <c r="AM138" s="30">
        <f>+V138</f>
        <v>4849.17</v>
      </c>
      <c r="AN138" t="str">
        <f>_xlfn.XLOOKUP(V138,Bancos!H:H,Bancos!C:C)</f>
        <v>8224825</v>
      </c>
      <c r="AO138" t="str">
        <f>_xlfn.XLOOKUP(AN138,Bancos!C:C,Bancos!A:A)</f>
        <v>06/04/2026</v>
      </c>
      <c r="AP138" s="12">
        <f>+AO138-W138</f>
        <v>0</v>
      </c>
    </row>
    <row r="139" spans="1:42">
      <c r="A139">
        <v>1023366</v>
      </c>
      <c r="B139" t="s">
        <v>75</v>
      </c>
      <c r="C139" t="s">
        <v>62</v>
      </c>
      <c r="D139" s="2">
        <v>46116</v>
      </c>
      <c r="E139" s="2">
        <v>46116</v>
      </c>
      <c r="G139">
        <v>351</v>
      </c>
      <c r="H139" t="s">
        <v>63</v>
      </c>
      <c r="I139">
        <v>6762</v>
      </c>
      <c r="J139">
        <v>107521</v>
      </c>
      <c r="L139" t="s">
        <v>235</v>
      </c>
      <c r="M139" t="s">
        <v>65</v>
      </c>
      <c r="N139" t="s">
        <v>66</v>
      </c>
      <c r="O139" s="2">
        <v>46116</v>
      </c>
      <c r="P139" s="1">
        <v>169</v>
      </c>
      <c r="Q139" t="s">
        <v>67</v>
      </c>
      <c r="R139">
        <v>4.88</v>
      </c>
      <c r="S139">
        <v>2.1800000000000002</v>
      </c>
      <c r="T139">
        <v>0.39</v>
      </c>
      <c r="U139">
        <v>163.72999999999999</v>
      </c>
      <c r="V139" s="1">
        <v>0</v>
      </c>
      <c r="X139">
        <v>20260406</v>
      </c>
      <c r="Z139" t="s">
        <v>68</v>
      </c>
      <c r="AA139">
        <v>3974527</v>
      </c>
      <c r="AB139" t="s">
        <v>93</v>
      </c>
      <c r="AE139" s="3">
        <v>0.44104166666666667</v>
      </c>
      <c r="AF139" t="s">
        <v>70</v>
      </c>
    </row>
    <row r="140" spans="1:42">
      <c r="A140">
        <v>1023366</v>
      </c>
      <c r="B140" t="s">
        <v>75</v>
      </c>
      <c r="C140" t="s">
        <v>62</v>
      </c>
      <c r="D140" s="2">
        <v>46116</v>
      </c>
      <c r="E140" s="2">
        <v>46116</v>
      </c>
      <c r="G140">
        <v>351</v>
      </c>
      <c r="H140" t="s">
        <v>63</v>
      </c>
      <c r="I140">
        <v>6765</v>
      </c>
      <c r="J140">
        <v>3966</v>
      </c>
      <c r="L140" t="s">
        <v>236</v>
      </c>
      <c r="M140" t="s">
        <v>96</v>
      </c>
      <c r="N140" t="s">
        <v>66</v>
      </c>
      <c r="O140" s="2">
        <v>46116</v>
      </c>
      <c r="P140" s="1">
        <v>70.8</v>
      </c>
      <c r="Q140" t="s">
        <v>67</v>
      </c>
      <c r="R140">
        <v>2.76</v>
      </c>
      <c r="S140">
        <v>1.35</v>
      </c>
      <c r="T140">
        <v>0.24</v>
      </c>
      <c r="U140">
        <v>67.8</v>
      </c>
      <c r="V140" s="1">
        <v>0</v>
      </c>
      <c r="X140">
        <v>20260406</v>
      </c>
      <c r="Z140" t="s">
        <v>72</v>
      </c>
      <c r="AA140">
        <v>3974527</v>
      </c>
      <c r="AB140" t="s">
        <v>97</v>
      </c>
      <c r="AE140" s="3">
        <v>0.48090277777777779</v>
      </c>
      <c r="AF140" t="s">
        <v>70</v>
      </c>
    </row>
    <row r="141" spans="1:42">
      <c r="A141">
        <v>1023366</v>
      </c>
      <c r="B141" t="s">
        <v>75</v>
      </c>
      <c r="C141" t="s">
        <v>62</v>
      </c>
      <c r="D141" s="2">
        <v>46116</v>
      </c>
      <c r="E141" s="2">
        <v>46116</v>
      </c>
      <c r="G141">
        <v>351</v>
      </c>
      <c r="H141" t="s">
        <v>63</v>
      </c>
      <c r="I141">
        <v>6767</v>
      </c>
      <c r="J141">
        <v>757333</v>
      </c>
      <c r="L141" t="s">
        <v>237</v>
      </c>
      <c r="M141" t="s">
        <v>65</v>
      </c>
      <c r="N141" t="s">
        <v>66</v>
      </c>
      <c r="O141" s="2">
        <v>46116</v>
      </c>
      <c r="P141" s="1">
        <v>599</v>
      </c>
      <c r="Q141" t="s">
        <v>67</v>
      </c>
      <c r="R141">
        <v>17.309999999999999</v>
      </c>
      <c r="S141">
        <v>7.73</v>
      </c>
      <c r="T141">
        <v>1.39</v>
      </c>
      <c r="U141">
        <v>580.29999999999995</v>
      </c>
      <c r="V141" s="1">
        <v>0</v>
      </c>
      <c r="X141">
        <v>20260406</v>
      </c>
      <c r="Z141" t="s">
        <v>68</v>
      </c>
      <c r="AA141">
        <v>3974527</v>
      </c>
      <c r="AB141" t="s">
        <v>79</v>
      </c>
      <c r="AE141" s="3">
        <v>0.48287037037037039</v>
      </c>
      <c r="AF141" t="s">
        <v>70</v>
      </c>
    </row>
    <row r="142" spans="1:42">
      <c r="A142">
        <v>1023366</v>
      </c>
      <c r="B142" t="s">
        <v>75</v>
      </c>
      <c r="C142" t="s">
        <v>62</v>
      </c>
      <c r="D142" s="2">
        <v>46116</v>
      </c>
      <c r="E142" s="2">
        <v>46116</v>
      </c>
      <c r="G142">
        <v>351</v>
      </c>
      <c r="H142" t="s">
        <v>63</v>
      </c>
      <c r="I142">
        <v>6769</v>
      </c>
      <c r="J142">
        <v>1593</v>
      </c>
      <c r="L142" t="s">
        <v>238</v>
      </c>
      <c r="M142" t="s">
        <v>65</v>
      </c>
      <c r="N142" t="s">
        <v>66</v>
      </c>
      <c r="O142" s="2">
        <v>46116</v>
      </c>
      <c r="P142" s="1">
        <v>1098</v>
      </c>
      <c r="Q142" t="s">
        <v>67</v>
      </c>
      <c r="R142">
        <v>31.73</v>
      </c>
      <c r="S142">
        <v>4.28</v>
      </c>
      <c r="T142">
        <v>0.77</v>
      </c>
      <c r="U142">
        <v>1065.5</v>
      </c>
      <c r="V142" s="1">
        <v>0</v>
      </c>
      <c r="X142">
        <v>20260406</v>
      </c>
      <c r="Z142" t="s">
        <v>72</v>
      </c>
      <c r="AA142">
        <v>3974527</v>
      </c>
      <c r="AB142" t="s">
        <v>79</v>
      </c>
      <c r="AE142" s="3">
        <v>0.49023148148148149</v>
      </c>
      <c r="AF142" t="s">
        <v>70</v>
      </c>
    </row>
    <row r="143" spans="1:42">
      <c r="A143">
        <v>1023366</v>
      </c>
      <c r="B143" t="s">
        <v>75</v>
      </c>
      <c r="C143" t="s">
        <v>62</v>
      </c>
      <c r="D143" s="2">
        <v>46116</v>
      </c>
      <c r="E143" s="2">
        <v>46116</v>
      </c>
      <c r="G143">
        <v>351</v>
      </c>
      <c r="H143" t="s">
        <v>63</v>
      </c>
      <c r="I143">
        <v>6781</v>
      </c>
      <c r="J143">
        <v>144864</v>
      </c>
      <c r="L143" t="s">
        <v>239</v>
      </c>
      <c r="M143" t="s">
        <v>65</v>
      </c>
      <c r="N143" t="s">
        <v>66</v>
      </c>
      <c r="O143" s="2">
        <v>46116</v>
      </c>
      <c r="P143" s="1">
        <v>1240</v>
      </c>
      <c r="Q143" t="s">
        <v>67</v>
      </c>
      <c r="R143">
        <v>35.840000000000003</v>
      </c>
      <c r="S143">
        <v>4.84</v>
      </c>
      <c r="T143">
        <v>0.87</v>
      </c>
      <c r="U143">
        <v>1203.29</v>
      </c>
      <c r="V143" s="1">
        <v>0</v>
      </c>
      <c r="X143">
        <v>20260406</v>
      </c>
      <c r="Z143" t="s">
        <v>72</v>
      </c>
      <c r="AA143">
        <v>3974527</v>
      </c>
      <c r="AB143" t="s">
        <v>77</v>
      </c>
      <c r="AE143" s="3">
        <v>0.51018518518518519</v>
      </c>
      <c r="AF143" t="s">
        <v>70</v>
      </c>
    </row>
    <row r="144" spans="1:42">
      <c r="A144">
        <v>1023366</v>
      </c>
      <c r="B144" t="s">
        <v>75</v>
      </c>
      <c r="C144" t="s">
        <v>62</v>
      </c>
      <c r="D144" s="2">
        <v>46116</v>
      </c>
      <c r="E144" s="2">
        <v>46116</v>
      </c>
      <c r="G144">
        <v>351</v>
      </c>
      <c r="H144" t="s">
        <v>63</v>
      </c>
      <c r="I144">
        <v>6783</v>
      </c>
      <c r="J144">
        <v>586945</v>
      </c>
      <c r="L144" t="s">
        <v>240</v>
      </c>
      <c r="M144" t="s">
        <v>65</v>
      </c>
      <c r="N144" t="s">
        <v>66</v>
      </c>
      <c r="O144" s="2">
        <v>46116</v>
      </c>
      <c r="P144" s="1">
        <v>75</v>
      </c>
      <c r="Q144" t="s">
        <v>67</v>
      </c>
      <c r="R144">
        <v>2.17</v>
      </c>
      <c r="S144">
        <v>0.44</v>
      </c>
      <c r="T144">
        <v>0.08</v>
      </c>
      <c r="U144">
        <v>72.75</v>
      </c>
      <c r="V144" s="1">
        <v>0</v>
      </c>
      <c r="X144">
        <v>20260406</v>
      </c>
      <c r="Z144" t="s">
        <v>72</v>
      </c>
      <c r="AA144">
        <v>3974527</v>
      </c>
      <c r="AB144" t="s">
        <v>93</v>
      </c>
      <c r="AE144" s="3">
        <v>0.52393518518518523</v>
      </c>
      <c r="AF144" t="s">
        <v>70</v>
      </c>
    </row>
    <row r="145" spans="1:32">
      <c r="A145">
        <v>1023366</v>
      </c>
      <c r="B145" t="s">
        <v>75</v>
      </c>
      <c r="C145" t="s">
        <v>62</v>
      </c>
      <c r="D145" s="2">
        <v>46116</v>
      </c>
      <c r="E145" s="2">
        <v>46116</v>
      </c>
      <c r="G145">
        <v>351</v>
      </c>
      <c r="H145" t="s">
        <v>63</v>
      </c>
      <c r="I145">
        <v>6785</v>
      </c>
      <c r="J145">
        <v>5981</v>
      </c>
      <c r="L145" t="s">
        <v>241</v>
      </c>
      <c r="M145" t="s">
        <v>65</v>
      </c>
      <c r="N145" t="s">
        <v>66</v>
      </c>
      <c r="O145" s="2">
        <v>46116</v>
      </c>
      <c r="P145" s="1">
        <v>1799</v>
      </c>
      <c r="Q145" t="s">
        <v>67</v>
      </c>
      <c r="R145">
        <v>51.99</v>
      </c>
      <c r="S145">
        <v>10.61</v>
      </c>
      <c r="T145">
        <v>1.91</v>
      </c>
      <c r="U145">
        <v>1745.1</v>
      </c>
      <c r="V145" s="1">
        <v>0</v>
      </c>
      <c r="X145">
        <v>20260406</v>
      </c>
      <c r="Z145" t="s">
        <v>72</v>
      </c>
      <c r="AA145">
        <v>3974527</v>
      </c>
      <c r="AB145" t="s">
        <v>79</v>
      </c>
      <c r="AE145" s="3">
        <v>0.52623842592592596</v>
      </c>
      <c r="AF145" t="s">
        <v>70</v>
      </c>
    </row>
    <row r="146" spans="1:32">
      <c r="A146">
        <v>1023366</v>
      </c>
      <c r="B146" t="s">
        <v>75</v>
      </c>
      <c r="C146" t="s">
        <v>62</v>
      </c>
      <c r="D146" s="2">
        <v>46116</v>
      </c>
      <c r="E146" s="2">
        <v>46116</v>
      </c>
      <c r="G146">
        <v>351</v>
      </c>
      <c r="H146" t="s">
        <v>63</v>
      </c>
      <c r="I146">
        <v>6788</v>
      </c>
      <c r="J146">
        <v>625672</v>
      </c>
      <c r="L146" t="s">
        <v>242</v>
      </c>
      <c r="M146" t="s">
        <v>65</v>
      </c>
      <c r="N146" t="s">
        <v>66</v>
      </c>
      <c r="O146" s="2">
        <v>46116</v>
      </c>
      <c r="P146" s="1">
        <v>349</v>
      </c>
      <c r="Q146" t="s">
        <v>67</v>
      </c>
      <c r="R146">
        <v>10.09</v>
      </c>
      <c r="S146">
        <v>4.51</v>
      </c>
      <c r="T146">
        <v>0.81</v>
      </c>
      <c r="U146">
        <v>338.1</v>
      </c>
      <c r="V146" s="1">
        <v>0</v>
      </c>
      <c r="X146">
        <v>20260406</v>
      </c>
      <c r="Z146" t="s">
        <v>68</v>
      </c>
      <c r="AA146">
        <v>3974527</v>
      </c>
      <c r="AB146" t="s">
        <v>81</v>
      </c>
      <c r="AE146" s="3">
        <v>0.53021990740740743</v>
      </c>
      <c r="AF146" t="s">
        <v>70</v>
      </c>
    </row>
    <row r="147" spans="1:32">
      <c r="A147">
        <v>1023366</v>
      </c>
      <c r="B147" t="s">
        <v>75</v>
      </c>
      <c r="C147" t="s">
        <v>62</v>
      </c>
      <c r="D147" s="2">
        <v>46116</v>
      </c>
      <c r="E147" s="2">
        <v>46116</v>
      </c>
      <c r="G147">
        <v>351</v>
      </c>
      <c r="H147" t="s">
        <v>63</v>
      </c>
      <c r="I147">
        <v>6791</v>
      </c>
      <c r="J147">
        <v>790145</v>
      </c>
      <c r="L147" t="s">
        <v>243</v>
      </c>
      <c r="M147" t="s">
        <v>65</v>
      </c>
      <c r="N147" t="s">
        <v>66</v>
      </c>
      <c r="O147" s="2">
        <v>46116</v>
      </c>
      <c r="P147" s="1">
        <v>149</v>
      </c>
      <c r="Q147" t="s">
        <v>67</v>
      </c>
      <c r="R147">
        <v>4.3099999999999996</v>
      </c>
      <c r="S147">
        <v>1.93</v>
      </c>
      <c r="T147">
        <v>0.35</v>
      </c>
      <c r="U147">
        <v>144.34</v>
      </c>
      <c r="V147" s="1">
        <v>0</v>
      </c>
      <c r="X147">
        <v>20260406</v>
      </c>
      <c r="Z147" t="s">
        <v>68</v>
      </c>
      <c r="AA147">
        <v>3974527</v>
      </c>
      <c r="AB147" t="s">
        <v>81</v>
      </c>
      <c r="AE147" s="3">
        <v>0.55707175925925922</v>
      </c>
      <c r="AF147" t="s">
        <v>70</v>
      </c>
    </row>
    <row r="148" spans="1:32">
      <c r="A148">
        <v>1023366</v>
      </c>
      <c r="B148" t="s">
        <v>75</v>
      </c>
      <c r="C148" t="s">
        <v>62</v>
      </c>
      <c r="D148" s="2">
        <v>46116</v>
      </c>
      <c r="E148" s="2">
        <v>46116</v>
      </c>
      <c r="G148">
        <v>351</v>
      </c>
      <c r="H148" t="s">
        <v>63</v>
      </c>
      <c r="I148">
        <v>6793</v>
      </c>
      <c r="J148">
        <v>811625</v>
      </c>
      <c r="K148">
        <v>3</v>
      </c>
      <c r="L148" t="s">
        <v>244</v>
      </c>
      <c r="M148" t="s">
        <v>65</v>
      </c>
      <c r="N148" t="s">
        <v>66</v>
      </c>
      <c r="O148" s="2">
        <v>46116</v>
      </c>
      <c r="P148" s="1">
        <v>2678</v>
      </c>
      <c r="Q148" t="s">
        <v>67</v>
      </c>
      <c r="R148">
        <v>124.26</v>
      </c>
      <c r="S148">
        <v>15.8</v>
      </c>
      <c r="T148">
        <v>2.84</v>
      </c>
      <c r="U148">
        <v>2550.9</v>
      </c>
      <c r="V148" s="1">
        <v>0</v>
      </c>
      <c r="X148">
        <v>20260406</v>
      </c>
      <c r="Z148" t="s">
        <v>72</v>
      </c>
      <c r="AA148">
        <v>3974527</v>
      </c>
      <c r="AB148" t="s">
        <v>93</v>
      </c>
      <c r="AC148" t="s">
        <v>120</v>
      </c>
      <c r="AE148" s="3">
        <v>0.56056712962962962</v>
      </c>
      <c r="AF148" t="s">
        <v>70</v>
      </c>
    </row>
    <row r="149" spans="1:32">
      <c r="A149">
        <v>1023366</v>
      </c>
      <c r="B149" t="s">
        <v>75</v>
      </c>
      <c r="C149" t="s">
        <v>62</v>
      </c>
      <c r="D149" s="2">
        <v>46116</v>
      </c>
      <c r="E149" s="2">
        <v>46116</v>
      </c>
      <c r="G149">
        <v>351</v>
      </c>
      <c r="H149" t="s">
        <v>63</v>
      </c>
      <c r="I149">
        <v>6795</v>
      </c>
      <c r="J149">
        <v>854210</v>
      </c>
      <c r="L149" t="s">
        <v>245</v>
      </c>
      <c r="M149" t="s">
        <v>65</v>
      </c>
      <c r="N149" t="s">
        <v>66</v>
      </c>
      <c r="O149" s="2">
        <v>46116</v>
      </c>
      <c r="P149" s="1">
        <v>192.22</v>
      </c>
      <c r="Q149" t="s">
        <v>67</v>
      </c>
      <c r="R149">
        <v>5.56</v>
      </c>
      <c r="S149">
        <v>2.48</v>
      </c>
      <c r="T149">
        <v>0.45</v>
      </c>
      <c r="U149">
        <v>186.21</v>
      </c>
      <c r="V149" s="1">
        <v>0</v>
      </c>
      <c r="X149">
        <v>20260406</v>
      </c>
      <c r="Z149" t="s">
        <v>68</v>
      </c>
      <c r="AA149">
        <v>3974527</v>
      </c>
      <c r="AB149" t="s">
        <v>79</v>
      </c>
      <c r="AE149" s="3">
        <v>0.56329861111111112</v>
      </c>
      <c r="AF149" t="s">
        <v>70</v>
      </c>
    </row>
    <row r="150" spans="1:32">
      <c r="A150">
        <v>1023366</v>
      </c>
      <c r="B150" t="s">
        <v>75</v>
      </c>
      <c r="C150" t="s">
        <v>62</v>
      </c>
      <c r="D150" s="2">
        <v>46116</v>
      </c>
      <c r="E150" s="2">
        <v>46116</v>
      </c>
      <c r="G150">
        <v>351</v>
      </c>
      <c r="H150" t="s">
        <v>63</v>
      </c>
      <c r="I150">
        <v>6797</v>
      </c>
      <c r="J150">
        <v>1621</v>
      </c>
      <c r="L150" t="s">
        <v>246</v>
      </c>
      <c r="M150" t="s">
        <v>65</v>
      </c>
      <c r="N150" t="s">
        <v>66</v>
      </c>
      <c r="O150" s="2">
        <v>46116</v>
      </c>
      <c r="P150" s="1">
        <v>189</v>
      </c>
      <c r="Q150" t="s">
        <v>67</v>
      </c>
      <c r="R150">
        <v>5.46</v>
      </c>
      <c r="S150">
        <v>1.1100000000000001</v>
      </c>
      <c r="T150">
        <v>0.2</v>
      </c>
      <c r="U150">
        <v>183.34</v>
      </c>
      <c r="V150" s="1">
        <v>0</v>
      </c>
      <c r="X150">
        <v>20260406</v>
      </c>
      <c r="Z150" t="s">
        <v>72</v>
      </c>
      <c r="AA150">
        <v>3974527</v>
      </c>
      <c r="AB150" t="s">
        <v>79</v>
      </c>
      <c r="AE150" s="3">
        <v>0.57246527777777778</v>
      </c>
      <c r="AF150" t="s">
        <v>70</v>
      </c>
    </row>
    <row r="151" spans="1:32">
      <c r="A151">
        <v>1023366</v>
      </c>
      <c r="B151" t="s">
        <v>75</v>
      </c>
      <c r="C151" t="s">
        <v>62</v>
      </c>
      <c r="D151" s="2">
        <v>46116</v>
      </c>
      <c r="E151" s="2">
        <v>46116</v>
      </c>
      <c r="G151">
        <v>351</v>
      </c>
      <c r="H151" t="s">
        <v>63</v>
      </c>
      <c r="I151">
        <v>6799</v>
      </c>
      <c r="J151">
        <v>3648</v>
      </c>
      <c r="L151" t="s">
        <v>247</v>
      </c>
      <c r="M151" t="s">
        <v>65</v>
      </c>
      <c r="N151" t="s">
        <v>66</v>
      </c>
      <c r="O151" s="2">
        <v>46116</v>
      </c>
      <c r="P151" s="1">
        <v>1799</v>
      </c>
      <c r="Q151" t="s">
        <v>67</v>
      </c>
      <c r="R151">
        <v>51.99</v>
      </c>
      <c r="S151">
        <v>14.21</v>
      </c>
      <c r="T151">
        <v>2.56</v>
      </c>
      <c r="U151">
        <v>1744.45</v>
      </c>
      <c r="V151" s="1">
        <v>0</v>
      </c>
      <c r="X151">
        <v>20260406</v>
      </c>
      <c r="Z151" t="s">
        <v>72</v>
      </c>
      <c r="AA151">
        <v>3974527</v>
      </c>
      <c r="AB151" t="s">
        <v>79</v>
      </c>
      <c r="AE151" s="3">
        <v>0.57459490740740737</v>
      </c>
      <c r="AF151" t="s">
        <v>70</v>
      </c>
    </row>
    <row r="152" spans="1:32">
      <c r="A152">
        <v>1023366</v>
      </c>
      <c r="B152" t="s">
        <v>75</v>
      </c>
      <c r="C152" t="s">
        <v>62</v>
      </c>
      <c r="D152" s="2">
        <v>46116</v>
      </c>
      <c r="E152" s="2">
        <v>46116</v>
      </c>
      <c r="G152">
        <v>351</v>
      </c>
      <c r="H152" t="s">
        <v>63</v>
      </c>
      <c r="I152">
        <v>6801</v>
      </c>
      <c r="J152">
        <v>239</v>
      </c>
      <c r="L152" t="s">
        <v>248</v>
      </c>
      <c r="M152" t="s">
        <v>65</v>
      </c>
      <c r="N152" t="s">
        <v>66</v>
      </c>
      <c r="O152" s="2">
        <v>46116</v>
      </c>
      <c r="P152" s="1">
        <v>229</v>
      </c>
      <c r="Q152" t="s">
        <v>67</v>
      </c>
      <c r="R152">
        <v>6.62</v>
      </c>
      <c r="S152">
        <v>0.89</v>
      </c>
      <c r="T152">
        <v>0.16</v>
      </c>
      <c r="U152">
        <v>222.22</v>
      </c>
      <c r="V152" s="1">
        <v>0</v>
      </c>
      <c r="X152">
        <v>20260406</v>
      </c>
      <c r="Z152" t="s">
        <v>72</v>
      </c>
      <c r="AA152">
        <v>3974527</v>
      </c>
      <c r="AB152" t="s">
        <v>79</v>
      </c>
      <c r="AE152" s="3">
        <v>0.60209490740740745</v>
      </c>
      <c r="AF152" t="s">
        <v>70</v>
      </c>
    </row>
    <row r="153" spans="1:32">
      <c r="A153">
        <v>1023366</v>
      </c>
      <c r="B153" t="s">
        <v>75</v>
      </c>
      <c r="C153" t="s">
        <v>62</v>
      </c>
      <c r="D153" s="2">
        <v>46116</v>
      </c>
      <c r="E153" s="2">
        <v>46116</v>
      </c>
      <c r="G153">
        <v>351</v>
      </c>
      <c r="H153" t="s">
        <v>63</v>
      </c>
      <c r="I153">
        <v>6806</v>
      </c>
      <c r="J153">
        <v>533671</v>
      </c>
      <c r="L153" t="s">
        <v>249</v>
      </c>
      <c r="M153" t="s">
        <v>65</v>
      </c>
      <c r="N153" t="s">
        <v>66</v>
      </c>
      <c r="O153" s="2">
        <v>46116</v>
      </c>
      <c r="P153" s="1">
        <v>69</v>
      </c>
      <c r="Q153" t="s">
        <v>67</v>
      </c>
      <c r="R153">
        <v>1.99</v>
      </c>
      <c r="S153">
        <v>0.26</v>
      </c>
      <c r="T153">
        <v>0.05</v>
      </c>
      <c r="U153">
        <v>66.959999999999994</v>
      </c>
      <c r="V153" s="1">
        <v>0</v>
      </c>
      <c r="X153">
        <v>20260406</v>
      </c>
      <c r="Z153" t="s">
        <v>72</v>
      </c>
      <c r="AA153">
        <v>3974527</v>
      </c>
      <c r="AB153" t="s">
        <v>81</v>
      </c>
      <c r="AE153" s="3">
        <v>0.62046296296296299</v>
      </c>
      <c r="AF153" t="s">
        <v>70</v>
      </c>
    </row>
    <row r="154" spans="1:32">
      <c r="A154">
        <v>1023366</v>
      </c>
      <c r="B154" t="s">
        <v>75</v>
      </c>
      <c r="C154" t="s">
        <v>62</v>
      </c>
      <c r="D154" s="2">
        <v>46116</v>
      </c>
      <c r="E154" s="2">
        <v>46116</v>
      </c>
      <c r="G154">
        <v>351</v>
      </c>
      <c r="H154" t="s">
        <v>63</v>
      </c>
      <c r="I154">
        <v>6810</v>
      </c>
      <c r="J154">
        <v>2064</v>
      </c>
      <c r="L154" t="s">
        <v>250</v>
      </c>
      <c r="M154" t="s">
        <v>96</v>
      </c>
      <c r="N154" t="s">
        <v>66</v>
      </c>
      <c r="O154" s="2">
        <v>46116</v>
      </c>
      <c r="P154" s="1">
        <v>59</v>
      </c>
      <c r="Q154" t="s">
        <v>67</v>
      </c>
      <c r="R154">
        <v>2.2999999999999998</v>
      </c>
      <c r="S154">
        <v>1.66</v>
      </c>
      <c r="T154">
        <v>0.3</v>
      </c>
      <c r="U154">
        <v>56.4</v>
      </c>
      <c r="V154" s="1">
        <v>0</v>
      </c>
      <c r="X154">
        <v>20260406</v>
      </c>
      <c r="Z154" t="s">
        <v>68</v>
      </c>
      <c r="AA154">
        <v>3974527</v>
      </c>
      <c r="AB154" t="s">
        <v>97</v>
      </c>
      <c r="AE154" s="3">
        <v>0.62255787037037036</v>
      </c>
      <c r="AF154" t="s">
        <v>70</v>
      </c>
    </row>
    <row r="155" spans="1:32">
      <c r="A155">
        <v>1023366</v>
      </c>
      <c r="B155" t="s">
        <v>75</v>
      </c>
      <c r="C155" t="s">
        <v>62</v>
      </c>
      <c r="D155" s="2">
        <v>46116</v>
      </c>
      <c r="E155" s="2">
        <v>46116</v>
      </c>
      <c r="G155">
        <v>351</v>
      </c>
      <c r="H155" t="s">
        <v>63</v>
      </c>
      <c r="I155">
        <v>6812</v>
      </c>
      <c r="J155">
        <v>61</v>
      </c>
      <c r="L155" t="s">
        <v>251</v>
      </c>
      <c r="M155" t="s">
        <v>65</v>
      </c>
      <c r="N155" t="s">
        <v>66</v>
      </c>
      <c r="O155" s="2">
        <v>46116</v>
      </c>
      <c r="P155" s="1">
        <v>298</v>
      </c>
      <c r="Q155" t="s">
        <v>67</v>
      </c>
      <c r="R155">
        <v>8.61</v>
      </c>
      <c r="S155">
        <v>1.1599999999999999</v>
      </c>
      <c r="T155">
        <v>0.21</v>
      </c>
      <c r="U155">
        <v>289.18</v>
      </c>
      <c r="V155" s="1">
        <v>0</v>
      </c>
      <c r="X155">
        <v>20260406</v>
      </c>
      <c r="Z155" t="s">
        <v>72</v>
      </c>
      <c r="AA155">
        <v>3974527</v>
      </c>
      <c r="AB155" t="s">
        <v>79</v>
      </c>
      <c r="AE155" s="3">
        <v>0.62392361111111116</v>
      </c>
      <c r="AF155" t="s">
        <v>70</v>
      </c>
    </row>
    <row r="156" spans="1:32">
      <c r="A156">
        <v>1023366</v>
      </c>
      <c r="B156" t="s">
        <v>75</v>
      </c>
      <c r="C156" t="s">
        <v>62</v>
      </c>
      <c r="D156" s="2">
        <v>46116</v>
      </c>
      <c r="E156" s="2">
        <v>46116</v>
      </c>
      <c r="G156">
        <v>351</v>
      </c>
      <c r="H156" t="s">
        <v>63</v>
      </c>
      <c r="I156">
        <v>6814</v>
      </c>
      <c r="J156">
        <v>162159</v>
      </c>
      <c r="L156" t="s">
        <v>252</v>
      </c>
      <c r="M156" t="s">
        <v>65</v>
      </c>
      <c r="N156" t="s">
        <v>66</v>
      </c>
      <c r="O156" s="2">
        <v>46116</v>
      </c>
      <c r="P156" s="1">
        <v>55</v>
      </c>
      <c r="Q156" t="s">
        <v>67</v>
      </c>
      <c r="R156">
        <v>1.59</v>
      </c>
      <c r="S156">
        <v>0.71</v>
      </c>
      <c r="T156">
        <v>0.13</v>
      </c>
      <c r="U156">
        <v>53.28</v>
      </c>
      <c r="V156" s="1">
        <v>0</v>
      </c>
      <c r="X156">
        <v>20260406</v>
      </c>
      <c r="Z156" t="s">
        <v>68</v>
      </c>
      <c r="AA156">
        <v>3974527</v>
      </c>
      <c r="AB156" t="s">
        <v>79</v>
      </c>
      <c r="AE156" s="3">
        <v>0.63188657407407411</v>
      </c>
      <c r="AF156" t="s">
        <v>70</v>
      </c>
    </row>
    <row r="157" spans="1:32">
      <c r="A157">
        <v>1023366</v>
      </c>
      <c r="B157" t="s">
        <v>75</v>
      </c>
      <c r="C157" t="s">
        <v>62</v>
      </c>
      <c r="D157" s="2">
        <v>46116</v>
      </c>
      <c r="E157" s="2">
        <v>46116</v>
      </c>
      <c r="G157">
        <v>351</v>
      </c>
      <c r="H157" t="s">
        <v>63</v>
      </c>
      <c r="I157">
        <v>6816</v>
      </c>
      <c r="J157">
        <v>10568</v>
      </c>
      <c r="L157" t="s">
        <v>253</v>
      </c>
      <c r="M157" t="s">
        <v>65</v>
      </c>
      <c r="N157" t="s">
        <v>66</v>
      </c>
      <c r="O157" s="2">
        <v>46116</v>
      </c>
      <c r="P157" s="1">
        <v>50.7</v>
      </c>
      <c r="Q157" t="s">
        <v>67</v>
      </c>
      <c r="R157">
        <v>1.47</v>
      </c>
      <c r="S157">
        <v>0.2</v>
      </c>
      <c r="T157">
        <v>0.04</v>
      </c>
      <c r="U157">
        <v>49.19</v>
      </c>
      <c r="V157" s="1">
        <v>0</v>
      </c>
      <c r="X157">
        <v>20260406</v>
      </c>
      <c r="Z157" t="s">
        <v>72</v>
      </c>
      <c r="AA157">
        <v>3974527</v>
      </c>
      <c r="AB157" t="s">
        <v>84</v>
      </c>
      <c r="AE157" s="3">
        <v>0.65568287037037032</v>
      </c>
      <c r="AF157" t="s">
        <v>70</v>
      </c>
    </row>
    <row r="158" spans="1:32">
      <c r="A158">
        <v>1023366</v>
      </c>
      <c r="B158" t="s">
        <v>75</v>
      </c>
      <c r="C158" t="s">
        <v>62</v>
      </c>
      <c r="D158" s="2">
        <v>46116</v>
      </c>
      <c r="E158" s="2">
        <v>46116</v>
      </c>
      <c r="G158">
        <v>351</v>
      </c>
      <c r="H158" t="s">
        <v>63</v>
      </c>
      <c r="I158">
        <v>6822</v>
      </c>
      <c r="J158">
        <v>360817</v>
      </c>
      <c r="L158" t="s">
        <v>254</v>
      </c>
      <c r="M158" t="s">
        <v>65</v>
      </c>
      <c r="N158" t="s">
        <v>66</v>
      </c>
      <c r="O158" s="2">
        <v>46116</v>
      </c>
      <c r="P158" s="1">
        <v>730</v>
      </c>
      <c r="Q158" t="s">
        <v>67</v>
      </c>
      <c r="R158">
        <v>21.1</v>
      </c>
      <c r="S158">
        <v>9.42</v>
      </c>
      <c r="T158">
        <v>1.7</v>
      </c>
      <c r="U158">
        <v>707.2</v>
      </c>
      <c r="V158" s="1">
        <v>0</v>
      </c>
      <c r="X158">
        <v>20260406</v>
      </c>
      <c r="Z158" t="s">
        <v>68</v>
      </c>
      <c r="AA158">
        <v>3974527</v>
      </c>
      <c r="AB158" t="s">
        <v>93</v>
      </c>
      <c r="AE158" s="3">
        <v>0.66303240740740743</v>
      </c>
      <c r="AF158" t="s">
        <v>70</v>
      </c>
    </row>
    <row r="159" spans="1:32">
      <c r="A159">
        <v>1023366</v>
      </c>
      <c r="B159" t="s">
        <v>75</v>
      </c>
      <c r="C159" t="s">
        <v>62</v>
      </c>
      <c r="D159" s="2">
        <v>46116</v>
      </c>
      <c r="E159" s="2">
        <v>46116</v>
      </c>
      <c r="G159">
        <v>351</v>
      </c>
      <c r="H159" t="s">
        <v>63</v>
      </c>
      <c r="I159">
        <v>6824</v>
      </c>
      <c r="J159">
        <v>446141</v>
      </c>
      <c r="K159">
        <v>2</v>
      </c>
      <c r="L159" t="s">
        <v>255</v>
      </c>
      <c r="M159" t="s">
        <v>65</v>
      </c>
      <c r="N159" t="s">
        <v>66</v>
      </c>
      <c r="O159" s="2">
        <v>46116</v>
      </c>
      <c r="P159" s="1">
        <v>648.9</v>
      </c>
      <c r="Q159" t="s">
        <v>67</v>
      </c>
      <c r="R159">
        <v>30.11</v>
      </c>
      <c r="S159">
        <v>3.83</v>
      </c>
      <c r="T159">
        <v>0.69</v>
      </c>
      <c r="U159">
        <v>618.1</v>
      </c>
      <c r="V159" s="1">
        <v>0</v>
      </c>
      <c r="X159">
        <v>20260406</v>
      </c>
      <c r="Z159" t="s">
        <v>72</v>
      </c>
      <c r="AA159">
        <v>3974527</v>
      </c>
      <c r="AB159" t="s">
        <v>93</v>
      </c>
      <c r="AC159" t="s">
        <v>120</v>
      </c>
      <c r="AE159" s="3">
        <v>0.68025462962962968</v>
      </c>
      <c r="AF159" t="s">
        <v>70</v>
      </c>
    </row>
    <row r="160" spans="1:32">
      <c r="A160">
        <v>1023366</v>
      </c>
      <c r="B160" t="s">
        <v>75</v>
      </c>
      <c r="C160" t="s">
        <v>62</v>
      </c>
      <c r="D160" s="2">
        <v>46116</v>
      </c>
      <c r="E160" s="2">
        <v>46116</v>
      </c>
      <c r="G160">
        <v>351</v>
      </c>
      <c r="H160" t="s">
        <v>63</v>
      </c>
      <c r="I160">
        <v>6828</v>
      </c>
      <c r="J160">
        <v>513661</v>
      </c>
      <c r="K160">
        <v>3</v>
      </c>
      <c r="L160" t="s">
        <v>256</v>
      </c>
      <c r="M160" t="s">
        <v>65</v>
      </c>
      <c r="N160" t="s">
        <v>66</v>
      </c>
      <c r="O160" s="2">
        <v>46116</v>
      </c>
      <c r="P160" s="1">
        <v>149</v>
      </c>
      <c r="Q160" t="s">
        <v>67</v>
      </c>
      <c r="R160">
        <v>6.92</v>
      </c>
      <c r="S160">
        <v>0.88</v>
      </c>
      <c r="T160">
        <v>0.16</v>
      </c>
      <c r="U160">
        <v>141.91999999999999</v>
      </c>
      <c r="V160" s="1">
        <v>0</v>
      </c>
      <c r="X160">
        <v>20260406</v>
      </c>
      <c r="Z160" t="s">
        <v>72</v>
      </c>
      <c r="AA160">
        <v>3974527</v>
      </c>
      <c r="AB160" t="s">
        <v>93</v>
      </c>
      <c r="AC160" t="s">
        <v>120</v>
      </c>
      <c r="AE160" s="3">
        <v>0.69383101851851847</v>
      </c>
      <c r="AF160" t="s">
        <v>70</v>
      </c>
    </row>
    <row r="161" spans="1:32">
      <c r="A161">
        <v>1023366</v>
      </c>
      <c r="B161" t="s">
        <v>75</v>
      </c>
      <c r="C161" t="s">
        <v>62</v>
      </c>
      <c r="D161" s="2">
        <v>46116</v>
      </c>
      <c r="E161" s="2">
        <v>46116</v>
      </c>
      <c r="G161">
        <v>351</v>
      </c>
      <c r="H161" t="s">
        <v>63</v>
      </c>
      <c r="I161">
        <v>6831</v>
      </c>
      <c r="J161">
        <v>193182</v>
      </c>
      <c r="L161" t="s">
        <v>257</v>
      </c>
      <c r="M161" t="s">
        <v>65</v>
      </c>
      <c r="N161" t="s">
        <v>66</v>
      </c>
      <c r="O161" s="2">
        <v>46116</v>
      </c>
      <c r="P161" s="1">
        <v>89.9</v>
      </c>
      <c r="Q161" t="s">
        <v>67</v>
      </c>
      <c r="R161">
        <v>2.6</v>
      </c>
      <c r="S161">
        <v>1.1599999999999999</v>
      </c>
      <c r="T161">
        <v>0.21</v>
      </c>
      <c r="U161">
        <v>87.09</v>
      </c>
      <c r="V161" s="1">
        <v>0</v>
      </c>
      <c r="X161">
        <v>20260406</v>
      </c>
      <c r="Z161" t="s">
        <v>68</v>
      </c>
      <c r="AA161">
        <v>3974527</v>
      </c>
      <c r="AB161" t="s">
        <v>81</v>
      </c>
      <c r="AE161" s="3">
        <v>0.69668981481481485</v>
      </c>
      <c r="AF161" t="s">
        <v>70</v>
      </c>
    </row>
    <row r="162" spans="1:32">
      <c r="A162">
        <v>1023366</v>
      </c>
      <c r="B162" t="s">
        <v>75</v>
      </c>
      <c r="C162" t="s">
        <v>62</v>
      </c>
      <c r="D162" s="2">
        <v>46116</v>
      </c>
      <c r="E162" s="2">
        <v>46116</v>
      </c>
      <c r="G162">
        <v>351</v>
      </c>
      <c r="H162" t="s">
        <v>63</v>
      </c>
      <c r="I162">
        <v>6833</v>
      </c>
      <c r="J162">
        <v>465052</v>
      </c>
      <c r="L162" t="s">
        <v>258</v>
      </c>
      <c r="M162" t="s">
        <v>65</v>
      </c>
      <c r="N162" t="s">
        <v>66</v>
      </c>
      <c r="O162" s="2">
        <v>46116</v>
      </c>
      <c r="P162" s="1">
        <v>49</v>
      </c>
      <c r="Q162" t="s">
        <v>67</v>
      </c>
      <c r="R162">
        <v>1.42</v>
      </c>
      <c r="S162">
        <v>0.28999999999999998</v>
      </c>
      <c r="T162">
        <v>0.05</v>
      </c>
      <c r="U162">
        <v>47.53</v>
      </c>
      <c r="V162" s="1">
        <v>0</v>
      </c>
      <c r="X162">
        <v>20260406</v>
      </c>
      <c r="Z162" t="s">
        <v>72</v>
      </c>
      <c r="AA162">
        <v>3974527</v>
      </c>
      <c r="AB162" t="s">
        <v>77</v>
      </c>
      <c r="AE162" s="3">
        <v>0.69909722222222226</v>
      </c>
      <c r="AF162" t="s">
        <v>70</v>
      </c>
    </row>
    <row r="163" spans="1:32">
      <c r="A163">
        <v>1023366</v>
      </c>
      <c r="B163" t="s">
        <v>75</v>
      </c>
      <c r="C163" t="s">
        <v>62</v>
      </c>
      <c r="D163" s="2">
        <v>46116</v>
      </c>
      <c r="E163" s="2">
        <v>46116</v>
      </c>
      <c r="G163">
        <v>351</v>
      </c>
      <c r="H163" t="s">
        <v>63</v>
      </c>
      <c r="I163">
        <v>6837</v>
      </c>
      <c r="J163">
        <v>244199</v>
      </c>
      <c r="L163" t="s">
        <v>259</v>
      </c>
      <c r="M163" t="s">
        <v>65</v>
      </c>
      <c r="N163" t="s">
        <v>66</v>
      </c>
      <c r="O163" s="2">
        <v>46116</v>
      </c>
      <c r="P163" s="1">
        <v>538</v>
      </c>
      <c r="Q163" t="s">
        <v>67</v>
      </c>
      <c r="R163">
        <v>15.55</v>
      </c>
      <c r="S163">
        <v>6.94</v>
      </c>
      <c r="T163">
        <v>1.25</v>
      </c>
      <c r="U163">
        <v>521.20000000000005</v>
      </c>
      <c r="V163" s="1">
        <v>0</v>
      </c>
      <c r="X163">
        <v>20260406</v>
      </c>
      <c r="Z163" t="s">
        <v>68</v>
      </c>
      <c r="AA163">
        <v>3974527</v>
      </c>
      <c r="AB163" t="s">
        <v>79</v>
      </c>
      <c r="AE163" s="3">
        <v>0.7087268518518518</v>
      </c>
      <c r="AF163" t="s">
        <v>70</v>
      </c>
    </row>
    <row r="164" spans="1:32">
      <c r="A164">
        <v>1023366</v>
      </c>
      <c r="B164" t="s">
        <v>75</v>
      </c>
      <c r="C164" t="s">
        <v>62</v>
      </c>
      <c r="D164" s="2">
        <v>46116</v>
      </c>
      <c r="E164" s="2">
        <v>46116</v>
      </c>
      <c r="G164">
        <v>351</v>
      </c>
      <c r="H164" t="s">
        <v>63</v>
      </c>
      <c r="I164">
        <v>6840</v>
      </c>
      <c r="J164">
        <v>723724</v>
      </c>
      <c r="L164" t="s">
        <v>260</v>
      </c>
      <c r="M164" t="s">
        <v>96</v>
      </c>
      <c r="N164" t="s">
        <v>66</v>
      </c>
      <c r="O164" s="2">
        <v>46116</v>
      </c>
      <c r="P164" s="1">
        <v>89</v>
      </c>
      <c r="Q164" t="s">
        <v>67</v>
      </c>
      <c r="R164">
        <v>3.47</v>
      </c>
      <c r="S164">
        <v>1.83</v>
      </c>
      <c r="T164">
        <v>0.33</v>
      </c>
      <c r="U164">
        <v>85.2</v>
      </c>
      <c r="V164" s="1">
        <v>0</v>
      </c>
      <c r="X164">
        <v>20260406</v>
      </c>
      <c r="Z164" t="s">
        <v>72</v>
      </c>
      <c r="AA164">
        <v>3974527</v>
      </c>
      <c r="AB164" t="s">
        <v>97</v>
      </c>
      <c r="AE164" s="3">
        <v>0.71251157407407406</v>
      </c>
      <c r="AF164" t="s">
        <v>70</v>
      </c>
    </row>
    <row r="165" spans="1:32">
      <c r="A165">
        <v>1023366</v>
      </c>
      <c r="B165" t="s">
        <v>75</v>
      </c>
      <c r="C165" t="s">
        <v>62</v>
      </c>
      <c r="D165" s="2">
        <v>46116</v>
      </c>
      <c r="E165" s="2">
        <v>46116</v>
      </c>
      <c r="G165">
        <v>351</v>
      </c>
      <c r="H165" t="s">
        <v>63</v>
      </c>
      <c r="I165">
        <v>6842</v>
      </c>
      <c r="J165">
        <v>654203</v>
      </c>
      <c r="L165" t="s">
        <v>261</v>
      </c>
      <c r="M165" t="s">
        <v>65</v>
      </c>
      <c r="N165" t="s">
        <v>66</v>
      </c>
      <c r="O165" s="2">
        <v>46116</v>
      </c>
      <c r="P165" s="1">
        <v>105</v>
      </c>
      <c r="Q165" t="s">
        <v>67</v>
      </c>
      <c r="R165">
        <v>3.03</v>
      </c>
      <c r="S165">
        <v>0.61</v>
      </c>
      <c r="T165">
        <v>0.11</v>
      </c>
      <c r="U165">
        <v>101.86</v>
      </c>
      <c r="V165" s="1">
        <v>0</v>
      </c>
      <c r="X165">
        <v>20260406</v>
      </c>
      <c r="Z165" t="s">
        <v>72</v>
      </c>
      <c r="AA165">
        <v>3974527</v>
      </c>
      <c r="AB165" t="s">
        <v>93</v>
      </c>
      <c r="AE165" s="3">
        <v>0.72192129629629631</v>
      </c>
      <c r="AF165" t="s">
        <v>70</v>
      </c>
    </row>
    <row r="166" spans="1:32">
      <c r="A166">
        <v>1023366</v>
      </c>
      <c r="B166" t="s">
        <v>75</v>
      </c>
      <c r="C166" t="s">
        <v>62</v>
      </c>
      <c r="D166" s="2">
        <v>46116</v>
      </c>
      <c r="E166" s="2">
        <v>46116</v>
      </c>
      <c r="G166">
        <v>351</v>
      </c>
      <c r="H166" t="s">
        <v>63</v>
      </c>
      <c r="I166">
        <v>6844</v>
      </c>
      <c r="J166">
        <v>298623</v>
      </c>
      <c r="L166" t="s">
        <v>262</v>
      </c>
      <c r="M166" t="s">
        <v>65</v>
      </c>
      <c r="N166" t="s">
        <v>66</v>
      </c>
      <c r="O166" s="2">
        <v>46116</v>
      </c>
      <c r="P166" s="1">
        <v>378</v>
      </c>
      <c r="Q166" t="s">
        <v>67</v>
      </c>
      <c r="R166">
        <v>10.92</v>
      </c>
      <c r="S166">
        <v>4.87</v>
      </c>
      <c r="T166">
        <v>0.88</v>
      </c>
      <c r="U166">
        <v>366.2</v>
      </c>
      <c r="V166" s="1">
        <v>0</v>
      </c>
      <c r="X166">
        <v>20260406</v>
      </c>
      <c r="Z166" t="s">
        <v>68</v>
      </c>
      <c r="AA166">
        <v>3974527</v>
      </c>
      <c r="AB166" t="s">
        <v>79</v>
      </c>
      <c r="AE166" s="3">
        <v>0.72581018518518514</v>
      </c>
      <c r="AF166" t="s">
        <v>70</v>
      </c>
    </row>
    <row r="167" spans="1:32">
      <c r="A167">
        <v>1023366</v>
      </c>
      <c r="B167" t="s">
        <v>75</v>
      </c>
      <c r="C167" t="s">
        <v>62</v>
      </c>
      <c r="D167" s="2">
        <v>46116</v>
      </c>
      <c r="E167" s="2">
        <v>46116</v>
      </c>
      <c r="G167">
        <v>351</v>
      </c>
      <c r="H167" t="s">
        <v>63</v>
      </c>
      <c r="I167">
        <v>6846</v>
      </c>
      <c r="J167">
        <v>685639</v>
      </c>
      <c r="L167" t="s">
        <v>263</v>
      </c>
      <c r="M167" t="s">
        <v>65</v>
      </c>
      <c r="N167" t="s">
        <v>66</v>
      </c>
      <c r="O167" s="2">
        <v>46116</v>
      </c>
      <c r="P167" s="1">
        <v>149</v>
      </c>
      <c r="Q167" t="s">
        <v>67</v>
      </c>
      <c r="R167">
        <v>4.3099999999999996</v>
      </c>
      <c r="S167">
        <v>0.88</v>
      </c>
      <c r="T167">
        <v>0.16</v>
      </c>
      <c r="U167">
        <v>144.53</v>
      </c>
      <c r="V167" s="1">
        <v>0</v>
      </c>
      <c r="X167">
        <v>20260406</v>
      </c>
      <c r="Z167" t="s">
        <v>72</v>
      </c>
      <c r="AA167">
        <v>3974527</v>
      </c>
      <c r="AB167" t="s">
        <v>93</v>
      </c>
      <c r="AE167" s="3">
        <v>0.72802083333333334</v>
      </c>
      <c r="AF167" t="s">
        <v>70</v>
      </c>
    </row>
    <row r="168" spans="1:32">
      <c r="A168">
        <v>1023366</v>
      </c>
      <c r="B168" t="s">
        <v>75</v>
      </c>
      <c r="C168" t="s">
        <v>62</v>
      </c>
      <c r="D168" s="2">
        <v>46116</v>
      </c>
      <c r="E168" s="2">
        <v>46116</v>
      </c>
      <c r="G168">
        <v>351</v>
      </c>
      <c r="H168" t="s">
        <v>63</v>
      </c>
      <c r="I168">
        <v>6848</v>
      </c>
      <c r="J168">
        <v>308034</v>
      </c>
      <c r="L168" t="s">
        <v>264</v>
      </c>
      <c r="M168" t="s">
        <v>65</v>
      </c>
      <c r="N168" t="s">
        <v>66</v>
      </c>
      <c r="O168" s="2">
        <v>46116</v>
      </c>
      <c r="P168" s="1">
        <v>229</v>
      </c>
      <c r="Q168" t="s">
        <v>67</v>
      </c>
      <c r="R168">
        <v>6.62</v>
      </c>
      <c r="S168">
        <v>2.96</v>
      </c>
      <c r="T168">
        <v>0.53</v>
      </c>
      <c r="U168">
        <v>221.85</v>
      </c>
      <c r="V168" s="1">
        <v>0</v>
      </c>
      <c r="X168">
        <v>20260406</v>
      </c>
      <c r="Z168" t="s">
        <v>68</v>
      </c>
      <c r="AA168">
        <v>3974527</v>
      </c>
      <c r="AB168" t="s">
        <v>79</v>
      </c>
      <c r="AE168" s="3">
        <v>0.73396990740740742</v>
      </c>
      <c r="AF168" t="s">
        <v>70</v>
      </c>
    </row>
    <row r="169" spans="1:32">
      <c r="A169">
        <v>1023366</v>
      </c>
      <c r="B169" t="s">
        <v>75</v>
      </c>
      <c r="C169" t="s">
        <v>62</v>
      </c>
      <c r="D169" s="2">
        <v>46116</v>
      </c>
      <c r="E169" s="2">
        <v>46116</v>
      </c>
      <c r="G169">
        <v>351</v>
      </c>
      <c r="H169" t="s">
        <v>63</v>
      </c>
      <c r="I169">
        <v>6850</v>
      </c>
      <c r="J169">
        <v>483051</v>
      </c>
      <c r="K169">
        <v>2</v>
      </c>
      <c r="L169" t="s">
        <v>265</v>
      </c>
      <c r="M169" t="s">
        <v>65</v>
      </c>
      <c r="N169" t="s">
        <v>66</v>
      </c>
      <c r="O169" s="2">
        <v>46116</v>
      </c>
      <c r="P169" s="1">
        <v>89</v>
      </c>
      <c r="Q169" t="s">
        <v>67</v>
      </c>
      <c r="R169">
        <v>2.57</v>
      </c>
      <c r="S169">
        <v>0.52</v>
      </c>
      <c r="T169">
        <v>0.09</v>
      </c>
      <c r="U169">
        <v>86.34</v>
      </c>
      <c r="V169" s="1">
        <v>0</v>
      </c>
      <c r="X169">
        <v>20260406</v>
      </c>
      <c r="Z169" t="s">
        <v>72</v>
      </c>
      <c r="AA169">
        <v>3974527</v>
      </c>
      <c r="AB169" t="s">
        <v>77</v>
      </c>
      <c r="AC169" t="s">
        <v>74</v>
      </c>
      <c r="AE169" s="3">
        <v>0.74192129629629633</v>
      </c>
      <c r="AF169" t="s">
        <v>70</v>
      </c>
    </row>
    <row r="170" spans="1:32">
      <c r="A170">
        <v>1023366</v>
      </c>
      <c r="B170" t="s">
        <v>75</v>
      </c>
      <c r="C170" t="s">
        <v>62</v>
      </c>
      <c r="D170" s="2">
        <v>46116</v>
      </c>
      <c r="E170" s="2">
        <v>46116</v>
      </c>
      <c r="G170">
        <v>351</v>
      </c>
      <c r="H170">
        <v>65656565</v>
      </c>
      <c r="I170">
        <v>6852</v>
      </c>
      <c r="J170">
        <v>343224</v>
      </c>
      <c r="L170" t="s">
        <v>266</v>
      </c>
      <c r="M170" t="s">
        <v>65</v>
      </c>
      <c r="N170" t="s">
        <v>66</v>
      </c>
      <c r="O170" s="2">
        <v>46116</v>
      </c>
      <c r="P170" s="1">
        <v>149</v>
      </c>
      <c r="Q170" t="s">
        <v>67</v>
      </c>
      <c r="R170">
        <v>4.3</v>
      </c>
      <c r="S170">
        <v>1.92</v>
      </c>
      <c r="T170">
        <v>0.35</v>
      </c>
      <c r="U170">
        <v>144.35</v>
      </c>
      <c r="V170" s="1">
        <v>0</v>
      </c>
      <c r="X170">
        <v>20260406</v>
      </c>
      <c r="Z170" t="s">
        <v>68</v>
      </c>
      <c r="AA170">
        <v>3974527</v>
      </c>
      <c r="AB170" t="s">
        <v>79</v>
      </c>
      <c r="AD170" t="s">
        <v>88</v>
      </c>
      <c r="AE170" s="3">
        <v>0.7556018518518518</v>
      </c>
      <c r="AF170" t="s">
        <v>70</v>
      </c>
    </row>
    <row r="171" spans="1:32">
      <c r="A171">
        <v>1023366</v>
      </c>
      <c r="B171" t="s">
        <v>75</v>
      </c>
      <c r="C171" t="s">
        <v>62</v>
      </c>
      <c r="D171" s="2">
        <v>46116</v>
      </c>
      <c r="E171" s="2">
        <v>46116</v>
      </c>
      <c r="G171">
        <v>351</v>
      </c>
      <c r="H171" t="s">
        <v>63</v>
      </c>
      <c r="I171">
        <v>6855</v>
      </c>
      <c r="J171">
        <v>836646</v>
      </c>
      <c r="L171" t="s">
        <v>267</v>
      </c>
      <c r="M171" t="s">
        <v>65</v>
      </c>
      <c r="N171" t="s">
        <v>66</v>
      </c>
      <c r="O171" s="2">
        <v>46116</v>
      </c>
      <c r="P171" s="1">
        <v>158.9</v>
      </c>
      <c r="Q171" t="s">
        <v>67</v>
      </c>
      <c r="R171">
        <v>4.59</v>
      </c>
      <c r="S171">
        <v>1.25</v>
      </c>
      <c r="T171">
        <v>0.23</v>
      </c>
      <c r="U171">
        <v>154.08000000000001</v>
      </c>
      <c r="V171" s="1">
        <v>0</v>
      </c>
      <c r="X171">
        <v>20260406</v>
      </c>
      <c r="Z171" t="s">
        <v>72</v>
      </c>
      <c r="AA171">
        <v>3974527</v>
      </c>
      <c r="AB171" t="s">
        <v>93</v>
      </c>
      <c r="AE171" s="3">
        <v>0.75687499999999996</v>
      </c>
      <c r="AF171" t="s">
        <v>70</v>
      </c>
    </row>
    <row r="172" spans="1:32">
      <c r="A172">
        <v>1023366</v>
      </c>
      <c r="B172" t="s">
        <v>75</v>
      </c>
      <c r="C172" t="s">
        <v>62</v>
      </c>
      <c r="D172" s="2">
        <v>46116</v>
      </c>
      <c r="E172" s="2">
        <v>46116</v>
      </c>
      <c r="G172">
        <v>351</v>
      </c>
      <c r="H172" t="s">
        <v>63</v>
      </c>
      <c r="I172">
        <v>6860</v>
      </c>
      <c r="J172">
        <v>964563</v>
      </c>
      <c r="L172" t="s">
        <v>268</v>
      </c>
      <c r="M172" t="s">
        <v>96</v>
      </c>
      <c r="N172" t="s">
        <v>66</v>
      </c>
      <c r="O172" s="2">
        <v>46116</v>
      </c>
      <c r="P172" s="1">
        <v>52.9</v>
      </c>
      <c r="Q172" t="s">
        <v>67</v>
      </c>
      <c r="R172">
        <v>2.06</v>
      </c>
      <c r="S172">
        <v>1.0900000000000001</v>
      </c>
      <c r="T172">
        <v>0.2</v>
      </c>
      <c r="U172">
        <v>50.64</v>
      </c>
      <c r="V172" s="1">
        <v>0</v>
      </c>
      <c r="X172">
        <v>20260406</v>
      </c>
      <c r="Z172" t="s">
        <v>68</v>
      </c>
      <c r="AA172">
        <v>3974527</v>
      </c>
      <c r="AB172" t="s">
        <v>97</v>
      </c>
      <c r="AE172" s="3">
        <v>0.79069444444444448</v>
      </c>
      <c r="AF172" t="s">
        <v>70</v>
      </c>
    </row>
    <row r="173" spans="1:32">
      <c r="A173">
        <v>1023366</v>
      </c>
      <c r="B173" t="s">
        <v>75</v>
      </c>
      <c r="C173" t="s">
        <v>62</v>
      </c>
      <c r="D173" s="2">
        <v>46116</v>
      </c>
      <c r="E173" s="2">
        <v>46116</v>
      </c>
      <c r="G173">
        <v>351</v>
      </c>
      <c r="H173" t="s">
        <v>63</v>
      </c>
      <c r="I173">
        <v>6862</v>
      </c>
      <c r="J173">
        <v>467743</v>
      </c>
      <c r="L173" t="s">
        <v>269</v>
      </c>
      <c r="M173" t="s">
        <v>65</v>
      </c>
      <c r="N173" t="s">
        <v>66</v>
      </c>
      <c r="O173" s="2">
        <v>46116</v>
      </c>
      <c r="P173" s="1">
        <v>1799</v>
      </c>
      <c r="Q173" t="s">
        <v>67</v>
      </c>
      <c r="R173">
        <v>51.99</v>
      </c>
      <c r="S173">
        <v>23.21</v>
      </c>
      <c r="T173">
        <v>4.18</v>
      </c>
      <c r="U173">
        <v>1742.83</v>
      </c>
      <c r="V173" s="1">
        <v>0</v>
      </c>
      <c r="X173">
        <v>20260406</v>
      </c>
      <c r="Z173" t="s">
        <v>68</v>
      </c>
      <c r="AA173">
        <v>3974527</v>
      </c>
      <c r="AB173" t="s">
        <v>79</v>
      </c>
      <c r="AE173" s="3">
        <v>0.79221064814814812</v>
      </c>
      <c r="AF173" t="s">
        <v>70</v>
      </c>
    </row>
    <row r="174" spans="1:32">
      <c r="A174">
        <v>1023366</v>
      </c>
      <c r="B174" t="s">
        <v>75</v>
      </c>
      <c r="C174" t="s">
        <v>62</v>
      </c>
      <c r="D174" s="2">
        <v>46116</v>
      </c>
      <c r="E174" s="2">
        <v>46116</v>
      </c>
      <c r="G174">
        <v>351</v>
      </c>
      <c r="H174" t="s">
        <v>63</v>
      </c>
      <c r="I174">
        <v>6864</v>
      </c>
      <c r="J174">
        <v>6831</v>
      </c>
      <c r="L174" t="s">
        <v>270</v>
      </c>
      <c r="M174" t="s">
        <v>65</v>
      </c>
      <c r="N174" t="s">
        <v>66</v>
      </c>
      <c r="O174" s="2">
        <v>46116</v>
      </c>
      <c r="P174" s="1">
        <v>2578</v>
      </c>
      <c r="Q174" t="s">
        <v>67</v>
      </c>
      <c r="R174">
        <v>74.5</v>
      </c>
      <c r="S174">
        <v>10.050000000000001</v>
      </c>
      <c r="T174">
        <v>1.81</v>
      </c>
      <c r="U174">
        <v>2501.69</v>
      </c>
      <c r="V174" s="1">
        <v>0</v>
      </c>
      <c r="X174">
        <v>20260406</v>
      </c>
      <c r="Z174" t="s">
        <v>72</v>
      </c>
      <c r="AA174">
        <v>3974527</v>
      </c>
      <c r="AB174" t="s">
        <v>79</v>
      </c>
      <c r="AE174" s="3">
        <v>0.79988425925925921</v>
      </c>
      <c r="AF174" t="s">
        <v>70</v>
      </c>
    </row>
    <row r="175" spans="1:32">
      <c r="A175">
        <v>1023366</v>
      </c>
      <c r="B175" t="s">
        <v>75</v>
      </c>
      <c r="C175" t="s">
        <v>62</v>
      </c>
      <c r="D175" s="2">
        <v>46116</v>
      </c>
      <c r="E175" s="2">
        <v>46116</v>
      </c>
      <c r="G175">
        <v>351</v>
      </c>
      <c r="H175" t="s">
        <v>63</v>
      </c>
      <c r="I175">
        <v>6868</v>
      </c>
      <c r="J175">
        <v>157376</v>
      </c>
      <c r="K175">
        <v>3</v>
      </c>
      <c r="L175" t="s">
        <v>271</v>
      </c>
      <c r="M175" t="s">
        <v>65</v>
      </c>
      <c r="N175" t="s">
        <v>66</v>
      </c>
      <c r="O175" s="2">
        <v>46116</v>
      </c>
      <c r="P175" s="1">
        <v>1278</v>
      </c>
      <c r="Q175" t="s">
        <v>67</v>
      </c>
      <c r="R175">
        <v>59.3</v>
      </c>
      <c r="S175">
        <v>7.54</v>
      </c>
      <c r="T175">
        <v>1.36</v>
      </c>
      <c r="U175">
        <v>1217.3399999999999</v>
      </c>
      <c r="V175" s="1">
        <v>0</v>
      </c>
      <c r="X175">
        <v>20260406</v>
      </c>
      <c r="Z175" t="s">
        <v>72</v>
      </c>
      <c r="AA175">
        <v>3974527</v>
      </c>
      <c r="AB175" t="s">
        <v>93</v>
      </c>
      <c r="AC175" t="s">
        <v>120</v>
      </c>
      <c r="AE175" s="3">
        <v>0.81368055555555552</v>
      </c>
      <c r="AF175" t="s">
        <v>70</v>
      </c>
    </row>
    <row r="176" spans="1:32">
      <c r="A176">
        <v>1023366</v>
      </c>
      <c r="B176" t="s">
        <v>75</v>
      </c>
      <c r="C176" t="s">
        <v>62</v>
      </c>
      <c r="D176" s="2">
        <v>46116</v>
      </c>
      <c r="E176" s="2">
        <v>46116</v>
      </c>
      <c r="G176">
        <v>351</v>
      </c>
      <c r="H176" t="s">
        <v>63</v>
      </c>
      <c r="I176">
        <v>6874</v>
      </c>
      <c r="J176">
        <v>434311</v>
      </c>
      <c r="L176" t="s">
        <v>272</v>
      </c>
      <c r="M176" t="s">
        <v>96</v>
      </c>
      <c r="N176" t="s">
        <v>66</v>
      </c>
      <c r="O176" s="2">
        <v>46116</v>
      </c>
      <c r="P176" s="1">
        <v>149</v>
      </c>
      <c r="Q176" t="s">
        <v>67</v>
      </c>
      <c r="R176">
        <v>5.81</v>
      </c>
      <c r="S176">
        <v>4.18</v>
      </c>
      <c r="T176">
        <v>0.75</v>
      </c>
      <c r="U176">
        <v>142.44</v>
      </c>
      <c r="V176" s="1">
        <v>0</v>
      </c>
      <c r="X176">
        <v>20260406</v>
      </c>
      <c r="Z176" t="s">
        <v>72</v>
      </c>
      <c r="AA176">
        <v>3974527</v>
      </c>
      <c r="AB176" t="s">
        <v>97</v>
      </c>
      <c r="AE176" s="3">
        <v>0.83314814814814819</v>
      </c>
      <c r="AF176" t="s">
        <v>70</v>
      </c>
    </row>
    <row r="177" spans="1:42">
      <c r="A177">
        <v>1023366</v>
      </c>
      <c r="B177" t="s">
        <v>75</v>
      </c>
      <c r="C177" t="s">
        <v>62</v>
      </c>
      <c r="D177" s="2">
        <v>46116</v>
      </c>
      <c r="E177" s="2">
        <v>46116</v>
      </c>
      <c r="G177">
        <v>351</v>
      </c>
      <c r="H177" t="s">
        <v>63</v>
      </c>
      <c r="I177">
        <v>6876</v>
      </c>
      <c r="J177">
        <v>1689</v>
      </c>
      <c r="L177" t="s">
        <v>273</v>
      </c>
      <c r="M177" t="s">
        <v>65</v>
      </c>
      <c r="N177" t="s">
        <v>66</v>
      </c>
      <c r="O177" s="2">
        <v>46116</v>
      </c>
      <c r="P177" s="1">
        <v>89</v>
      </c>
      <c r="Q177" t="s">
        <v>67</v>
      </c>
      <c r="R177">
        <v>2.57</v>
      </c>
      <c r="S177">
        <v>0.34</v>
      </c>
      <c r="T177">
        <v>0.06</v>
      </c>
      <c r="U177">
        <v>86.37</v>
      </c>
      <c r="V177" s="1">
        <v>0</v>
      </c>
      <c r="X177">
        <v>20260406</v>
      </c>
      <c r="Z177" t="s">
        <v>72</v>
      </c>
      <c r="AA177">
        <v>3974527</v>
      </c>
      <c r="AB177" t="s">
        <v>79</v>
      </c>
      <c r="AE177" s="3">
        <v>0.83776620370370369</v>
      </c>
      <c r="AF177" t="s">
        <v>70</v>
      </c>
    </row>
    <row r="178" spans="1:42">
      <c r="A178">
        <v>1023366</v>
      </c>
      <c r="B178" t="s">
        <v>75</v>
      </c>
      <c r="C178" t="s">
        <v>62</v>
      </c>
      <c r="D178" s="2">
        <v>46116</v>
      </c>
      <c r="E178" s="2">
        <v>46116</v>
      </c>
      <c r="G178">
        <v>351</v>
      </c>
      <c r="H178" t="s">
        <v>63</v>
      </c>
      <c r="I178">
        <v>6878</v>
      </c>
      <c r="J178">
        <v>4538</v>
      </c>
      <c r="L178" t="s">
        <v>274</v>
      </c>
      <c r="M178" t="s">
        <v>65</v>
      </c>
      <c r="N178" t="s">
        <v>66</v>
      </c>
      <c r="O178" s="2">
        <v>46116</v>
      </c>
      <c r="P178" s="1">
        <v>89.9</v>
      </c>
      <c r="Q178" t="s">
        <v>67</v>
      </c>
      <c r="R178">
        <v>2.6</v>
      </c>
      <c r="S178">
        <v>0.35</v>
      </c>
      <c r="T178">
        <v>0.06</v>
      </c>
      <c r="U178">
        <v>87.24</v>
      </c>
      <c r="V178" s="1">
        <v>0</v>
      </c>
      <c r="X178">
        <v>20260406</v>
      </c>
      <c r="Z178" t="s">
        <v>72</v>
      </c>
      <c r="AA178">
        <v>3974527</v>
      </c>
      <c r="AB178" t="s">
        <v>79</v>
      </c>
      <c r="AE178" s="3">
        <v>0.84116898148148145</v>
      </c>
      <c r="AF178" t="s">
        <v>70</v>
      </c>
    </row>
    <row r="179" spans="1:42">
      <c r="A179">
        <v>1023366</v>
      </c>
      <c r="B179" t="s">
        <v>75</v>
      </c>
      <c r="C179" t="s">
        <v>62</v>
      </c>
      <c r="D179" s="2">
        <v>46116</v>
      </c>
      <c r="E179" s="2">
        <v>46116</v>
      </c>
      <c r="G179">
        <v>351</v>
      </c>
      <c r="H179" t="s">
        <v>63</v>
      </c>
      <c r="I179">
        <v>6882</v>
      </c>
      <c r="J179">
        <v>358869</v>
      </c>
      <c r="L179" t="s">
        <v>275</v>
      </c>
      <c r="M179" t="s">
        <v>65</v>
      </c>
      <c r="N179" t="s">
        <v>66</v>
      </c>
      <c r="O179" s="2">
        <v>46116</v>
      </c>
      <c r="P179" s="1">
        <v>849</v>
      </c>
      <c r="Q179" t="s">
        <v>67</v>
      </c>
      <c r="R179">
        <v>24.54</v>
      </c>
      <c r="S179">
        <v>5.01</v>
      </c>
      <c r="T179">
        <v>0.9</v>
      </c>
      <c r="U179">
        <v>823.56</v>
      </c>
      <c r="V179" s="1">
        <v>0</v>
      </c>
      <c r="X179">
        <v>20260406</v>
      </c>
      <c r="Z179" t="s">
        <v>72</v>
      </c>
      <c r="AA179">
        <v>3974527</v>
      </c>
      <c r="AB179" t="s">
        <v>93</v>
      </c>
      <c r="AE179" s="3">
        <v>0.85159722222222223</v>
      </c>
      <c r="AF179" t="s">
        <v>70</v>
      </c>
    </row>
    <row r="180" spans="1:42">
      <c r="A180">
        <v>1023366</v>
      </c>
      <c r="B180" t="s">
        <v>75</v>
      </c>
      <c r="C180" t="s">
        <v>62</v>
      </c>
      <c r="D180" s="2">
        <v>46116</v>
      </c>
      <c r="E180" s="2">
        <v>46116</v>
      </c>
      <c r="G180">
        <v>351</v>
      </c>
      <c r="H180" t="s">
        <v>63</v>
      </c>
      <c r="I180">
        <v>6885</v>
      </c>
      <c r="J180">
        <v>835773</v>
      </c>
      <c r="L180" t="s">
        <v>276</v>
      </c>
      <c r="M180" t="s">
        <v>96</v>
      </c>
      <c r="N180" t="s">
        <v>66</v>
      </c>
      <c r="O180" s="2">
        <v>46116</v>
      </c>
      <c r="P180" s="1">
        <v>169</v>
      </c>
      <c r="Q180" t="s">
        <v>67</v>
      </c>
      <c r="R180">
        <v>6.59</v>
      </c>
      <c r="S180">
        <v>4.74</v>
      </c>
      <c r="T180">
        <v>0.85</v>
      </c>
      <c r="U180">
        <v>161.56</v>
      </c>
      <c r="V180" s="1">
        <v>21024.16</v>
      </c>
      <c r="W180" s="2">
        <v>46118</v>
      </c>
      <c r="X180">
        <v>20260406</v>
      </c>
      <c r="Z180" t="s">
        <v>72</v>
      </c>
      <c r="AA180">
        <v>3974527</v>
      </c>
      <c r="AB180" t="s">
        <v>97</v>
      </c>
      <c r="AE180" s="3">
        <v>0.86488425925925927</v>
      </c>
      <c r="AF180" t="s">
        <v>70</v>
      </c>
      <c r="AL180">
        <v>104107</v>
      </c>
      <c r="AM180" s="30">
        <f>+V180</f>
        <v>21024.16</v>
      </c>
      <c r="AN180" t="str">
        <f>_xlfn.XLOOKUP(V180,Bancos!H:H,Bancos!C:C)</f>
        <v>8224826</v>
      </c>
      <c r="AO180" t="str">
        <f>_xlfn.XLOOKUP(AN180,Bancos!C:C,Bancos!A:A)</f>
        <v>06/04/2026</v>
      </c>
      <c r="AP180" s="12">
        <f>+AO180-W180</f>
        <v>0</v>
      </c>
    </row>
    <row r="181" spans="1:42">
      <c r="A181">
        <v>1023366</v>
      </c>
      <c r="B181" t="s">
        <v>201</v>
      </c>
      <c r="C181" t="s">
        <v>62</v>
      </c>
      <c r="D181" s="2">
        <v>46116</v>
      </c>
      <c r="E181" s="2">
        <v>46116</v>
      </c>
      <c r="G181">
        <v>351</v>
      </c>
      <c r="H181" t="s">
        <v>63</v>
      </c>
      <c r="I181">
        <v>6880</v>
      </c>
      <c r="J181">
        <v>20421</v>
      </c>
      <c r="K181">
        <v>2</v>
      </c>
      <c r="L181" t="s">
        <v>277</v>
      </c>
      <c r="M181" t="s">
        <v>65</v>
      </c>
      <c r="N181" t="s">
        <v>66</v>
      </c>
      <c r="O181" s="2">
        <v>46116</v>
      </c>
      <c r="P181" s="1">
        <v>1799</v>
      </c>
      <c r="Q181" t="s">
        <v>67</v>
      </c>
      <c r="R181">
        <v>51.99</v>
      </c>
      <c r="S181">
        <v>14.21</v>
      </c>
      <c r="T181">
        <v>2.56</v>
      </c>
      <c r="U181">
        <v>1744.45</v>
      </c>
      <c r="V181" s="1">
        <v>1744.45</v>
      </c>
      <c r="W181" s="2">
        <v>46118</v>
      </c>
      <c r="X181">
        <v>20260406</v>
      </c>
      <c r="Z181" t="s">
        <v>72</v>
      </c>
      <c r="AA181">
        <v>3974527</v>
      </c>
      <c r="AB181" t="s">
        <v>203</v>
      </c>
      <c r="AC181" t="s">
        <v>74</v>
      </c>
      <c r="AE181" s="3">
        <v>0.84932870370370372</v>
      </c>
      <c r="AF181" t="s">
        <v>70</v>
      </c>
      <c r="AL181">
        <v>104107</v>
      </c>
      <c r="AM181" s="30">
        <f>+V181</f>
        <v>1744.45</v>
      </c>
      <c r="AN181" t="str">
        <f>_xlfn.XLOOKUP(V181,Bancos!H:H,Bancos!C:C)</f>
        <v>8224827</v>
      </c>
      <c r="AO181" t="str">
        <f>_xlfn.XLOOKUP(AN181,Bancos!C:C,Bancos!A:A)</f>
        <v>06/04/2026</v>
      </c>
      <c r="AP181" s="12">
        <f>+AO181-W181</f>
        <v>0</v>
      </c>
    </row>
    <row r="182" spans="1:42">
      <c r="A182">
        <v>1023366</v>
      </c>
      <c r="B182" t="s">
        <v>61</v>
      </c>
      <c r="C182" t="s">
        <v>62</v>
      </c>
      <c r="D182" s="2">
        <v>46117</v>
      </c>
      <c r="E182" s="2">
        <v>46117</v>
      </c>
      <c r="G182">
        <v>352</v>
      </c>
      <c r="H182" t="s">
        <v>63</v>
      </c>
      <c r="I182">
        <v>6912</v>
      </c>
      <c r="J182">
        <v>170021</v>
      </c>
      <c r="K182">
        <v>3</v>
      </c>
      <c r="L182" t="s">
        <v>278</v>
      </c>
      <c r="M182" t="s">
        <v>65</v>
      </c>
      <c r="N182" t="s">
        <v>66</v>
      </c>
      <c r="O182" s="2">
        <v>46117</v>
      </c>
      <c r="P182" s="1">
        <v>1031</v>
      </c>
      <c r="Q182" t="s">
        <v>67</v>
      </c>
      <c r="R182">
        <v>47.84</v>
      </c>
      <c r="S182">
        <v>3.51</v>
      </c>
      <c r="T182">
        <v>0.63</v>
      </c>
      <c r="U182">
        <v>982.53</v>
      </c>
      <c r="V182" s="1">
        <v>0</v>
      </c>
      <c r="X182">
        <v>20260406</v>
      </c>
      <c r="Z182" t="s">
        <v>72</v>
      </c>
      <c r="AA182">
        <v>3974527</v>
      </c>
      <c r="AB182" t="s">
        <v>93</v>
      </c>
      <c r="AC182" t="s">
        <v>120</v>
      </c>
      <c r="AE182" s="3">
        <v>0.56913194444444448</v>
      </c>
      <c r="AF182" t="s">
        <v>70</v>
      </c>
    </row>
    <row r="183" spans="1:42">
      <c r="A183">
        <v>1023366</v>
      </c>
      <c r="B183" t="s">
        <v>61</v>
      </c>
      <c r="C183" t="s">
        <v>62</v>
      </c>
      <c r="D183" s="2">
        <v>46117</v>
      </c>
      <c r="E183" s="2">
        <v>46117</v>
      </c>
      <c r="G183">
        <v>352</v>
      </c>
      <c r="H183">
        <v>65656565</v>
      </c>
      <c r="I183">
        <v>6938</v>
      </c>
      <c r="J183">
        <v>92826</v>
      </c>
      <c r="L183" t="s">
        <v>279</v>
      </c>
      <c r="M183" t="s">
        <v>65</v>
      </c>
      <c r="N183" t="s">
        <v>66</v>
      </c>
      <c r="O183" s="2">
        <v>46117</v>
      </c>
      <c r="P183" s="1">
        <v>298</v>
      </c>
      <c r="Q183" t="s">
        <v>67</v>
      </c>
      <c r="R183">
        <v>8.61</v>
      </c>
      <c r="S183">
        <v>3.1</v>
      </c>
      <c r="T183">
        <v>0.56000000000000005</v>
      </c>
      <c r="U183">
        <v>288.83</v>
      </c>
      <c r="V183" s="1">
        <v>0</v>
      </c>
      <c r="X183">
        <v>20260406</v>
      </c>
      <c r="Z183" t="s">
        <v>68</v>
      </c>
      <c r="AA183">
        <v>3974527</v>
      </c>
      <c r="AB183" t="s">
        <v>69</v>
      </c>
      <c r="AD183" t="s">
        <v>205</v>
      </c>
      <c r="AE183" s="3">
        <v>0.7223032407407407</v>
      </c>
      <c r="AF183" t="s">
        <v>70</v>
      </c>
    </row>
    <row r="184" spans="1:42">
      <c r="A184">
        <v>1023366</v>
      </c>
      <c r="B184" t="s">
        <v>61</v>
      </c>
      <c r="C184" t="s">
        <v>62</v>
      </c>
      <c r="D184" s="2">
        <v>46117</v>
      </c>
      <c r="E184" s="2">
        <v>46117</v>
      </c>
      <c r="G184">
        <v>352</v>
      </c>
      <c r="H184" t="s">
        <v>63</v>
      </c>
      <c r="I184">
        <v>6961</v>
      </c>
      <c r="J184" t="s">
        <v>280</v>
      </c>
      <c r="L184" t="s">
        <v>281</v>
      </c>
      <c r="M184" t="s">
        <v>65</v>
      </c>
      <c r="N184" t="s">
        <v>66</v>
      </c>
      <c r="O184" s="2">
        <v>46117</v>
      </c>
      <c r="P184" s="1">
        <v>69</v>
      </c>
      <c r="Q184" t="s">
        <v>67</v>
      </c>
      <c r="R184">
        <v>1.99</v>
      </c>
      <c r="S184">
        <v>0.23</v>
      </c>
      <c r="T184">
        <v>0.04</v>
      </c>
      <c r="U184">
        <v>66.97</v>
      </c>
      <c r="V184" s="1">
        <v>1338.33</v>
      </c>
      <c r="W184" s="2">
        <v>46118</v>
      </c>
      <c r="X184">
        <v>20260406</v>
      </c>
      <c r="Z184" t="s">
        <v>72</v>
      </c>
      <c r="AA184">
        <v>3974527</v>
      </c>
      <c r="AB184" t="s">
        <v>139</v>
      </c>
      <c r="AE184" s="3">
        <v>0.79910879629629628</v>
      </c>
      <c r="AF184" t="s">
        <v>70</v>
      </c>
      <c r="AL184">
        <v>104107</v>
      </c>
      <c r="AM184" s="30">
        <f>+V184</f>
        <v>1338.33</v>
      </c>
      <c r="AN184" t="str">
        <f>_xlfn.XLOOKUP(V184,Bancos!H:H,Bancos!C:C)</f>
        <v>8224828</v>
      </c>
      <c r="AO184" t="str">
        <f>_xlfn.XLOOKUP(AN184,Bancos!C:C,Bancos!A:A)</f>
        <v>06/04/2026</v>
      </c>
      <c r="AP184" s="12">
        <f>+AO184-W184</f>
        <v>0</v>
      </c>
    </row>
    <row r="185" spans="1:42">
      <c r="A185">
        <v>1023366</v>
      </c>
      <c r="B185" t="s">
        <v>75</v>
      </c>
      <c r="C185" t="s">
        <v>62</v>
      </c>
      <c r="D185" s="2">
        <v>46117</v>
      </c>
      <c r="E185" s="2">
        <v>46117</v>
      </c>
      <c r="G185">
        <v>352</v>
      </c>
      <c r="H185" t="s">
        <v>63</v>
      </c>
      <c r="I185">
        <v>6901</v>
      </c>
      <c r="J185">
        <v>412004</v>
      </c>
      <c r="L185" t="s">
        <v>282</v>
      </c>
      <c r="M185" t="s">
        <v>65</v>
      </c>
      <c r="N185" t="s">
        <v>66</v>
      </c>
      <c r="O185" s="2">
        <v>46117</v>
      </c>
      <c r="P185" s="1">
        <v>89.9</v>
      </c>
      <c r="Q185" t="s">
        <v>67</v>
      </c>
      <c r="R185">
        <v>2.6</v>
      </c>
      <c r="S185">
        <v>0.71</v>
      </c>
      <c r="T185">
        <v>0.13</v>
      </c>
      <c r="U185">
        <v>87.17</v>
      </c>
      <c r="V185" s="1">
        <v>0</v>
      </c>
      <c r="X185">
        <v>20260406</v>
      </c>
      <c r="Z185" t="s">
        <v>68</v>
      </c>
      <c r="AA185">
        <v>3974527</v>
      </c>
      <c r="AB185" t="s">
        <v>79</v>
      </c>
      <c r="AE185" s="3">
        <v>0.46381944444444445</v>
      </c>
      <c r="AF185" t="s">
        <v>70</v>
      </c>
    </row>
    <row r="186" spans="1:42">
      <c r="A186">
        <v>1023366</v>
      </c>
      <c r="B186" t="s">
        <v>75</v>
      </c>
      <c r="C186" t="s">
        <v>62</v>
      </c>
      <c r="D186" s="2">
        <v>46117</v>
      </c>
      <c r="E186" s="2">
        <v>46117</v>
      </c>
      <c r="G186">
        <v>352</v>
      </c>
      <c r="H186" t="s">
        <v>63</v>
      </c>
      <c r="I186">
        <v>6903</v>
      </c>
      <c r="J186">
        <v>417006</v>
      </c>
      <c r="L186" t="s">
        <v>283</v>
      </c>
      <c r="M186" t="s">
        <v>65</v>
      </c>
      <c r="N186" t="s">
        <v>66</v>
      </c>
      <c r="O186" s="2">
        <v>46117</v>
      </c>
      <c r="P186" s="1">
        <v>149</v>
      </c>
      <c r="Q186" t="s">
        <v>67</v>
      </c>
      <c r="R186">
        <v>4.3099999999999996</v>
      </c>
      <c r="S186">
        <v>1.93</v>
      </c>
      <c r="T186">
        <v>0.35</v>
      </c>
      <c r="U186">
        <v>144.34</v>
      </c>
      <c r="V186" s="1">
        <v>0</v>
      </c>
      <c r="X186">
        <v>20260406</v>
      </c>
      <c r="Z186" t="s">
        <v>68</v>
      </c>
      <c r="AA186">
        <v>3974527</v>
      </c>
      <c r="AB186" t="s">
        <v>77</v>
      </c>
      <c r="AE186" s="3">
        <v>0.5131944444444444</v>
      </c>
      <c r="AF186" t="s">
        <v>70</v>
      </c>
    </row>
    <row r="187" spans="1:42">
      <c r="A187">
        <v>1023366</v>
      </c>
      <c r="B187" t="s">
        <v>75</v>
      </c>
      <c r="C187" t="s">
        <v>62</v>
      </c>
      <c r="D187" s="2">
        <v>46117</v>
      </c>
      <c r="E187" s="2">
        <v>46117</v>
      </c>
      <c r="G187">
        <v>352</v>
      </c>
      <c r="H187" t="s">
        <v>63</v>
      </c>
      <c r="I187">
        <v>6905</v>
      </c>
      <c r="J187">
        <v>391097</v>
      </c>
      <c r="L187" t="s">
        <v>284</v>
      </c>
      <c r="M187" t="s">
        <v>65</v>
      </c>
      <c r="N187" t="s">
        <v>66</v>
      </c>
      <c r="O187" s="2">
        <v>46117</v>
      </c>
      <c r="P187" s="1">
        <v>1499</v>
      </c>
      <c r="Q187" t="s">
        <v>67</v>
      </c>
      <c r="R187">
        <v>43.32</v>
      </c>
      <c r="S187">
        <v>19.34</v>
      </c>
      <c r="T187">
        <v>3.48</v>
      </c>
      <c r="U187">
        <v>1452.2</v>
      </c>
      <c r="V187" s="1">
        <v>0</v>
      </c>
      <c r="X187">
        <v>20260406</v>
      </c>
      <c r="Z187" t="s">
        <v>68</v>
      </c>
      <c r="AA187">
        <v>3974527</v>
      </c>
      <c r="AB187" t="s">
        <v>81</v>
      </c>
      <c r="AE187" s="3">
        <v>0.5163888888888889</v>
      </c>
      <c r="AF187" t="s">
        <v>70</v>
      </c>
    </row>
    <row r="188" spans="1:42">
      <c r="A188">
        <v>1023366</v>
      </c>
      <c r="B188" t="s">
        <v>75</v>
      </c>
      <c r="C188" t="s">
        <v>62</v>
      </c>
      <c r="D188" s="2">
        <v>46117</v>
      </c>
      <c r="E188" s="2">
        <v>46117</v>
      </c>
      <c r="G188">
        <v>352</v>
      </c>
      <c r="H188" t="s">
        <v>63</v>
      </c>
      <c r="I188">
        <v>6907</v>
      </c>
      <c r="J188">
        <v>3117</v>
      </c>
      <c r="L188" t="s">
        <v>285</v>
      </c>
      <c r="M188" t="s">
        <v>65</v>
      </c>
      <c r="N188" t="s">
        <v>66</v>
      </c>
      <c r="O188" s="2">
        <v>46117</v>
      </c>
      <c r="P188" s="1">
        <v>1899</v>
      </c>
      <c r="Q188" t="s">
        <v>67</v>
      </c>
      <c r="R188">
        <v>54.88</v>
      </c>
      <c r="S188">
        <v>7.4</v>
      </c>
      <c r="T188">
        <v>1.33</v>
      </c>
      <c r="U188">
        <v>1842.79</v>
      </c>
      <c r="V188" s="1">
        <v>0</v>
      </c>
      <c r="X188">
        <v>20260406</v>
      </c>
      <c r="Z188" t="s">
        <v>72</v>
      </c>
      <c r="AA188">
        <v>3974527</v>
      </c>
      <c r="AB188" t="s">
        <v>79</v>
      </c>
      <c r="AE188" s="3">
        <v>0.52306712962962965</v>
      </c>
      <c r="AF188" t="s">
        <v>70</v>
      </c>
    </row>
    <row r="189" spans="1:42">
      <c r="A189">
        <v>1023366</v>
      </c>
      <c r="B189" t="s">
        <v>75</v>
      </c>
      <c r="C189" t="s">
        <v>62</v>
      </c>
      <c r="D189" s="2">
        <v>46117</v>
      </c>
      <c r="E189" s="2">
        <v>46117</v>
      </c>
      <c r="G189">
        <v>352</v>
      </c>
      <c r="H189" t="s">
        <v>63</v>
      </c>
      <c r="I189">
        <v>6910</v>
      </c>
      <c r="J189">
        <v>931248</v>
      </c>
      <c r="L189" t="s">
        <v>286</v>
      </c>
      <c r="M189" t="s">
        <v>96</v>
      </c>
      <c r="N189" t="s">
        <v>66</v>
      </c>
      <c r="O189" s="2">
        <v>46117</v>
      </c>
      <c r="P189" s="1">
        <v>35</v>
      </c>
      <c r="Q189" t="s">
        <v>67</v>
      </c>
      <c r="R189">
        <v>1.37</v>
      </c>
      <c r="S189">
        <v>0.68</v>
      </c>
      <c r="T189">
        <v>0.12</v>
      </c>
      <c r="U189">
        <v>33.51</v>
      </c>
      <c r="V189" s="1">
        <v>0</v>
      </c>
      <c r="X189">
        <v>20260406</v>
      </c>
      <c r="Z189" t="s">
        <v>68</v>
      </c>
      <c r="AA189">
        <v>3974527</v>
      </c>
      <c r="AB189" t="s">
        <v>97</v>
      </c>
      <c r="AE189" s="3">
        <v>0.53886574074074078</v>
      </c>
      <c r="AF189" t="s">
        <v>70</v>
      </c>
    </row>
    <row r="190" spans="1:42">
      <c r="A190">
        <v>1023366</v>
      </c>
      <c r="B190" t="s">
        <v>75</v>
      </c>
      <c r="C190" t="s">
        <v>62</v>
      </c>
      <c r="D190" s="2">
        <v>46117</v>
      </c>
      <c r="E190" s="2">
        <v>46117</v>
      </c>
      <c r="G190">
        <v>352</v>
      </c>
      <c r="H190" t="s">
        <v>63</v>
      </c>
      <c r="I190">
        <v>6915</v>
      </c>
      <c r="J190">
        <v>508236</v>
      </c>
      <c r="L190" t="s">
        <v>287</v>
      </c>
      <c r="M190" t="s">
        <v>65</v>
      </c>
      <c r="N190" t="s">
        <v>66</v>
      </c>
      <c r="O190" s="2">
        <v>46117</v>
      </c>
      <c r="P190" s="1">
        <v>34.9</v>
      </c>
      <c r="Q190" t="s">
        <v>67</v>
      </c>
      <c r="R190">
        <v>1.01</v>
      </c>
      <c r="S190">
        <v>0.45</v>
      </c>
      <c r="T190">
        <v>0.08</v>
      </c>
      <c r="U190">
        <v>33.81</v>
      </c>
      <c r="V190" s="1">
        <v>0</v>
      </c>
      <c r="X190">
        <v>20260406</v>
      </c>
      <c r="Z190" t="s">
        <v>68</v>
      </c>
      <c r="AA190">
        <v>3974527</v>
      </c>
      <c r="AB190" t="s">
        <v>81</v>
      </c>
      <c r="AE190" s="3">
        <v>0.57603009259259264</v>
      </c>
      <c r="AF190" t="s">
        <v>70</v>
      </c>
    </row>
    <row r="191" spans="1:42">
      <c r="A191">
        <v>1023366</v>
      </c>
      <c r="B191" t="s">
        <v>75</v>
      </c>
      <c r="C191" t="s">
        <v>62</v>
      </c>
      <c r="D191" s="2">
        <v>46117</v>
      </c>
      <c r="E191" s="2">
        <v>46117</v>
      </c>
      <c r="G191">
        <v>352</v>
      </c>
      <c r="H191" t="s">
        <v>63</v>
      </c>
      <c r="I191">
        <v>6917</v>
      </c>
      <c r="J191">
        <v>540675</v>
      </c>
      <c r="L191" t="s">
        <v>288</v>
      </c>
      <c r="M191" t="s">
        <v>65</v>
      </c>
      <c r="N191" t="s">
        <v>66</v>
      </c>
      <c r="O191" s="2">
        <v>46117</v>
      </c>
      <c r="P191" s="1">
        <v>55</v>
      </c>
      <c r="Q191" t="s">
        <v>67</v>
      </c>
      <c r="R191">
        <v>1.59</v>
      </c>
      <c r="S191">
        <v>0.71</v>
      </c>
      <c r="T191">
        <v>0.13</v>
      </c>
      <c r="U191">
        <v>53.28</v>
      </c>
      <c r="V191" s="1">
        <v>0</v>
      </c>
      <c r="X191">
        <v>20260406</v>
      </c>
      <c r="Z191" t="s">
        <v>68</v>
      </c>
      <c r="AA191">
        <v>3974527</v>
      </c>
      <c r="AB191" t="s">
        <v>79</v>
      </c>
      <c r="AE191" s="3">
        <v>0.59013888888888888</v>
      </c>
      <c r="AF191" t="s">
        <v>70</v>
      </c>
    </row>
    <row r="192" spans="1:42">
      <c r="A192">
        <v>1023366</v>
      </c>
      <c r="B192" t="s">
        <v>75</v>
      </c>
      <c r="C192" t="s">
        <v>62</v>
      </c>
      <c r="D192" s="2">
        <v>46117</v>
      </c>
      <c r="E192" s="2">
        <v>46117</v>
      </c>
      <c r="G192">
        <v>352</v>
      </c>
      <c r="H192" t="s">
        <v>63</v>
      </c>
      <c r="I192">
        <v>6919</v>
      </c>
      <c r="J192">
        <v>621298</v>
      </c>
      <c r="L192" t="s">
        <v>289</v>
      </c>
      <c r="M192" t="s">
        <v>65</v>
      </c>
      <c r="N192" t="s">
        <v>66</v>
      </c>
      <c r="O192" s="2">
        <v>46117</v>
      </c>
      <c r="P192" s="1">
        <v>69</v>
      </c>
      <c r="Q192" t="s">
        <v>67</v>
      </c>
      <c r="R192">
        <v>1.99</v>
      </c>
      <c r="S192">
        <v>0.89</v>
      </c>
      <c r="T192">
        <v>0.16</v>
      </c>
      <c r="U192">
        <v>66.849999999999994</v>
      </c>
      <c r="V192" s="1">
        <v>0</v>
      </c>
      <c r="X192">
        <v>20260406</v>
      </c>
      <c r="Z192" t="s">
        <v>68</v>
      </c>
      <c r="AA192">
        <v>3974527</v>
      </c>
      <c r="AB192" t="s">
        <v>79</v>
      </c>
      <c r="AE192" s="3">
        <v>0.61568287037037039</v>
      </c>
      <c r="AF192" t="s">
        <v>70</v>
      </c>
    </row>
    <row r="193" spans="1:32">
      <c r="A193">
        <v>1023366</v>
      </c>
      <c r="B193" t="s">
        <v>75</v>
      </c>
      <c r="C193" t="s">
        <v>62</v>
      </c>
      <c r="D193" s="2">
        <v>46117</v>
      </c>
      <c r="E193" s="2">
        <v>46117</v>
      </c>
      <c r="G193">
        <v>352</v>
      </c>
      <c r="H193" t="s">
        <v>63</v>
      </c>
      <c r="I193">
        <v>6921</v>
      </c>
      <c r="J193">
        <v>866435</v>
      </c>
      <c r="L193" t="s">
        <v>290</v>
      </c>
      <c r="M193" t="s">
        <v>65</v>
      </c>
      <c r="N193" t="s">
        <v>66</v>
      </c>
      <c r="O193" s="2">
        <v>46117</v>
      </c>
      <c r="P193" s="1">
        <v>99</v>
      </c>
      <c r="Q193" t="s">
        <v>67</v>
      </c>
      <c r="R193">
        <v>2.86</v>
      </c>
      <c r="S193">
        <v>0.57999999999999996</v>
      </c>
      <c r="T193">
        <v>0.1</v>
      </c>
      <c r="U193">
        <v>96.04</v>
      </c>
      <c r="V193" s="1">
        <v>0</v>
      </c>
      <c r="X193">
        <v>20260406</v>
      </c>
      <c r="Z193" t="s">
        <v>72</v>
      </c>
      <c r="AA193">
        <v>3974527</v>
      </c>
      <c r="AB193" t="s">
        <v>106</v>
      </c>
      <c r="AE193" s="3">
        <v>0.62540509259259258</v>
      </c>
      <c r="AF193" t="s">
        <v>70</v>
      </c>
    </row>
    <row r="194" spans="1:32">
      <c r="A194">
        <v>1023366</v>
      </c>
      <c r="B194" t="s">
        <v>75</v>
      </c>
      <c r="C194" t="s">
        <v>62</v>
      </c>
      <c r="D194" s="2">
        <v>46117</v>
      </c>
      <c r="E194" s="2">
        <v>46117</v>
      </c>
      <c r="G194">
        <v>352</v>
      </c>
      <c r="H194" t="s">
        <v>63</v>
      </c>
      <c r="I194">
        <v>6923</v>
      </c>
      <c r="J194">
        <v>6444</v>
      </c>
      <c r="L194" t="s">
        <v>291</v>
      </c>
      <c r="M194" t="s">
        <v>65</v>
      </c>
      <c r="N194" t="s">
        <v>66</v>
      </c>
      <c r="O194" s="2">
        <v>46117</v>
      </c>
      <c r="P194" s="1">
        <v>2199</v>
      </c>
      <c r="Q194" t="s">
        <v>67</v>
      </c>
      <c r="R194">
        <v>63.55</v>
      </c>
      <c r="S194">
        <v>17.37</v>
      </c>
      <c r="T194">
        <v>3.13</v>
      </c>
      <c r="U194">
        <v>2132.3200000000002</v>
      </c>
      <c r="V194" s="1">
        <v>0</v>
      </c>
      <c r="X194">
        <v>20260406</v>
      </c>
      <c r="Z194" t="s">
        <v>72</v>
      </c>
      <c r="AA194">
        <v>3974527</v>
      </c>
      <c r="AB194" t="s">
        <v>79</v>
      </c>
      <c r="AE194" s="3">
        <v>0.63548611111111108</v>
      </c>
      <c r="AF194" t="s">
        <v>70</v>
      </c>
    </row>
    <row r="195" spans="1:32">
      <c r="A195">
        <v>1023366</v>
      </c>
      <c r="B195" t="s">
        <v>75</v>
      </c>
      <c r="C195" t="s">
        <v>62</v>
      </c>
      <c r="D195" s="2">
        <v>46117</v>
      </c>
      <c r="E195" s="2">
        <v>46117</v>
      </c>
      <c r="G195">
        <v>352</v>
      </c>
      <c r="H195" t="s">
        <v>63</v>
      </c>
      <c r="I195">
        <v>6925</v>
      </c>
      <c r="J195">
        <v>9601</v>
      </c>
      <c r="L195" t="s">
        <v>292</v>
      </c>
      <c r="M195" t="s">
        <v>65</v>
      </c>
      <c r="N195" t="s">
        <v>66</v>
      </c>
      <c r="O195" s="2">
        <v>46117</v>
      </c>
      <c r="P195" s="1">
        <v>199</v>
      </c>
      <c r="Q195" t="s">
        <v>67</v>
      </c>
      <c r="R195">
        <v>5.75</v>
      </c>
      <c r="S195">
        <v>0.77</v>
      </c>
      <c r="T195">
        <v>0.14000000000000001</v>
      </c>
      <c r="U195">
        <v>193.11</v>
      </c>
      <c r="V195" s="1">
        <v>0</v>
      </c>
      <c r="X195">
        <v>20260406</v>
      </c>
      <c r="Z195" t="s">
        <v>72</v>
      </c>
      <c r="AA195">
        <v>3974527</v>
      </c>
      <c r="AB195" t="s">
        <v>79</v>
      </c>
      <c r="AE195" s="3">
        <v>0.6388194444444445</v>
      </c>
      <c r="AF195" t="s">
        <v>70</v>
      </c>
    </row>
    <row r="196" spans="1:32">
      <c r="A196">
        <v>1023366</v>
      </c>
      <c r="B196" t="s">
        <v>75</v>
      </c>
      <c r="C196" t="s">
        <v>62</v>
      </c>
      <c r="D196" s="2">
        <v>46117</v>
      </c>
      <c r="E196" s="2">
        <v>46117</v>
      </c>
      <c r="G196">
        <v>352</v>
      </c>
      <c r="H196" t="s">
        <v>63</v>
      </c>
      <c r="I196">
        <v>6927</v>
      </c>
      <c r="J196">
        <v>674743</v>
      </c>
      <c r="L196" t="s">
        <v>293</v>
      </c>
      <c r="M196" t="s">
        <v>65</v>
      </c>
      <c r="N196" t="s">
        <v>66</v>
      </c>
      <c r="O196" s="2">
        <v>46117</v>
      </c>
      <c r="P196" s="1">
        <v>1729</v>
      </c>
      <c r="Q196" t="s">
        <v>67</v>
      </c>
      <c r="R196">
        <v>49.97</v>
      </c>
      <c r="S196">
        <v>22.31</v>
      </c>
      <c r="T196">
        <v>4.0199999999999996</v>
      </c>
      <c r="U196">
        <v>1675.01</v>
      </c>
      <c r="V196" s="1">
        <v>0</v>
      </c>
      <c r="X196">
        <v>20260406</v>
      </c>
      <c r="Z196" t="s">
        <v>68</v>
      </c>
      <c r="AA196">
        <v>3974527</v>
      </c>
      <c r="AB196" t="s">
        <v>79</v>
      </c>
      <c r="AE196" s="3">
        <v>0.64026620370370368</v>
      </c>
      <c r="AF196" t="s">
        <v>70</v>
      </c>
    </row>
    <row r="197" spans="1:32">
      <c r="A197">
        <v>1023366</v>
      </c>
      <c r="B197" t="s">
        <v>75</v>
      </c>
      <c r="C197" t="s">
        <v>62</v>
      </c>
      <c r="D197" s="2">
        <v>46117</v>
      </c>
      <c r="E197" s="2">
        <v>46117</v>
      </c>
      <c r="G197">
        <v>352</v>
      </c>
      <c r="H197">
        <v>65656565</v>
      </c>
      <c r="I197">
        <v>6931</v>
      </c>
      <c r="J197">
        <v>948220</v>
      </c>
      <c r="L197" t="s">
        <v>294</v>
      </c>
      <c r="M197" t="s">
        <v>65</v>
      </c>
      <c r="N197" t="s">
        <v>66</v>
      </c>
      <c r="O197" s="2">
        <v>46117</v>
      </c>
      <c r="P197" s="1">
        <v>189</v>
      </c>
      <c r="Q197" t="s">
        <v>67</v>
      </c>
      <c r="R197">
        <v>5.46</v>
      </c>
      <c r="S197">
        <v>2.44</v>
      </c>
      <c r="T197">
        <v>0.44</v>
      </c>
      <c r="U197">
        <v>183.1</v>
      </c>
      <c r="V197" s="1">
        <v>0</v>
      </c>
      <c r="X197">
        <v>20260406</v>
      </c>
      <c r="Z197" t="s">
        <v>68</v>
      </c>
      <c r="AA197">
        <v>3974527</v>
      </c>
      <c r="AB197" t="s">
        <v>79</v>
      </c>
      <c r="AD197" t="s">
        <v>88</v>
      </c>
      <c r="AE197" s="3">
        <v>0.7003125</v>
      </c>
      <c r="AF197" t="s">
        <v>70</v>
      </c>
    </row>
    <row r="198" spans="1:32">
      <c r="A198">
        <v>1023366</v>
      </c>
      <c r="B198" t="s">
        <v>75</v>
      </c>
      <c r="C198" t="s">
        <v>62</v>
      </c>
      <c r="D198" s="2">
        <v>46117</v>
      </c>
      <c r="E198" s="2">
        <v>46117</v>
      </c>
      <c r="G198">
        <v>352</v>
      </c>
      <c r="H198" t="s">
        <v>63</v>
      </c>
      <c r="I198">
        <v>6934</v>
      </c>
      <c r="J198">
        <v>969034</v>
      </c>
      <c r="L198" t="s">
        <v>295</v>
      </c>
      <c r="M198" t="s">
        <v>65</v>
      </c>
      <c r="N198" t="s">
        <v>66</v>
      </c>
      <c r="O198" s="2">
        <v>46117</v>
      </c>
      <c r="P198" s="1">
        <v>1799</v>
      </c>
      <c r="Q198" t="s">
        <v>67</v>
      </c>
      <c r="R198">
        <v>51.99</v>
      </c>
      <c r="S198">
        <v>23.21</v>
      </c>
      <c r="T198">
        <v>4.18</v>
      </c>
      <c r="U198">
        <v>1742.83</v>
      </c>
      <c r="V198" s="1">
        <v>0</v>
      </c>
      <c r="X198">
        <v>20260406</v>
      </c>
      <c r="Z198" t="s">
        <v>68</v>
      </c>
      <c r="AA198">
        <v>3974527</v>
      </c>
      <c r="AB198" t="s">
        <v>79</v>
      </c>
      <c r="AE198" s="3">
        <v>0.7098726851851852</v>
      </c>
      <c r="AF198" t="s">
        <v>70</v>
      </c>
    </row>
    <row r="199" spans="1:32">
      <c r="A199">
        <v>1023366</v>
      </c>
      <c r="B199" t="s">
        <v>75</v>
      </c>
      <c r="C199" t="s">
        <v>62</v>
      </c>
      <c r="D199" s="2">
        <v>46117</v>
      </c>
      <c r="E199" s="2">
        <v>46117</v>
      </c>
      <c r="G199">
        <v>352</v>
      </c>
      <c r="H199" t="s">
        <v>63</v>
      </c>
      <c r="I199">
        <v>6941</v>
      </c>
      <c r="J199">
        <v>6180</v>
      </c>
      <c r="L199" t="s">
        <v>296</v>
      </c>
      <c r="M199" t="s">
        <v>65</v>
      </c>
      <c r="N199" t="s">
        <v>66</v>
      </c>
      <c r="O199" s="2">
        <v>46117</v>
      </c>
      <c r="P199" s="1">
        <v>179</v>
      </c>
      <c r="Q199" t="s">
        <v>67</v>
      </c>
      <c r="R199">
        <v>5.17</v>
      </c>
      <c r="S199">
        <v>1.41</v>
      </c>
      <c r="T199">
        <v>0.25</v>
      </c>
      <c r="U199">
        <v>173.58</v>
      </c>
      <c r="V199" s="1">
        <v>0</v>
      </c>
      <c r="X199">
        <v>20260406</v>
      </c>
      <c r="Z199" t="s">
        <v>72</v>
      </c>
      <c r="AA199">
        <v>3974527</v>
      </c>
      <c r="AB199" t="s">
        <v>79</v>
      </c>
      <c r="AE199" s="3">
        <v>0.74909722222222219</v>
      </c>
      <c r="AF199" t="s">
        <v>70</v>
      </c>
    </row>
    <row r="200" spans="1:32">
      <c r="A200">
        <v>1023366</v>
      </c>
      <c r="B200" t="s">
        <v>75</v>
      </c>
      <c r="C200" t="s">
        <v>62</v>
      </c>
      <c r="D200" s="2">
        <v>46117</v>
      </c>
      <c r="E200" s="2">
        <v>46117</v>
      </c>
      <c r="G200">
        <v>352</v>
      </c>
      <c r="H200">
        <v>65656565</v>
      </c>
      <c r="I200">
        <v>6943</v>
      </c>
      <c r="J200">
        <v>515857</v>
      </c>
      <c r="L200" t="s">
        <v>297</v>
      </c>
      <c r="M200" t="s">
        <v>65</v>
      </c>
      <c r="N200" t="s">
        <v>66</v>
      </c>
      <c r="O200" s="2">
        <v>46117</v>
      </c>
      <c r="P200" s="1">
        <v>89.9</v>
      </c>
      <c r="Q200" t="s">
        <v>67</v>
      </c>
      <c r="R200">
        <v>2.59</v>
      </c>
      <c r="S200">
        <v>1.1499999999999999</v>
      </c>
      <c r="T200">
        <v>0.21</v>
      </c>
      <c r="U200">
        <v>87.1</v>
      </c>
      <c r="V200" s="1">
        <v>0</v>
      </c>
      <c r="X200">
        <v>20260406</v>
      </c>
      <c r="Z200" t="s">
        <v>68</v>
      </c>
      <c r="AA200">
        <v>3974527</v>
      </c>
      <c r="AB200" t="s">
        <v>77</v>
      </c>
      <c r="AD200" t="s">
        <v>298</v>
      </c>
      <c r="AE200" s="3">
        <v>0.75754629629629633</v>
      </c>
      <c r="AF200" t="s">
        <v>70</v>
      </c>
    </row>
    <row r="201" spans="1:32">
      <c r="A201">
        <v>1023366</v>
      </c>
      <c r="B201" t="s">
        <v>75</v>
      </c>
      <c r="C201" t="s">
        <v>62</v>
      </c>
      <c r="D201" s="2">
        <v>46117</v>
      </c>
      <c r="E201" s="2">
        <v>46117</v>
      </c>
      <c r="G201">
        <v>352</v>
      </c>
      <c r="H201" t="s">
        <v>63</v>
      </c>
      <c r="I201">
        <v>6946</v>
      </c>
      <c r="J201">
        <v>5604</v>
      </c>
      <c r="L201" t="s">
        <v>299</v>
      </c>
      <c r="M201" t="s">
        <v>65</v>
      </c>
      <c r="N201" t="s">
        <v>66</v>
      </c>
      <c r="O201" s="2">
        <v>46117</v>
      </c>
      <c r="P201" s="1">
        <v>199</v>
      </c>
      <c r="Q201" t="s">
        <v>67</v>
      </c>
      <c r="R201">
        <v>5.75</v>
      </c>
      <c r="S201">
        <v>0.77</v>
      </c>
      <c r="T201">
        <v>0.14000000000000001</v>
      </c>
      <c r="U201">
        <v>193.11</v>
      </c>
      <c r="V201" s="1">
        <v>0</v>
      </c>
      <c r="X201">
        <v>20260406</v>
      </c>
      <c r="Z201" t="s">
        <v>72</v>
      </c>
      <c r="AA201">
        <v>3974527</v>
      </c>
      <c r="AB201" t="s">
        <v>79</v>
      </c>
      <c r="AE201" s="3">
        <v>0.75993055555555555</v>
      </c>
      <c r="AF201" t="s">
        <v>70</v>
      </c>
    </row>
    <row r="202" spans="1:32">
      <c r="A202">
        <v>1023366</v>
      </c>
      <c r="B202" t="s">
        <v>75</v>
      </c>
      <c r="C202" t="s">
        <v>62</v>
      </c>
      <c r="D202" s="2">
        <v>46117</v>
      </c>
      <c r="E202" s="2">
        <v>46117</v>
      </c>
      <c r="G202">
        <v>352</v>
      </c>
      <c r="H202" t="s">
        <v>63</v>
      </c>
      <c r="I202">
        <v>6948</v>
      </c>
      <c r="J202">
        <v>955944</v>
      </c>
      <c r="L202" t="s">
        <v>300</v>
      </c>
      <c r="M202" t="s">
        <v>65</v>
      </c>
      <c r="N202" t="s">
        <v>66</v>
      </c>
      <c r="O202" s="2">
        <v>46117</v>
      </c>
      <c r="P202" s="1">
        <v>59</v>
      </c>
      <c r="Q202" t="s">
        <v>67</v>
      </c>
      <c r="R202">
        <v>1.71</v>
      </c>
      <c r="S202">
        <v>0.77</v>
      </c>
      <c r="T202">
        <v>0.14000000000000001</v>
      </c>
      <c r="U202">
        <v>57.15</v>
      </c>
      <c r="V202" s="1">
        <v>0</v>
      </c>
      <c r="X202">
        <v>20260406</v>
      </c>
      <c r="Z202" t="s">
        <v>68</v>
      </c>
      <c r="AA202">
        <v>3974527</v>
      </c>
      <c r="AB202" t="s">
        <v>79</v>
      </c>
      <c r="AE202" s="3">
        <v>0.76107638888888884</v>
      </c>
      <c r="AF202" t="s">
        <v>70</v>
      </c>
    </row>
    <row r="203" spans="1:32">
      <c r="A203">
        <v>1023366</v>
      </c>
      <c r="B203" t="s">
        <v>75</v>
      </c>
      <c r="C203" t="s">
        <v>62</v>
      </c>
      <c r="D203" s="2">
        <v>46117</v>
      </c>
      <c r="E203" s="2">
        <v>46117</v>
      </c>
      <c r="G203">
        <v>352</v>
      </c>
      <c r="H203" t="s">
        <v>63</v>
      </c>
      <c r="I203">
        <v>6950</v>
      </c>
      <c r="J203">
        <v>9445</v>
      </c>
      <c r="L203" t="s">
        <v>301</v>
      </c>
      <c r="M203" t="s">
        <v>65</v>
      </c>
      <c r="N203" t="s">
        <v>66</v>
      </c>
      <c r="O203" s="2">
        <v>46117</v>
      </c>
      <c r="P203" s="1">
        <v>149</v>
      </c>
      <c r="Q203" t="s">
        <v>67</v>
      </c>
      <c r="R203">
        <v>4.3099999999999996</v>
      </c>
      <c r="S203">
        <v>1.18</v>
      </c>
      <c r="T203">
        <v>0.21</v>
      </c>
      <c r="U203">
        <v>144.47999999999999</v>
      </c>
      <c r="V203" s="1">
        <v>0</v>
      </c>
      <c r="X203">
        <v>20260406</v>
      </c>
      <c r="Z203" t="s">
        <v>72</v>
      </c>
      <c r="AA203">
        <v>3974527</v>
      </c>
      <c r="AB203" t="s">
        <v>79</v>
      </c>
      <c r="AE203" s="3">
        <v>0.77553240740740736</v>
      </c>
      <c r="AF203" t="s">
        <v>70</v>
      </c>
    </row>
    <row r="204" spans="1:32">
      <c r="A204">
        <v>1023366</v>
      </c>
      <c r="B204" t="s">
        <v>75</v>
      </c>
      <c r="C204" t="s">
        <v>62</v>
      </c>
      <c r="D204" s="2">
        <v>46117</v>
      </c>
      <c r="E204" s="2">
        <v>46117</v>
      </c>
      <c r="G204">
        <v>352</v>
      </c>
      <c r="H204" t="s">
        <v>63</v>
      </c>
      <c r="I204">
        <v>6952</v>
      </c>
      <c r="J204">
        <v>7895</v>
      </c>
      <c r="L204" t="s">
        <v>302</v>
      </c>
      <c r="M204" t="s">
        <v>65</v>
      </c>
      <c r="N204" t="s">
        <v>66</v>
      </c>
      <c r="O204" s="2">
        <v>46117</v>
      </c>
      <c r="P204" s="1">
        <v>937</v>
      </c>
      <c r="Q204" t="s">
        <v>67</v>
      </c>
      <c r="R204">
        <v>27.08</v>
      </c>
      <c r="S204">
        <v>3.65</v>
      </c>
      <c r="T204">
        <v>0.66</v>
      </c>
      <c r="U204">
        <v>909.26</v>
      </c>
      <c r="V204" s="1">
        <v>0</v>
      </c>
      <c r="X204">
        <v>20260406</v>
      </c>
      <c r="Z204" t="s">
        <v>72</v>
      </c>
      <c r="AA204">
        <v>3974527</v>
      </c>
      <c r="AB204" t="s">
        <v>79</v>
      </c>
      <c r="AE204" s="3">
        <v>0.78523148148148147</v>
      </c>
      <c r="AF204" t="s">
        <v>70</v>
      </c>
    </row>
    <row r="205" spans="1:32">
      <c r="A205">
        <v>1023366</v>
      </c>
      <c r="B205" t="s">
        <v>75</v>
      </c>
      <c r="C205" t="s">
        <v>62</v>
      </c>
      <c r="D205" s="2">
        <v>46117</v>
      </c>
      <c r="E205" s="2">
        <v>46117</v>
      </c>
      <c r="G205">
        <v>352</v>
      </c>
      <c r="H205" t="s">
        <v>63</v>
      </c>
      <c r="I205">
        <v>6954</v>
      </c>
      <c r="J205">
        <v>994036</v>
      </c>
      <c r="L205" t="s">
        <v>303</v>
      </c>
      <c r="M205" t="s">
        <v>65</v>
      </c>
      <c r="N205" t="s">
        <v>66</v>
      </c>
      <c r="O205" s="2">
        <v>46117</v>
      </c>
      <c r="P205" s="1">
        <v>588</v>
      </c>
      <c r="Q205" t="s">
        <v>67</v>
      </c>
      <c r="R205">
        <v>16.989999999999998</v>
      </c>
      <c r="S205">
        <v>7.58</v>
      </c>
      <c r="T205">
        <v>1.36</v>
      </c>
      <c r="U205">
        <v>569.65</v>
      </c>
      <c r="V205" s="1">
        <v>0</v>
      </c>
      <c r="X205">
        <v>20260406</v>
      </c>
      <c r="Z205" t="s">
        <v>68</v>
      </c>
      <c r="AA205">
        <v>3974527</v>
      </c>
      <c r="AB205" t="s">
        <v>81</v>
      </c>
      <c r="AE205" s="3">
        <v>0.79302083333333329</v>
      </c>
      <c r="AF205" t="s">
        <v>70</v>
      </c>
    </row>
    <row r="206" spans="1:32">
      <c r="A206">
        <v>1023366</v>
      </c>
      <c r="B206" t="s">
        <v>75</v>
      </c>
      <c r="C206" t="s">
        <v>62</v>
      </c>
      <c r="D206" s="2">
        <v>46117</v>
      </c>
      <c r="E206" s="2">
        <v>46117</v>
      </c>
      <c r="G206">
        <v>352</v>
      </c>
      <c r="H206" t="s">
        <v>63</v>
      </c>
      <c r="I206">
        <v>6956</v>
      </c>
      <c r="J206">
        <v>998273</v>
      </c>
      <c r="L206" t="s">
        <v>304</v>
      </c>
      <c r="M206" t="s">
        <v>65</v>
      </c>
      <c r="N206" t="s">
        <v>66</v>
      </c>
      <c r="O206" s="2">
        <v>46117</v>
      </c>
      <c r="P206" s="1">
        <v>129</v>
      </c>
      <c r="Q206" t="s">
        <v>67</v>
      </c>
      <c r="R206">
        <v>3.73</v>
      </c>
      <c r="S206">
        <v>1.67</v>
      </c>
      <c r="T206">
        <v>0.3</v>
      </c>
      <c r="U206">
        <v>124.97</v>
      </c>
      <c r="V206" s="1">
        <v>0</v>
      </c>
      <c r="X206">
        <v>20260406</v>
      </c>
      <c r="Z206" t="s">
        <v>68</v>
      </c>
      <c r="AA206">
        <v>3974527</v>
      </c>
      <c r="AB206" t="s">
        <v>79</v>
      </c>
      <c r="AE206" s="3">
        <v>0.79472222222222222</v>
      </c>
      <c r="AF206" t="s">
        <v>70</v>
      </c>
    </row>
    <row r="207" spans="1:32">
      <c r="A207">
        <v>1023366</v>
      </c>
      <c r="B207" t="s">
        <v>75</v>
      </c>
      <c r="C207" t="s">
        <v>62</v>
      </c>
      <c r="D207" s="2">
        <v>46117</v>
      </c>
      <c r="E207" s="2">
        <v>46117</v>
      </c>
      <c r="G207">
        <v>352</v>
      </c>
      <c r="H207" t="s">
        <v>63</v>
      </c>
      <c r="I207">
        <v>6959</v>
      </c>
      <c r="J207" t="s">
        <v>305</v>
      </c>
      <c r="L207" t="s">
        <v>306</v>
      </c>
      <c r="M207" t="s">
        <v>96</v>
      </c>
      <c r="N207" t="s">
        <v>66</v>
      </c>
      <c r="O207" s="2">
        <v>46117</v>
      </c>
      <c r="P207" s="1">
        <v>417</v>
      </c>
      <c r="Q207" t="s">
        <v>67</v>
      </c>
      <c r="R207">
        <v>16.260000000000002</v>
      </c>
      <c r="S207">
        <v>7.92</v>
      </c>
      <c r="T207">
        <v>1.43</v>
      </c>
      <c r="U207">
        <v>399.31</v>
      </c>
      <c r="V207" s="1">
        <v>0</v>
      </c>
      <c r="X207">
        <v>20260406</v>
      </c>
      <c r="Z207" t="s">
        <v>68</v>
      </c>
      <c r="AA207">
        <v>3974527</v>
      </c>
      <c r="AB207" t="s">
        <v>97</v>
      </c>
      <c r="AE207" s="3">
        <v>0.79663194444444441</v>
      </c>
      <c r="AF207" t="s">
        <v>70</v>
      </c>
    </row>
    <row r="208" spans="1:32">
      <c r="A208">
        <v>1023366</v>
      </c>
      <c r="B208" t="s">
        <v>75</v>
      </c>
      <c r="C208" t="s">
        <v>62</v>
      </c>
      <c r="D208" s="2">
        <v>46117</v>
      </c>
      <c r="E208" s="2">
        <v>46117</v>
      </c>
      <c r="G208">
        <v>352</v>
      </c>
      <c r="H208" t="s">
        <v>63</v>
      </c>
      <c r="I208">
        <v>6963</v>
      </c>
      <c r="J208">
        <v>190859</v>
      </c>
      <c r="L208" t="s">
        <v>307</v>
      </c>
      <c r="M208" t="s">
        <v>65</v>
      </c>
      <c r="N208" t="s">
        <v>66</v>
      </c>
      <c r="O208" s="2">
        <v>46117</v>
      </c>
      <c r="P208" s="1">
        <v>34.799999999999997</v>
      </c>
      <c r="Q208" t="s">
        <v>67</v>
      </c>
      <c r="R208">
        <v>1.01</v>
      </c>
      <c r="S208">
        <v>0.45</v>
      </c>
      <c r="T208">
        <v>0.08</v>
      </c>
      <c r="U208">
        <v>33.71</v>
      </c>
      <c r="V208" s="1">
        <v>0</v>
      </c>
      <c r="X208">
        <v>20260406</v>
      </c>
      <c r="Z208" t="s">
        <v>68</v>
      </c>
      <c r="AA208">
        <v>3974527</v>
      </c>
      <c r="AB208" t="s">
        <v>77</v>
      </c>
      <c r="AE208" s="3">
        <v>0.80775462962962963</v>
      </c>
      <c r="AF208" t="s">
        <v>70</v>
      </c>
    </row>
    <row r="209" spans="1:42">
      <c r="A209">
        <v>1023366</v>
      </c>
      <c r="B209" t="s">
        <v>75</v>
      </c>
      <c r="C209" t="s">
        <v>62</v>
      </c>
      <c r="D209" s="2">
        <v>46117</v>
      </c>
      <c r="E209" s="2">
        <v>46117</v>
      </c>
      <c r="G209">
        <v>352</v>
      </c>
      <c r="H209" t="s">
        <v>63</v>
      </c>
      <c r="I209">
        <v>6970</v>
      </c>
      <c r="J209">
        <v>531967</v>
      </c>
      <c r="L209" t="s">
        <v>308</v>
      </c>
      <c r="M209" t="s">
        <v>96</v>
      </c>
      <c r="N209" t="s">
        <v>66</v>
      </c>
      <c r="O209" s="2">
        <v>46117</v>
      </c>
      <c r="P209" s="1">
        <v>149</v>
      </c>
      <c r="Q209" t="s">
        <v>67</v>
      </c>
      <c r="R209">
        <v>5.81</v>
      </c>
      <c r="S209">
        <v>4.18</v>
      </c>
      <c r="T209">
        <v>0.75</v>
      </c>
      <c r="U209">
        <v>142.44</v>
      </c>
      <c r="V209" s="1">
        <v>0</v>
      </c>
      <c r="X209">
        <v>20260406</v>
      </c>
      <c r="Z209" t="s">
        <v>72</v>
      </c>
      <c r="AA209">
        <v>3974527</v>
      </c>
      <c r="AB209" t="s">
        <v>97</v>
      </c>
      <c r="AE209" s="3">
        <v>0.81925925925925924</v>
      </c>
      <c r="AF209" t="s">
        <v>70</v>
      </c>
    </row>
    <row r="210" spans="1:42">
      <c r="A210">
        <v>1023366</v>
      </c>
      <c r="B210" t="s">
        <v>75</v>
      </c>
      <c r="C210" t="s">
        <v>62</v>
      </c>
      <c r="D210" s="2">
        <v>46117</v>
      </c>
      <c r="E210" s="2">
        <v>46117</v>
      </c>
      <c r="G210">
        <v>352</v>
      </c>
      <c r="H210" t="s">
        <v>63</v>
      </c>
      <c r="I210">
        <v>6972</v>
      </c>
      <c r="J210">
        <v>304812</v>
      </c>
      <c r="L210" t="s">
        <v>309</v>
      </c>
      <c r="M210" t="s">
        <v>65</v>
      </c>
      <c r="N210" t="s">
        <v>66</v>
      </c>
      <c r="O210" s="2">
        <v>46117</v>
      </c>
      <c r="P210" s="1">
        <v>1499</v>
      </c>
      <c r="Q210" t="s">
        <v>67</v>
      </c>
      <c r="R210">
        <v>43.32</v>
      </c>
      <c r="S210">
        <v>19.34</v>
      </c>
      <c r="T210">
        <v>3.48</v>
      </c>
      <c r="U210">
        <v>1452.2</v>
      </c>
      <c r="V210" s="1">
        <v>0</v>
      </c>
      <c r="X210">
        <v>20260406</v>
      </c>
      <c r="Z210" t="s">
        <v>68</v>
      </c>
      <c r="AA210">
        <v>3974527</v>
      </c>
      <c r="AB210" t="s">
        <v>93</v>
      </c>
      <c r="AE210" s="3">
        <v>0.82356481481481481</v>
      </c>
      <c r="AF210" t="s">
        <v>70</v>
      </c>
    </row>
    <row r="211" spans="1:42">
      <c r="A211">
        <v>1023366</v>
      </c>
      <c r="B211" t="s">
        <v>75</v>
      </c>
      <c r="C211" t="s">
        <v>62</v>
      </c>
      <c r="D211" s="2">
        <v>46117</v>
      </c>
      <c r="E211" s="2">
        <v>46117</v>
      </c>
      <c r="G211">
        <v>352</v>
      </c>
      <c r="H211" t="s">
        <v>63</v>
      </c>
      <c r="I211">
        <v>6974</v>
      </c>
      <c r="J211">
        <v>335170</v>
      </c>
      <c r="L211" t="s">
        <v>310</v>
      </c>
      <c r="M211" t="s">
        <v>65</v>
      </c>
      <c r="N211" t="s">
        <v>66</v>
      </c>
      <c r="O211" s="2">
        <v>46117</v>
      </c>
      <c r="P211" s="1">
        <v>105</v>
      </c>
      <c r="Q211" t="s">
        <v>67</v>
      </c>
      <c r="R211">
        <v>3.03</v>
      </c>
      <c r="S211">
        <v>0.82</v>
      </c>
      <c r="T211">
        <v>0.15</v>
      </c>
      <c r="U211">
        <v>101.82</v>
      </c>
      <c r="V211" s="1">
        <v>0</v>
      </c>
      <c r="X211">
        <v>20260406</v>
      </c>
      <c r="Z211" t="s">
        <v>72</v>
      </c>
      <c r="AA211">
        <v>3974527</v>
      </c>
      <c r="AB211" t="s">
        <v>93</v>
      </c>
      <c r="AE211" s="3">
        <v>0.82982638888888893</v>
      </c>
      <c r="AF211" t="s">
        <v>70</v>
      </c>
    </row>
    <row r="212" spans="1:42">
      <c r="A212">
        <v>1023366</v>
      </c>
      <c r="B212" t="s">
        <v>75</v>
      </c>
      <c r="C212" t="s">
        <v>62</v>
      </c>
      <c r="D212" s="2">
        <v>46117</v>
      </c>
      <c r="E212" s="2">
        <v>46117</v>
      </c>
      <c r="G212">
        <v>352</v>
      </c>
      <c r="H212" t="s">
        <v>63</v>
      </c>
      <c r="I212">
        <v>6976</v>
      </c>
      <c r="J212">
        <v>349242</v>
      </c>
      <c r="L212" t="s">
        <v>311</v>
      </c>
      <c r="M212" t="s">
        <v>65</v>
      </c>
      <c r="N212" t="s">
        <v>66</v>
      </c>
      <c r="O212" s="2">
        <v>46117</v>
      </c>
      <c r="P212" s="1">
        <v>349</v>
      </c>
      <c r="Q212" t="s">
        <v>67</v>
      </c>
      <c r="R212">
        <v>10.09</v>
      </c>
      <c r="S212">
        <v>2.06</v>
      </c>
      <c r="T212">
        <v>0.37</v>
      </c>
      <c r="U212">
        <v>338.54</v>
      </c>
      <c r="V212" s="1">
        <v>14463.68</v>
      </c>
      <c r="W212" s="2">
        <v>46118</v>
      </c>
      <c r="X212">
        <v>20260406</v>
      </c>
      <c r="Z212" t="s">
        <v>72</v>
      </c>
      <c r="AA212">
        <v>3974527</v>
      </c>
      <c r="AB212" t="s">
        <v>93</v>
      </c>
      <c r="AE212" s="3">
        <v>0.83281249999999996</v>
      </c>
      <c r="AF212" t="s">
        <v>70</v>
      </c>
      <c r="AL212">
        <v>104107</v>
      </c>
      <c r="AM212" s="30">
        <f>+V212</f>
        <v>14463.68</v>
      </c>
      <c r="AN212" t="str">
        <f>_xlfn.XLOOKUP(V212,Bancos!H:H,Bancos!C:C)</f>
        <v>8224829</v>
      </c>
      <c r="AO212" t="str">
        <f>_xlfn.XLOOKUP(AN212,Bancos!C:C,Bancos!A:A)</f>
        <v>06/04/2026</v>
      </c>
      <c r="AP212" s="12">
        <f>+AO212-W212</f>
        <v>0</v>
      </c>
    </row>
    <row r="213" spans="1:42">
      <c r="A213">
        <v>1023366</v>
      </c>
      <c r="B213" t="s">
        <v>201</v>
      </c>
      <c r="C213" t="s">
        <v>62</v>
      </c>
      <c r="D213" s="2">
        <v>46117</v>
      </c>
      <c r="E213" s="2">
        <v>46117</v>
      </c>
      <c r="G213">
        <v>352</v>
      </c>
      <c r="H213" t="s">
        <v>63</v>
      </c>
      <c r="I213">
        <v>6929</v>
      </c>
      <c r="J213">
        <v>66909</v>
      </c>
      <c r="L213" t="s">
        <v>312</v>
      </c>
      <c r="M213" t="s">
        <v>65</v>
      </c>
      <c r="N213" t="s">
        <v>66</v>
      </c>
      <c r="O213" s="2">
        <v>46117</v>
      </c>
      <c r="P213" s="1">
        <v>143.1</v>
      </c>
      <c r="Q213" t="s">
        <v>67</v>
      </c>
      <c r="R213">
        <v>4.1399999999999997</v>
      </c>
      <c r="S213">
        <v>1.1299999999999999</v>
      </c>
      <c r="T213">
        <v>0.2</v>
      </c>
      <c r="U213">
        <v>138.76</v>
      </c>
      <c r="V213" s="1">
        <v>138.76</v>
      </c>
      <c r="W213" s="2">
        <v>46118</v>
      </c>
      <c r="X213">
        <v>20260406</v>
      </c>
      <c r="Z213" t="s">
        <v>72</v>
      </c>
      <c r="AA213">
        <v>3974527</v>
      </c>
      <c r="AB213" t="s">
        <v>203</v>
      </c>
      <c r="AE213" s="3">
        <v>0.65364583333333337</v>
      </c>
      <c r="AF213" t="s">
        <v>70</v>
      </c>
      <c r="AL213">
        <v>104107</v>
      </c>
      <c r="AM213" s="30">
        <f>+V213</f>
        <v>138.76</v>
      </c>
      <c r="AN213" t="str">
        <f>_xlfn.XLOOKUP(V213,Bancos!H:H,Bancos!C:C)</f>
        <v>8224830</v>
      </c>
      <c r="AO213" t="str">
        <f>_xlfn.XLOOKUP(AN213,Bancos!C:C,Bancos!A:A)</f>
        <v>06/04/2026</v>
      </c>
      <c r="AP213" s="12">
        <f>+AO213-W213</f>
        <v>0</v>
      </c>
    </row>
    <row r="214" spans="1:42">
      <c r="A214">
        <v>1023366</v>
      </c>
      <c r="B214" t="s">
        <v>61</v>
      </c>
      <c r="C214" t="s">
        <v>62</v>
      </c>
      <c r="D214" s="2">
        <v>46118</v>
      </c>
      <c r="E214" s="2">
        <v>46118</v>
      </c>
      <c r="G214">
        <v>353</v>
      </c>
      <c r="H214" t="s">
        <v>63</v>
      </c>
      <c r="I214">
        <v>7015</v>
      </c>
      <c r="J214">
        <v>505939</v>
      </c>
      <c r="L214" t="s">
        <v>313</v>
      </c>
      <c r="M214" t="s">
        <v>96</v>
      </c>
      <c r="N214" t="s">
        <v>66</v>
      </c>
      <c r="O214" s="2">
        <v>46118</v>
      </c>
      <c r="P214" s="1">
        <v>17.899999999999999</v>
      </c>
      <c r="Q214" t="s">
        <v>67</v>
      </c>
      <c r="R214">
        <v>0.7</v>
      </c>
      <c r="S214">
        <v>0.41</v>
      </c>
      <c r="T214">
        <v>7.0000000000000007E-2</v>
      </c>
      <c r="U214">
        <v>17.13</v>
      </c>
      <c r="V214" s="1">
        <v>0</v>
      </c>
      <c r="X214">
        <v>20260407</v>
      </c>
      <c r="Z214" t="s">
        <v>72</v>
      </c>
      <c r="AA214">
        <v>3974527</v>
      </c>
      <c r="AB214" t="s">
        <v>234</v>
      </c>
      <c r="AE214" s="3">
        <v>0.58299768518518513</v>
      </c>
      <c r="AF214" t="s">
        <v>70</v>
      </c>
    </row>
    <row r="215" spans="1:42">
      <c r="A215">
        <v>1023366</v>
      </c>
      <c r="B215" t="s">
        <v>61</v>
      </c>
      <c r="C215" t="s">
        <v>62</v>
      </c>
      <c r="D215" s="2">
        <v>46118</v>
      </c>
      <c r="E215" s="2">
        <v>46118</v>
      </c>
      <c r="G215">
        <v>353</v>
      </c>
      <c r="H215" t="s">
        <v>63</v>
      </c>
      <c r="I215">
        <v>7035</v>
      </c>
      <c r="J215">
        <v>243565</v>
      </c>
      <c r="L215" t="s">
        <v>314</v>
      </c>
      <c r="M215" t="s">
        <v>65</v>
      </c>
      <c r="N215" t="s">
        <v>66</v>
      </c>
      <c r="O215" s="2">
        <v>46118</v>
      </c>
      <c r="P215" s="1">
        <v>69</v>
      </c>
      <c r="Q215" t="s">
        <v>67</v>
      </c>
      <c r="R215">
        <v>1.99</v>
      </c>
      <c r="S215">
        <v>0.78</v>
      </c>
      <c r="T215">
        <v>0.14000000000000001</v>
      </c>
      <c r="U215">
        <v>66.87</v>
      </c>
      <c r="V215" s="1">
        <v>0</v>
      </c>
      <c r="X215">
        <v>20260407</v>
      </c>
      <c r="Z215" t="s">
        <v>68</v>
      </c>
      <c r="AA215">
        <v>3974527</v>
      </c>
      <c r="AB215" t="s">
        <v>69</v>
      </c>
      <c r="AE215" s="3">
        <v>0.77295138888888892</v>
      </c>
      <c r="AF215" t="s">
        <v>70</v>
      </c>
    </row>
    <row r="216" spans="1:42">
      <c r="A216">
        <v>1023366</v>
      </c>
      <c r="B216" t="s">
        <v>61</v>
      </c>
      <c r="C216" t="s">
        <v>62</v>
      </c>
      <c r="D216" s="2">
        <v>46118</v>
      </c>
      <c r="E216" s="2">
        <v>46118</v>
      </c>
      <c r="G216">
        <v>353</v>
      </c>
      <c r="H216" t="s">
        <v>63</v>
      </c>
      <c r="I216">
        <v>7075</v>
      </c>
      <c r="J216">
        <v>268911</v>
      </c>
      <c r="L216" t="s">
        <v>315</v>
      </c>
      <c r="M216" t="s">
        <v>65</v>
      </c>
      <c r="N216" t="s">
        <v>66</v>
      </c>
      <c r="O216" s="2">
        <v>46118</v>
      </c>
      <c r="P216" s="1">
        <v>349</v>
      </c>
      <c r="Q216" t="s">
        <v>67</v>
      </c>
      <c r="R216">
        <v>10.09</v>
      </c>
      <c r="S216">
        <v>3.98</v>
      </c>
      <c r="T216">
        <v>0.72</v>
      </c>
      <c r="U216">
        <v>338.19</v>
      </c>
      <c r="V216" s="1">
        <v>422.19</v>
      </c>
      <c r="W216" s="2">
        <v>46119</v>
      </c>
      <c r="X216">
        <v>20260407</v>
      </c>
      <c r="Z216" t="s">
        <v>68</v>
      </c>
      <c r="AA216">
        <v>3974527</v>
      </c>
      <c r="AB216" t="s">
        <v>69</v>
      </c>
      <c r="AE216" s="3">
        <v>0.86614583333333328</v>
      </c>
      <c r="AF216" t="s">
        <v>70</v>
      </c>
      <c r="AL216">
        <v>104107</v>
      </c>
      <c r="AM216" s="30">
        <f>+V216</f>
        <v>422.19</v>
      </c>
      <c r="AN216" t="str">
        <f>_xlfn.XLOOKUP(V216,Bancos!H:H,Bancos!C:C)</f>
        <v>8061391</v>
      </c>
      <c r="AO216" t="str">
        <f>_xlfn.XLOOKUP(AN216,Bancos!C:C,Bancos!A:A)</f>
        <v>07/04/2026</v>
      </c>
      <c r="AP216" s="12">
        <f>+AO216-W216</f>
        <v>0</v>
      </c>
    </row>
    <row r="217" spans="1:42">
      <c r="A217">
        <v>1023366</v>
      </c>
      <c r="B217" t="s">
        <v>75</v>
      </c>
      <c r="C217" t="s">
        <v>62</v>
      </c>
      <c r="D217" s="2">
        <v>46118</v>
      </c>
      <c r="E217" s="2">
        <v>46118</v>
      </c>
      <c r="G217">
        <v>353</v>
      </c>
      <c r="H217" t="s">
        <v>63</v>
      </c>
      <c r="I217">
        <v>6991</v>
      </c>
      <c r="J217">
        <v>35205</v>
      </c>
      <c r="L217" t="s">
        <v>316</v>
      </c>
      <c r="M217" t="s">
        <v>65</v>
      </c>
      <c r="N217" t="s">
        <v>66</v>
      </c>
      <c r="O217" s="2">
        <v>46118</v>
      </c>
      <c r="P217" s="1">
        <v>149</v>
      </c>
      <c r="Q217" t="s">
        <v>67</v>
      </c>
      <c r="R217">
        <v>4.3099999999999996</v>
      </c>
      <c r="S217">
        <v>0.57999999999999996</v>
      </c>
      <c r="T217">
        <v>0.1</v>
      </c>
      <c r="U217">
        <v>144.59</v>
      </c>
      <c r="V217" s="1">
        <v>0</v>
      </c>
      <c r="X217">
        <v>20260407</v>
      </c>
      <c r="Z217" t="s">
        <v>72</v>
      </c>
      <c r="AA217">
        <v>3974527</v>
      </c>
      <c r="AB217" t="s">
        <v>84</v>
      </c>
      <c r="AE217" s="3">
        <v>0.4198263888888889</v>
      </c>
      <c r="AF217" t="s">
        <v>70</v>
      </c>
    </row>
    <row r="218" spans="1:42">
      <c r="A218">
        <v>1023366</v>
      </c>
      <c r="B218" t="s">
        <v>75</v>
      </c>
      <c r="C218" t="s">
        <v>62</v>
      </c>
      <c r="D218" s="2">
        <v>46118</v>
      </c>
      <c r="E218" s="2">
        <v>46118</v>
      </c>
      <c r="G218">
        <v>353</v>
      </c>
      <c r="H218">
        <v>65656565</v>
      </c>
      <c r="I218">
        <v>6993</v>
      </c>
      <c r="J218">
        <v>164150</v>
      </c>
      <c r="L218" t="s">
        <v>317</v>
      </c>
      <c r="M218" t="s">
        <v>65</v>
      </c>
      <c r="N218" t="s">
        <v>66</v>
      </c>
      <c r="O218" s="2">
        <v>46118</v>
      </c>
      <c r="P218" s="1">
        <v>149</v>
      </c>
      <c r="Q218" t="s">
        <v>67</v>
      </c>
      <c r="R218">
        <v>4.3</v>
      </c>
      <c r="S218">
        <v>1.92</v>
      </c>
      <c r="T218">
        <v>0.35</v>
      </c>
      <c r="U218">
        <v>144.35</v>
      </c>
      <c r="V218" s="1">
        <v>0</v>
      </c>
      <c r="X218">
        <v>20260407</v>
      </c>
      <c r="Z218" t="s">
        <v>68</v>
      </c>
      <c r="AA218">
        <v>3974527</v>
      </c>
      <c r="AB218" t="s">
        <v>84</v>
      </c>
      <c r="AD218" t="s">
        <v>205</v>
      </c>
      <c r="AE218" s="3">
        <v>0.42149305555555555</v>
      </c>
      <c r="AF218" t="s">
        <v>70</v>
      </c>
    </row>
    <row r="219" spans="1:42">
      <c r="A219">
        <v>1023366</v>
      </c>
      <c r="B219" t="s">
        <v>75</v>
      </c>
      <c r="C219" t="s">
        <v>62</v>
      </c>
      <c r="D219" s="2">
        <v>46118</v>
      </c>
      <c r="E219" s="2">
        <v>46118</v>
      </c>
      <c r="G219">
        <v>353</v>
      </c>
      <c r="H219" t="s">
        <v>63</v>
      </c>
      <c r="I219">
        <v>6997</v>
      </c>
      <c r="J219">
        <v>143644</v>
      </c>
      <c r="L219" t="s">
        <v>318</v>
      </c>
      <c r="M219" t="s">
        <v>96</v>
      </c>
      <c r="N219" t="s">
        <v>66</v>
      </c>
      <c r="O219" s="2">
        <v>46118</v>
      </c>
      <c r="P219" s="1">
        <v>105</v>
      </c>
      <c r="Q219" t="s">
        <v>67</v>
      </c>
      <c r="R219">
        <v>4.0999999999999996</v>
      </c>
      <c r="S219">
        <v>2.16</v>
      </c>
      <c r="T219">
        <v>0.39</v>
      </c>
      <c r="U219">
        <v>100.51</v>
      </c>
      <c r="V219" s="1">
        <v>0</v>
      </c>
      <c r="X219">
        <v>20260407</v>
      </c>
      <c r="Z219" t="s">
        <v>68</v>
      </c>
      <c r="AA219">
        <v>3974527</v>
      </c>
      <c r="AB219" t="s">
        <v>97</v>
      </c>
      <c r="AE219" s="3">
        <v>0.47932870370370373</v>
      </c>
      <c r="AF219" t="s">
        <v>70</v>
      </c>
    </row>
    <row r="220" spans="1:42">
      <c r="A220">
        <v>1023366</v>
      </c>
      <c r="B220" t="s">
        <v>75</v>
      </c>
      <c r="C220" t="s">
        <v>62</v>
      </c>
      <c r="D220" s="2">
        <v>46118</v>
      </c>
      <c r="E220" s="2">
        <v>46118</v>
      </c>
      <c r="G220">
        <v>353</v>
      </c>
      <c r="H220" t="s">
        <v>63</v>
      </c>
      <c r="I220">
        <v>6999</v>
      </c>
      <c r="J220">
        <v>363554</v>
      </c>
      <c r="L220" t="s">
        <v>319</v>
      </c>
      <c r="M220" t="s">
        <v>65</v>
      </c>
      <c r="N220" t="s">
        <v>66</v>
      </c>
      <c r="O220" s="2">
        <v>46118</v>
      </c>
      <c r="P220" s="1">
        <v>349</v>
      </c>
      <c r="Q220" t="s">
        <v>67</v>
      </c>
      <c r="R220">
        <v>10.09</v>
      </c>
      <c r="S220">
        <v>2.06</v>
      </c>
      <c r="T220">
        <v>0.37</v>
      </c>
      <c r="U220">
        <v>338.54</v>
      </c>
      <c r="V220" s="1">
        <v>0</v>
      </c>
      <c r="X220">
        <v>20260407</v>
      </c>
      <c r="Z220" t="s">
        <v>72</v>
      </c>
      <c r="AA220">
        <v>3974527</v>
      </c>
      <c r="AB220" t="s">
        <v>77</v>
      </c>
      <c r="AE220" s="3">
        <v>0.48364583333333333</v>
      </c>
      <c r="AF220" t="s">
        <v>70</v>
      </c>
    </row>
    <row r="221" spans="1:42">
      <c r="A221">
        <v>1023366</v>
      </c>
      <c r="B221" t="s">
        <v>75</v>
      </c>
      <c r="C221" t="s">
        <v>62</v>
      </c>
      <c r="D221" s="2">
        <v>46118</v>
      </c>
      <c r="E221" s="2">
        <v>46118</v>
      </c>
      <c r="G221">
        <v>353</v>
      </c>
      <c r="H221" t="s">
        <v>63</v>
      </c>
      <c r="I221">
        <v>7001</v>
      </c>
      <c r="J221">
        <v>571824</v>
      </c>
      <c r="L221" t="s">
        <v>320</v>
      </c>
      <c r="M221" t="s">
        <v>65</v>
      </c>
      <c r="N221" t="s">
        <v>66</v>
      </c>
      <c r="O221" s="2">
        <v>46118</v>
      </c>
      <c r="P221" s="1">
        <v>89</v>
      </c>
      <c r="Q221" t="s">
        <v>67</v>
      </c>
      <c r="R221">
        <v>2.57</v>
      </c>
      <c r="S221">
        <v>1.1499999999999999</v>
      </c>
      <c r="T221">
        <v>0.21</v>
      </c>
      <c r="U221">
        <v>86.22</v>
      </c>
      <c r="V221" s="1">
        <v>0</v>
      </c>
      <c r="X221">
        <v>20260407</v>
      </c>
      <c r="Z221" t="s">
        <v>68</v>
      </c>
      <c r="AA221">
        <v>3974527</v>
      </c>
      <c r="AB221" t="s">
        <v>77</v>
      </c>
      <c r="AE221" s="3">
        <v>0.51627314814814818</v>
      </c>
      <c r="AF221" t="s">
        <v>70</v>
      </c>
    </row>
    <row r="222" spans="1:42">
      <c r="A222">
        <v>1023366</v>
      </c>
      <c r="B222" t="s">
        <v>75</v>
      </c>
      <c r="C222" t="s">
        <v>62</v>
      </c>
      <c r="D222" s="2">
        <v>46118</v>
      </c>
      <c r="E222" s="2">
        <v>46118</v>
      </c>
      <c r="G222">
        <v>353</v>
      </c>
      <c r="H222" t="s">
        <v>63</v>
      </c>
      <c r="I222">
        <v>7003</v>
      </c>
      <c r="J222">
        <v>7293</v>
      </c>
      <c r="L222" t="s">
        <v>321</v>
      </c>
      <c r="M222" t="s">
        <v>65</v>
      </c>
      <c r="N222" t="s">
        <v>66</v>
      </c>
      <c r="O222" s="2">
        <v>46118</v>
      </c>
      <c r="P222" s="1">
        <v>749</v>
      </c>
      <c r="Q222" t="s">
        <v>67</v>
      </c>
      <c r="R222">
        <v>21.65</v>
      </c>
      <c r="S222">
        <v>2.92</v>
      </c>
      <c r="T222">
        <v>0.53</v>
      </c>
      <c r="U222">
        <v>726.82</v>
      </c>
      <c r="V222" s="1">
        <v>0</v>
      </c>
      <c r="X222">
        <v>20260407</v>
      </c>
      <c r="Z222" t="s">
        <v>72</v>
      </c>
      <c r="AA222">
        <v>3974527</v>
      </c>
      <c r="AB222" t="s">
        <v>79</v>
      </c>
      <c r="AE222" s="3">
        <v>0.52104166666666663</v>
      </c>
      <c r="AF222" t="s">
        <v>70</v>
      </c>
    </row>
    <row r="223" spans="1:42">
      <c r="A223">
        <v>1023366</v>
      </c>
      <c r="B223" t="s">
        <v>75</v>
      </c>
      <c r="C223" t="s">
        <v>62</v>
      </c>
      <c r="D223" s="2">
        <v>46118</v>
      </c>
      <c r="E223" s="2">
        <v>46118</v>
      </c>
      <c r="G223">
        <v>353</v>
      </c>
      <c r="H223">
        <v>65656565</v>
      </c>
      <c r="I223">
        <v>7005</v>
      </c>
      <c r="J223">
        <v>945765</v>
      </c>
      <c r="L223" t="s">
        <v>322</v>
      </c>
      <c r="M223" t="s">
        <v>65</v>
      </c>
      <c r="N223" t="s">
        <v>66</v>
      </c>
      <c r="O223" s="2">
        <v>46118</v>
      </c>
      <c r="P223" s="1">
        <v>14.9</v>
      </c>
      <c r="Q223" t="s">
        <v>67</v>
      </c>
      <c r="R223">
        <v>0.43</v>
      </c>
      <c r="S223">
        <v>0.19</v>
      </c>
      <c r="T223">
        <v>0.03</v>
      </c>
      <c r="U223">
        <v>14.44</v>
      </c>
      <c r="V223" s="1">
        <v>0</v>
      </c>
      <c r="X223">
        <v>20260407</v>
      </c>
      <c r="Z223" t="s">
        <v>68</v>
      </c>
      <c r="AA223">
        <v>3974527</v>
      </c>
      <c r="AB223" t="s">
        <v>79</v>
      </c>
      <c r="AD223" t="s">
        <v>88</v>
      </c>
      <c r="AE223" s="3">
        <v>0.53302083333333339</v>
      </c>
      <c r="AF223" t="s">
        <v>70</v>
      </c>
    </row>
    <row r="224" spans="1:42">
      <c r="A224">
        <v>1023366</v>
      </c>
      <c r="B224" t="s">
        <v>75</v>
      </c>
      <c r="C224" t="s">
        <v>62</v>
      </c>
      <c r="D224" s="2">
        <v>46118</v>
      </c>
      <c r="E224" s="2">
        <v>46118</v>
      </c>
      <c r="G224">
        <v>353</v>
      </c>
      <c r="H224" t="s">
        <v>63</v>
      </c>
      <c r="I224">
        <v>7008</v>
      </c>
      <c r="J224">
        <v>43770</v>
      </c>
      <c r="L224" t="s">
        <v>323</v>
      </c>
      <c r="M224" t="s">
        <v>65</v>
      </c>
      <c r="N224" t="s">
        <v>66</v>
      </c>
      <c r="O224" s="2">
        <v>46118</v>
      </c>
      <c r="P224" s="1">
        <v>55</v>
      </c>
      <c r="Q224" t="s">
        <v>67</v>
      </c>
      <c r="R224">
        <v>1.59</v>
      </c>
      <c r="S224">
        <v>0.32</v>
      </c>
      <c r="T224">
        <v>0.06</v>
      </c>
      <c r="U224">
        <v>53.35</v>
      </c>
      <c r="V224" s="1">
        <v>0</v>
      </c>
      <c r="X224">
        <v>20260407</v>
      </c>
      <c r="Z224" t="s">
        <v>72</v>
      </c>
      <c r="AA224">
        <v>3974527</v>
      </c>
      <c r="AB224" t="s">
        <v>93</v>
      </c>
      <c r="AE224" s="3">
        <v>0.53997685185185185</v>
      </c>
      <c r="AF224" t="s">
        <v>70</v>
      </c>
    </row>
    <row r="225" spans="1:32">
      <c r="A225">
        <v>1023366</v>
      </c>
      <c r="B225" t="s">
        <v>75</v>
      </c>
      <c r="C225" t="s">
        <v>62</v>
      </c>
      <c r="D225" s="2">
        <v>46118</v>
      </c>
      <c r="E225" s="2">
        <v>46118</v>
      </c>
      <c r="G225">
        <v>353</v>
      </c>
      <c r="H225" t="s">
        <v>63</v>
      </c>
      <c r="I225">
        <v>7010</v>
      </c>
      <c r="J225">
        <v>428203</v>
      </c>
      <c r="L225" t="s">
        <v>324</v>
      </c>
      <c r="M225" t="s">
        <v>65</v>
      </c>
      <c r="N225" t="s">
        <v>66</v>
      </c>
      <c r="O225" s="2">
        <v>46118</v>
      </c>
      <c r="P225" s="1">
        <v>89.9</v>
      </c>
      <c r="Q225" t="s">
        <v>67</v>
      </c>
      <c r="R225">
        <v>2.6</v>
      </c>
      <c r="S225">
        <v>1.1599999999999999</v>
      </c>
      <c r="T225">
        <v>0.21</v>
      </c>
      <c r="U225">
        <v>87.09</v>
      </c>
      <c r="V225" s="1">
        <v>0</v>
      </c>
      <c r="X225">
        <v>20260407</v>
      </c>
      <c r="Z225" t="s">
        <v>68</v>
      </c>
      <c r="AA225">
        <v>3974527</v>
      </c>
      <c r="AB225" t="s">
        <v>77</v>
      </c>
      <c r="AE225" s="3">
        <v>0.56740740740740736</v>
      </c>
      <c r="AF225" t="s">
        <v>70</v>
      </c>
    </row>
    <row r="226" spans="1:32">
      <c r="A226">
        <v>1023366</v>
      </c>
      <c r="B226" t="s">
        <v>75</v>
      </c>
      <c r="C226" t="s">
        <v>62</v>
      </c>
      <c r="D226" s="2">
        <v>46118</v>
      </c>
      <c r="E226" s="2">
        <v>46118</v>
      </c>
      <c r="G226">
        <v>353</v>
      </c>
      <c r="H226">
        <v>65656565</v>
      </c>
      <c r="I226">
        <v>7012</v>
      </c>
      <c r="J226">
        <v>777512</v>
      </c>
      <c r="L226" t="s">
        <v>325</v>
      </c>
      <c r="M226" t="s">
        <v>65</v>
      </c>
      <c r="N226" t="s">
        <v>66</v>
      </c>
      <c r="O226" s="2">
        <v>46118</v>
      </c>
      <c r="P226" s="1">
        <v>89.9</v>
      </c>
      <c r="Q226" t="s">
        <v>67</v>
      </c>
      <c r="R226">
        <v>2.59</v>
      </c>
      <c r="S226">
        <v>1.1499999999999999</v>
      </c>
      <c r="T226">
        <v>0.21</v>
      </c>
      <c r="U226">
        <v>87.1</v>
      </c>
      <c r="V226" s="1">
        <v>0</v>
      </c>
      <c r="X226">
        <v>20260407</v>
      </c>
      <c r="Z226" t="s">
        <v>68</v>
      </c>
      <c r="AA226">
        <v>3974527</v>
      </c>
      <c r="AB226" t="s">
        <v>77</v>
      </c>
      <c r="AD226" t="s">
        <v>298</v>
      </c>
      <c r="AE226" s="3">
        <v>0.57201388888888893</v>
      </c>
      <c r="AF226" t="s">
        <v>70</v>
      </c>
    </row>
    <row r="227" spans="1:32">
      <c r="A227">
        <v>1023366</v>
      </c>
      <c r="B227" t="s">
        <v>75</v>
      </c>
      <c r="C227" t="s">
        <v>62</v>
      </c>
      <c r="D227" s="2">
        <v>46118</v>
      </c>
      <c r="E227" s="2">
        <v>46118</v>
      </c>
      <c r="G227">
        <v>353</v>
      </c>
      <c r="H227" t="s">
        <v>63</v>
      </c>
      <c r="I227">
        <v>7017</v>
      </c>
      <c r="J227">
        <v>288527</v>
      </c>
      <c r="L227" t="s">
        <v>326</v>
      </c>
      <c r="M227" t="s">
        <v>65</v>
      </c>
      <c r="N227" t="s">
        <v>66</v>
      </c>
      <c r="O227" s="2">
        <v>46118</v>
      </c>
      <c r="P227" s="1">
        <v>129</v>
      </c>
      <c r="Q227" t="s">
        <v>67</v>
      </c>
      <c r="R227">
        <v>3.73</v>
      </c>
      <c r="S227">
        <v>1.67</v>
      </c>
      <c r="T227">
        <v>0.3</v>
      </c>
      <c r="U227">
        <v>124.97</v>
      </c>
      <c r="V227" s="1">
        <v>0</v>
      </c>
      <c r="X227">
        <v>20260407</v>
      </c>
      <c r="Z227" t="s">
        <v>68</v>
      </c>
      <c r="AA227">
        <v>3974527</v>
      </c>
      <c r="AB227" t="s">
        <v>93</v>
      </c>
      <c r="AE227" s="3">
        <v>0.58460648148148153</v>
      </c>
      <c r="AF227" t="s">
        <v>70</v>
      </c>
    </row>
    <row r="228" spans="1:32">
      <c r="A228">
        <v>1023366</v>
      </c>
      <c r="B228" t="s">
        <v>75</v>
      </c>
      <c r="C228" t="s">
        <v>62</v>
      </c>
      <c r="D228" s="2">
        <v>46118</v>
      </c>
      <c r="E228" s="2">
        <v>46118</v>
      </c>
      <c r="G228">
        <v>353</v>
      </c>
      <c r="H228" t="s">
        <v>63</v>
      </c>
      <c r="I228">
        <v>7019</v>
      </c>
      <c r="J228">
        <v>63684</v>
      </c>
      <c r="L228" t="s">
        <v>327</v>
      </c>
      <c r="M228" t="s">
        <v>65</v>
      </c>
      <c r="N228" t="s">
        <v>66</v>
      </c>
      <c r="O228" s="2">
        <v>46118</v>
      </c>
      <c r="P228" s="1">
        <v>149</v>
      </c>
      <c r="Q228" t="s">
        <v>67</v>
      </c>
      <c r="R228">
        <v>4.3099999999999996</v>
      </c>
      <c r="S228">
        <v>1.93</v>
      </c>
      <c r="T228">
        <v>0.35</v>
      </c>
      <c r="U228">
        <v>144.34</v>
      </c>
      <c r="V228" s="1">
        <v>0</v>
      </c>
      <c r="X228">
        <v>20260407</v>
      </c>
      <c r="Z228" t="s">
        <v>68</v>
      </c>
      <c r="AA228">
        <v>3974527</v>
      </c>
      <c r="AB228" t="s">
        <v>77</v>
      </c>
      <c r="AE228" s="3">
        <v>0.59275462962962966</v>
      </c>
      <c r="AF228" t="s">
        <v>70</v>
      </c>
    </row>
    <row r="229" spans="1:32">
      <c r="A229">
        <v>1023366</v>
      </c>
      <c r="B229" t="s">
        <v>75</v>
      </c>
      <c r="C229" t="s">
        <v>62</v>
      </c>
      <c r="D229" s="2">
        <v>46118</v>
      </c>
      <c r="E229" s="2">
        <v>46118</v>
      </c>
      <c r="G229">
        <v>353</v>
      </c>
      <c r="H229" t="s">
        <v>63</v>
      </c>
      <c r="I229">
        <v>7021</v>
      </c>
      <c r="J229">
        <v>81864</v>
      </c>
      <c r="L229" t="s">
        <v>328</v>
      </c>
      <c r="M229" t="s">
        <v>65</v>
      </c>
      <c r="N229" t="s">
        <v>66</v>
      </c>
      <c r="O229" s="2">
        <v>46118</v>
      </c>
      <c r="P229" s="1">
        <v>672</v>
      </c>
      <c r="Q229" t="s">
        <v>67</v>
      </c>
      <c r="R229">
        <v>19.420000000000002</v>
      </c>
      <c r="S229">
        <v>3.96</v>
      </c>
      <c r="T229">
        <v>0.71</v>
      </c>
      <c r="U229">
        <v>651.87</v>
      </c>
      <c r="V229" s="1">
        <v>0</v>
      </c>
      <c r="X229">
        <v>20260407</v>
      </c>
      <c r="Z229" t="s">
        <v>72</v>
      </c>
      <c r="AA229">
        <v>3974527</v>
      </c>
      <c r="AB229" t="s">
        <v>77</v>
      </c>
      <c r="AE229" s="3">
        <v>0.672337962962963</v>
      </c>
      <c r="AF229" t="s">
        <v>70</v>
      </c>
    </row>
    <row r="230" spans="1:32">
      <c r="A230">
        <v>1023366</v>
      </c>
      <c r="B230" t="s">
        <v>75</v>
      </c>
      <c r="C230" t="s">
        <v>62</v>
      </c>
      <c r="D230" s="2">
        <v>46118</v>
      </c>
      <c r="E230" s="2">
        <v>46118</v>
      </c>
      <c r="G230">
        <v>353</v>
      </c>
      <c r="H230" t="s">
        <v>63</v>
      </c>
      <c r="I230">
        <v>7024</v>
      </c>
      <c r="J230">
        <v>753598</v>
      </c>
      <c r="L230" t="s">
        <v>329</v>
      </c>
      <c r="M230" t="s">
        <v>96</v>
      </c>
      <c r="N230" t="s">
        <v>66</v>
      </c>
      <c r="O230" s="2">
        <v>46118</v>
      </c>
      <c r="P230" s="1">
        <v>349</v>
      </c>
      <c r="Q230" t="s">
        <v>67</v>
      </c>
      <c r="R230">
        <v>13.61</v>
      </c>
      <c r="S230">
        <v>6.7</v>
      </c>
      <c r="T230">
        <v>1.21</v>
      </c>
      <c r="U230">
        <v>334.18</v>
      </c>
      <c r="V230" s="1">
        <v>0</v>
      </c>
      <c r="X230">
        <v>20260407</v>
      </c>
      <c r="Z230" t="s">
        <v>68</v>
      </c>
      <c r="AA230">
        <v>3974527</v>
      </c>
      <c r="AB230" t="s">
        <v>97</v>
      </c>
      <c r="AE230" s="3">
        <v>0.71159722222222221</v>
      </c>
      <c r="AF230" t="s">
        <v>70</v>
      </c>
    </row>
    <row r="231" spans="1:32">
      <c r="A231">
        <v>1023366</v>
      </c>
      <c r="B231" t="s">
        <v>75</v>
      </c>
      <c r="C231" t="s">
        <v>62</v>
      </c>
      <c r="D231" s="2">
        <v>46118</v>
      </c>
      <c r="E231" s="2">
        <v>46118</v>
      </c>
      <c r="G231">
        <v>353</v>
      </c>
      <c r="H231" t="s">
        <v>63</v>
      </c>
      <c r="I231">
        <v>7026</v>
      </c>
      <c r="J231">
        <v>38897</v>
      </c>
      <c r="L231" t="s">
        <v>330</v>
      </c>
      <c r="M231" t="s">
        <v>65</v>
      </c>
      <c r="N231" t="s">
        <v>66</v>
      </c>
      <c r="O231" s="2">
        <v>46118</v>
      </c>
      <c r="P231" s="1">
        <v>55</v>
      </c>
      <c r="Q231" t="s">
        <v>67</v>
      </c>
      <c r="R231">
        <v>1.59</v>
      </c>
      <c r="S231">
        <v>0.43</v>
      </c>
      <c r="T231">
        <v>0.08</v>
      </c>
      <c r="U231">
        <v>53.33</v>
      </c>
      <c r="V231" s="1">
        <v>0</v>
      </c>
      <c r="X231">
        <v>20260407</v>
      </c>
      <c r="Z231" t="s">
        <v>72</v>
      </c>
      <c r="AA231">
        <v>3974527</v>
      </c>
      <c r="AB231" t="s">
        <v>84</v>
      </c>
      <c r="AE231" s="3">
        <v>0.71854166666666663</v>
      </c>
      <c r="AF231" t="s">
        <v>70</v>
      </c>
    </row>
    <row r="232" spans="1:32">
      <c r="A232">
        <v>1023366</v>
      </c>
      <c r="B232" t="s">
        <v>75</v>
      </c>
      <c r="C232" t="s">
        <v>62</v>
      </c>
      <c r="D232" s="2">
        <v>46118</v>
      </c>
      <c r="E232" s="2">
        <v>46118</v>
      </c>
      <c r="G232">
        <v>353</v>
      </c>
      <c r="H232" t="s">
        <v>63</v>
      </c>
      <c r="I232">
        <v>7028</v>
      </c>
      <c r="J232">
        <v>942909</v>
      </c>
      <c r="K232">
        <v>3</v>
      </c>
      <c r="L232" t="s">
        <v>331</v>
      </c>
      <c r="M232" t="s">
        <v>65</v>
      </c>
      <c r="N232" t="s">
        <v>66</v>
      </c>
      <c r="O232" s="2">
        <v>46118</v>
      </c>
      <c r="P232" s="1">
        <v>1799</v>
      </c>
      <c r="Q232" t="s">
        <v>67</v>
      </c>
      <c r="R232">
        <v>83.47</v>
      </c>
      <c r="S232">
        <v>7.01</v>
      </c>
      <c r="T232">
        <v>1.26</v>
      </c>
      <c r="U232">
        <v>1714.27</v>
      </c>
      <c r="V232" s="1">
        <v>0</v>
      </c>
      <c r="X232">
        <v>20260407</v>
      </c>
      <c r="Z232" t="s">
        <v>72</v>
      </c>
      <c r="AA232">
        <v>3974527</v>
      </c>
      <c r="AB232" t="s">
        <v>93</v>
      </c>
      <c r="AC232" t="s">
        <v>120</v>
      </c>
      <c r="AE232" s="3">
        <v>0.72425925925925927</v>
      </c>
      <c r="AF232" t="s">
        <v>70</v>
      </c>
    </row>
    <row r="233" spans="1:32">
      <c r="A233">
        <v>1023366</v>
      </c>
      <c r="B233" t="s">
        <v>75</v>
      </c>
      <c r="C233" t="s">
        <v>62</v>
      </c>
      <c r="D233" s="2">
        <v>46118</v>
      </c>
      <c r="E233" s="2">
        <v>46118</v>
      </c>
      <c r="G233">
        <v>353</v>
      </c>
      <c r="H233" t="s">
        <v>63</v>
      </c>
      <c r="I233">
        <v>7030</v>
      </c>
      <c r="J233">
        <v>432385</v>
      </c>
      <c r="L233" t="s">
        <v>332</v>
      </c>
      <c r="M233" t="s">
        <v>65</v>
      </c>
      <c r="N233" t="s">
        <v>66</v>
      </c>
      <c r="O233" s="2">
        <v>46118</v>
      </c>
      <c r="P233" s="1">
        <v>199</v>
      </c>
      <c r="Q233" t="s">
        <v>67</v>
      </c>
      <c r="R233">
        <v>5.75</v>
      </c>
      <c r="S233">
        <v>2.57</v>
      </c>
      <c r="T233">
        <v>0.46</v>
      </c>
      <c r="U233">
        <v>192.79</v>
      </c>
      <c r="V233" s="1">
        <v>0</v>
      </c>
      <c r="X233">
        <v>20260407</v>
      </c>
      <c r="Z233" t="s">
        <v>68</v>
      </c>
      <c r="AA233">
        <v>3974527</v>
      </c>
      <c r="AB233" t="s">
        <v>79</v>
      </c>
      <c r="AE233" s="3">
        <v>0.72574074074074069</v>
      </c>
      <c r="AF233" t="s">
        <v>70</v>
      </c>
    </row>
    <row r="234" spans="1:32">
      <c r="A234">
        <v>1023366</v>
      </c>
      <c r="B234" t="s">
        <v>75</v>
      </c>
      <c r="C234" t="s">
        <v>62</v>
      </c>
      <c r="D234" s="2">
        <v>46118</v>
      </c>
      <c r="E234" s="2">
        <v>46118</v>
      </c>
      <c r="G234">
        <v>353</v>
      </c>
      <c r="H234" t="s">
        <v>63</v>
      </c>
      <c r="I234">
        <v>7033</v>
      </c>
      <c r="J234">
        <v>210179</v>
      </c>
      <c r="L234" t="s">
        <v>333</v>
      </c>
      <c r="M234" t="s">
        <v>65</v>
      </c>
      <c r="N234" t="s">
        <v>66</v>
      </c>
      <c r="O234" s="2">
        <v>46118</v>
      </c>
      <c r="P234" s="1">
        <v>89.9</v>
      </c>
      <c r="Q234" t="s">
        <v>67</v>
      </c>
      <c r="R234">
        <v>2.6</v>
      </c>
      <c r="S234">
        <v>1.1599999999999999</v>
      </c>
      <c r="T234">
        <v>0.21</v>
      </c>
      <c r="U234">
        <v>87.09</v>
      </c>
      <c r="V234" s="1">
        <v>0</v>
      </c>
      <c r="X234">
        <v>20260407</v>
      </c>
      <c r="Z234" t="s">
        <v>68</v>
      </c>
      <c r="AA234">
        <v>3974527</v>
      </c>
      <c r="AB234" t="s">
        <v>81</v>
      </c>
      <c r="AE234" s="3">
        <v>0.74606481481481479</v>
      </c>
      <c r="AF234" t="s">
        <v>70</v>
      </c>
    </row>
    <row r="235" spans="1:32">
      <c r="A235">
        <v>1023366</v>
      </c>
      <c r="B235" t="s">
        <v>75</v>
      </c>
      <c r="C235" t="s">
        <v>62</v>
      </c>
      <c r="D235" s="2">
        <v>46118</v>
      </c>
      <c r="E235" s="2">
        <v>46118</v>
      </c>
      <c r="G235">
        <v>353</v>
      </c>
      <c r="H235" t="s">
        <v>63</v>
      </c>
      <c r="I235">
        <v>7038</v>
      </c>
      <c r="J235">
        <v>580300</v>
      </c>
      <c r="L235" t="s">
        <v>334</v>
      </c>
      <c r="M235" t="s">
        <v>65</v>
      </c>
      <c r="N235" t="s">
        <v>66</v>
      </c>
      <c r="O235" s="2">
        <v>46118</v>
      </c>
      <c r="P235" s="1">
        <v>1799</v>
      </c>
      <c r="Q235" t="s">
        <v>67</v>
      </c>
      <c r="R235">
        <v>51.99</v>
      </c>
      <c r="S235">
        <v>23.21</v>
      </c>
      <c r="T235">
        <v>4.18</v>
      </c>
      <c r="U235">
        <v>1742.83</v>
      </c>
      <c r="V235" s="1">
        <v>0</v>
      </c>
      <c r="X235">
        <v>20260407</v>
      </c>
      <c r="Z235" t="s">
        <v>68</v>
      </c>
      <c r="AA235">
        <v>3974527</v>
      </c>
      <c r="AB235" t="s">
        <v>81</v>
      </c>
      <c r="AE235" s="3">
        <v>0.77375000000000005</v>
      </c>
      <c r="AF235" t="s">
        <v>70</v>
      </c>
    </row>
    <row r="236" spans="1:32">
      <c r="A236">
        <v>1023366</v>
      </c>
      <c r="B236" t="s">
        <v>75</v>
      </c>
      <c r="C236" t="s">
        <v>62</v>
      </c>
      <c r="D236" s="2">
        <v>46118</v>
      </c>
      <c r="E236" s="2">
        <v>46118</v>
      </c>
      <c r="G236">
        <v>353</v>
      </c>
      <c r="H236" t="s">
        <v>63</v>
      </c>
      <c r="I236">
        <v>7040</v>
      </c>
      <c r="J236">
        <v>351950</v>
      </c>
      <c r="L236" t="s">
        <v>335</v>
      </c>
      <c r="M236" t="s">
        <v>65</v>
      </c>
      <c r="N236" t="s">
        <v>66</v>
      </c>
      <c r="O236" s="2">
        <v>46118</v>
      </c>
      <c r="P236" s="1">
        <v>89.9</v>
      </c>
      <c r="Q236" t="s">
        <v>67</v>
      </c>
      <c r="R236">
        <v>2.6</v>
      </c>
      <c r="S236">
        <v>0.71</v>
      </c>
      <c r="T236">
        <v>0.13</v>
      </c>
      <c r="U236">
        <v>87.17</v>
      </c>
      <c r="V236" s="1">
        <v>0</v>
      </c>
      <c r="X236">
        <v>20260407</v>
      </c>
      <c r="Z236" t="s">
        <v>72</v>
      </c>
      <c r="AA236">
        <v>3974527</v>
      </c>
      <c r="AB236" t="s">
        <v>77</v>
      </c>
      <c r="AE236" s="3">
        <v>0.77436342592592589</v>
      </c>
      <c r="AF236" t="s">
        <v>70</v>
      </c>
    </row>
    <row r="237" spans="1:32">
      <c r="A237">
        <v>1023366</v>
      </c>
      <c r="B237" t="s">
        <v>75</v>
      </c>
      <c r="C237" t="s">
        <v>62</v>
      </c>
      <c r="D237" s="2">
        <v>46118</v>
      </c>
      <c r="E237" s="2">
        <v>46118</v>
      </c>
      <c r="G237">
        <v>353</v>
      </c>
      <c r="H237" t="s">
        <v>63</v>
      </c>
      <c r="I237">
        <v>7042</v>
      </c>
      <c r="J237">
        <v>362783</v>
      </c>
      <c r="L237" t="s">
        <v>336</v>
      </c>
      <c r="M237" t="s">
        <v>65</v>
      </c>
      <c r="N237" t="s">
        <v>66</v>
      </c>
      <c r="O237" s="2">
        <v>46118</v>
      </c>
      <c r="P237" s="1">
        <v>179</v>
      </c>
      <c r="Q237" t="s">
        <v>67</v>
      </c>
      <c r="R237">
        <v>5.17</v>
      </c>
      <c r="S237">
        <v>0.69</v>
      </c>
      <c r="T237">
        <v>0.12</v>
      </c>
      <c r="U237">
        <v>173.71</v>
      </c>
      <c r="V237" s="1">
        <v>0</v>
      </c>
      <c r="X237">
        <v>20260407</v>
      </c>
      <c r="Z237" t="s">
        <v>72</v>
      </c>
      <c r="AA237">
        <v>3974527</v>
      </c>
      <c r="AB237" t="s">
        <v>77</v>
      </c>
      <c r="AE237" s="3">
        <v>0.77521990740740743</v>
      </c>
      <c r="AF237" t="s">
        <v>70</v>
      </c>
    </row>
    <row r="238" spans="1:32">
      <c r="A238">
        <v>1023366</v>
      </c>
      <c r="B238" t="s">
        <v>75</v>
      </c>
      <c r="C238" t="s">
        <v>62</v>
      </c>
      <c r="D238" s="2">
        <v>46118</v>
      </c>
      <c r="E238" s="2">
        <v>46118</v>
      </c>
      <c r="G238">
        <v>353</v>
      </c>
      <c r="H238" t="s">
        <v>63</v>
      </c>
      <c r="I238">
        <v>7044</v>
      </c>
      <c r="J238">
        <v>265815</v>
      </c>
      <c r="L238" t="s">
        <v>337</v>
      </c>
      <c r="M238" t="s">
        <v>65</v>
      </c>
      <c r="N238" t="s">
        <v>66</v>
      </c>
      <c r="O238" s="2">
        <v>46118</v>
      </c>
      <c r="P238" s="1">
        <v>2949</v>
      </c>
      <c r="Q238" t="s">
        <v>67</v>
      </c>
      <c r="R238">
        <v>85.23</v>
      </c>
      <c r="S238">
        <v>38.049999999999997</v>
      </c>
      <c r="T238">
        <v>6.85</v>
      </c>
      <c r="U238">
        <v>2856.92</v>
      </c>
      <c r="V238" s="1">
        <v>0</v>
      </c>
      <c r="X238">
        <v>20260407</v>
      </c>
      <c r="Z238" t="s">
        <v>68</v>
      </c>
      <c r="AA238">
        <v>3974527</v>
      </c>
      <c r="AB238" t="s">
        <v>93</v>
      </c>
      <c r="AE238" s="3">
        <v>0.78054398148148152</v>
      </c>
      <c r="AF238" t="s">
        <v>70</v>
      </c>
    </row>
    <row r="239" spans="1:32">
      <c r="A239">
        <v>1023366</v>
      </c>
      <c r="B239" t="s">
        <v>75</v>
      </c>
      <c r="C239" t="s">
        <v>62</v>
      </c>
      <c r="D239" s="2">
        <v>46118</v>
      </c>
      <c r="E239" s="2">
        <v>46118</v>
      </c>
      <c r="G239">
        <v>353</v>
      </c>
      <c r="H239" t="s">
        <v>63</v>
      </c>
      <c r="I239">
        <v>7051</v>
      </c>
      <c r="J239">
        <v>337943</v>
      </c>
      <c r="K239">
        <v>3</v>
      </c>
      <c r="L239" t="s">
        <v>338</v>
      </c>
      <c r="M239" t="s">
        <v>65</v>
      </c>
      <c r="N239" t="s">
        <v>66</v>
      </c>
      <c r="O239" s="2">
        <v>46118</v>
      </c>
      <c r="P239" s="1">
        <v>1799</v>
      </c>
      <c r="Q239" t="s">
        <v>67</v>
      </c>
      <c r="R239">
        <v>83.47</v>
      </c>
      <c r="S239">
        <v>14.21</v>
      </c>
      <c r="T239">
        <v>2.56</v>
      </c>
      <c r="U239">
        <v>1712.97</v>
      </c>
      <c r="V239" s="1">
        <v>0</v>
      </c>
      <c r="X239">
        <v>20260407</v>
      </c>
      <c r="Z239" t="s">
        <v>72</v>
      </c>
      <c r="AA239">
        <v>3974527</v>
      </c>
      <c r="AB239" t="s">
        <v>93</v>
      </c>
      <c r="AC239" t="s">
        <v>120</v>
      </c>
      <c r="AE239" s="3">
        <v>0.7923958333333333</v>
      </c>
      <c r="AF239" t="s">
        <v>70</v>
      </c>
    </row>
    <row r="240" spans="1:32">
      <c r="A240">
        <v>1023366</v>
      </c>
      <c r="B240" t="s">
        <v>75</v>
      </c>
      <c r="C240" t="s">
        <v>62</v>
      </c>
      <c r="D240" s="2">
        <v>46118</v>
      </c>
      <c r="E240" s="2">
        <v>46118</v>
      </c>
      <c r="G240">
        <v>353</v>
      </c>
      <c r="H240">
        <v>65656565</v>
      </c>
      <c r="I240">
        <v>7055</v>
      </c>
      <c r="J240">
        <v>900329</v>
      </c>
      <c r="L240" t="s">
        <v>339</v>
      </c>
      <c r="M240" t="s">
        <v>65</v>
      </c>
      <c r="N240" t="s">
        <v>66</v>
      </c>
      <c r="O240" s="2">
        <v>46118</v>
      </c>
      <c r="P240" s="1">
        <v>89.9</v>
      </c>
      <c r="Q240" t="s">
        <v>67</v>
      </c>
      <c r="R240">
        <v>2.59</v>
      </c>
      <c r="S240">
        <v>1.1499999999999999</v>
      </c>
      <c r="T240">
        <v>0.21</v>
      </c>
      <c r="U240">
        <v>87.1</v>
      </c>
      <c r="V240" s="1">
        <v>0</v>
      </c>
      <c r="X240">
        <v>20260407</v>
      </c>
      <c r="Z240" t="s">
        <v>68</v>
      </c>
      <c r="AA240">
        <v>3974527</v>
      </c>
      <c r="AB240" t="s">
        <v>77</v>
      </c>
      <c r="AD240" t="s">
        <v>298</v>
      </c>
      <c r="AE240" s="3">
        <v>0.81657407407407412</v>
      </c>
      <c r="AF240" t="s">
        <v>70</v>
      </c>
    </row>
    <row r="241" spans="1:42">
      <c r="A241">
        <v>1023366</v>
      </c>
      <c r="B241" t="s">
        <v>75</v>
      </c>
      <c r="C241" t="s">
        <v>62</v>
      </c>
      <c r="D241" s="2">
        <v>46118</v>
      </c>
      <c r="E241" s="2">
        <v>46118</v>
      </c>
      <c r="G241">
        <v>353</v>
      </c>
      <c r="H241" t="s">
        <v>63</v>
      </c>
      <c r="I241">
        <v>7058</v>
      </c>
      <c r="J241">
        <v>256202</v>
      </c>
      <c r="L241" t="s">
        <v>340</v>
      </c>
      <c r="M241" t="s">
        <v>65</v>
      </c>
      <c r="N241" t="s">
        <v>66</v>
      </c>
      <c r="O241" s="2">
        <v>46118</v>
      </c>
      <c r="P241" s="1">
        <v>149</v>
      </c>
      <c r="Q241" t="s">
        <v>67</v>
      </c>
      <c r="R241">
        <v>4.3099999999999996</v>
      </c>
      <c r="S241">
        <v>1.93</v>
      </c>
      <c r="T241">
        <v>0.35</v>
      </c>
      <c r="U241">
        <v>144.34</v>
      </c>
      <c r="V241" s="1">
        <v>0</v>
      </c>
      <c r="X241">
        <v>20260407</v>
      </c>
      <c r="Z241" t="s">
        <v>68</v>
      </c>
      <c r="AA241">
        <v>3974527</v>
      </c>
      <c r="AB241" t="s">
        <v>84</v>
      </c>
      <c r="AE241" s="3">
        <v>0.81769675925925922</v>
      </c>
      <c r="AF241" t="s">
        <v>70</v>
      </c>
    </row>
    <row r="242" spans="1:42">
      <c r="A242">
        <v>1023366</v>
      </c>
      <c r="B242" t="s">
        <v>75</v>
      </c>
      <c r="C242" t="s">
        <v>62</v>
      </c>
      <c r="D242" s="2">
        <v>46118</v>
      </c>
      <c r="E242" s="2">
        <v>46118</v>
      </c>
      <c r="G242">
        <v>353</v>
      </c>
      <c r="H242" t="s">
        <v>63</v>
      </c>
      <c r="I242">
        <v>7060</v>
      </c>
      <c r="J242">
        <v>576603</v>
      </c>
      <c r="L242" t="s">
        <v>341</v>
      </c>
      <c r="M242" t="s">
        <v>65</v>
      </c>
      <c r="N242" t="s">
        <v>66</v>
      </c>
      <c r="O242" s="2">
        <v>46118</v>
      </c>
      <c r="P242" s="1">
        <v>109</v>
      </c>
      <c r="Q242" t="s">
        <v>67</v>
      </c>
      <c r="R242">
        <v>3.15</v>
      </c>
      <c r="S242">
        <v>0.64</v>
      </c>
      <c r="T242">
        <v>0.12</v>
      </c>
      <c r="U242">
        <v>105.73</v>
      </c>
      <c r="V242" s="1">
        <v>0</v>
      </c>
      <c r="X242">
        <v>20260407</v>
      </c>
      <c r="Z242" t="s">
        <v>72</v>
      </c>
      <c r="AA242">
        <v>3974527</v>
      </c>
      <c r="AB242" t="s">
        <v>93</v>
      </c>
      <c r="AE242" s="3">
        <v>0.83243055555555556</v>
      </c>
      <c r="AF242" t="s">
        <v>70</v>
      </c>
    </row>
    <row r="243" spans="1:42">
      <c r="A243">
        <v>1023366</v>
      </c>
      <c r="B243" t="s">
        <v>75</v>
      </c>
      <c r="C243" t="s">
        <v>62</v>
      </c>
      <c r="D243" s="2">
        <v>46118</v>
      </c>
      <c r="E243" s="2">
        <v>46118</v>
      </c>
      <c r="G243">
        <v>353</v>
      </c>
      <c r="H243" t="s">
        <v>63</v>
      </c>
      <c r="I243">
        <v>7063</v>
      </c>
      <c r="J243">
        <v>658821</v>
      </c>
      <c r="L243" t="s">
        <v>342</v>
      </c>
      <c r="M243" t="s">
        <v>65</v>
      </c>
      <c r="N243" t="s">
        <v>66</v>
      </c>
      <c r="O243" s="2">
        <v>46118</v>
      </c>
      <c r="P243" s="1">
        <v>55</v>
      </c>
      <c r="Q243" t="s">
        <v>67</v>
      </c>
      <c r="R243">
        <v>1.59</v>
      </c>
      <c r="S243">
        <v>0.71</v>
      </c>
      <c r="T243">
        <v>0.13</v>
      </c>
      <c r="U243">
        <v>53.28</v>
      </c>
      <c r="V243" s="1">
        <v>0</v>
      </c>
      <c r="X243">
        <v>20260407</v>
      </c>
      <c r="Z243" t="s">
        <v>68</v>
      </c>
      <c r="AA243">
        <v>3974527</v>
      </c>
      <c r="AB243" t="s">
        <v>81</v>
      </c>
      <c r="AE243" s="3">
        <v>0.8472453703703704</v>
      </c>
      <c r="AF243" t="s">
        <v>70</v>
      </c>
    </row>
    <row r="244" spans="1:42">
      <c r="A244">
        <v>1023366</v>
      </c>
      <c r="B244" t="s">
        <v>75</v>
      </c>
      <c r="C244" t="s">
        <v>62</v>
      </c>
      <c r="D244" s="2">
        <v>46118</v>
      </c>
      <c r="E244" s="2">
        <v>46118</v>
      </c>
      <c r="G244">
        <v>353</v>
      </c>
      <c r="H244" t="s">
        <v>63</v>
      </c>
      <c r="I244">
        <v>7065</v>
      </c>
      <c r="J244">
        <v>732128</v>
      </c>
      <c r="L244" t="s">
        <v>343</v>
      </c>
      <c r="M244" t="s">
        <v>65</v>
      </c>
      <c r="N244" t="s">
        <v>66</v>
      </c>
      <c r="O244" s="2">
        <v>46118</v>
      </c>
      <c r="P244" s="1">
        <v>1999</v>
      </c>
      <c r="Q244" t="s">
        <v>67</v>
      </c>
      <c r="R244">
        <v>57.77</v>
      </c>
      <c r="S244">
        <v>15.79</v>
      </c>
      <c r="T244">
        <v>2.84</v>
      </c>
      <c r="U244">
        <v>1938.39</v>
      </c>
      <c r="V244" s="1">
        <v>0</v>
      </c>
      <c r="X244">
        <v>20260407</v>
      </c>
      <c r="Z244" t="s">
        <v>68</v>
      </c>
      <c r="AA244">
        <v>3974527</v>
      </c>
      <c r="AB244" t="s">
        <v>77</v>
      </c>
      <c r="AE244" s="3">
        <v>0.85386574074074073</v>
      </c>
      <c r="AF244" t="s">
        <v>70</v>
      </c>
    </row>
    <row r="245" spans="1:42">
      <c r="A245">
        <v>1023366</v>
      </c>
      <c r="B245" t="s">
        <v>75</v>
      </c>
      <c r="C245" t="s">
        <v>62</v>
      </c>
      <c r="D245" s="2">
        <v>46118</v>
      </c>
      <c r="E245" s="2">
        <v>46118</v>
      </c>
      <c r="G245">
        <v>353</v>
      </c>
      <c r="H245" t="s">
        <v>63</v>
      </c>
      <c r="I245">
        <v>7067</v>
      </c>
      <c r="J245">
        <v>803336</v>
      </c>
      <c r="L245" t="s">
        <v>344</v>
      </c>
      <c r="M245" t="s">
        <v>65</v>
      </c>
      <c r="N245" t="s">
        <v>66</v>
      </c>
      <c r="O245" s="2">
        <v>46118</v>
      </c>
      <c r="P245" s="1">
        <v>89</v>
      </c>
      <c r="Q245" t="s">
        <v>67</v>
      </c>
      <c r="R245">
        <v>2.57</v>
      </c>
      <c r="S245">
        <v>1.1499999999999999</v>
      </c>
      <c r="T245">
        <v>0.21</v>
      </c>
      <c r="U245">
        <v>86.22</v>
      </c>
      <c r="V245" s="1">
        <v>0</v>
      </c>
      <c r="X245">
        <v>20260407</v>
      </c>
      <c r="Z245" t="s">
        <v>68</v>
      </c>
      <c r="AA245">
        <v>3974527</v>
      </c>
      <c r="AB245" t="s">
        <v>79</v>
      </c>
      <c r="AE245" s="3">
        <v>0.85863425925925929</v>
      </c>
      <c r="AF245" t="s">
        <v>70</v>
      </c>
    </row>
    <row r="246" spans="1:42">
      <c r="A246">
        <v>1023366</v>
      </c>
      <c r="B246" t="s">
        <v>75</v>
      </c>
      <c r="C246" t="s">
        <v>62</v>
      </c>
      <c r="D246" s="2">
        <v>46118</v>
      </c>
      <c r="E246" s="2">
        <v>46118</v>
      </c>
      <c r="G246">
        <v>353</v>
      </c>
      <c r="H246" t="s">
        <v>63</v>
      </c>
      <c r="I246">
        <v>7072</v>
      </c>
      <c r="J246">
        <v>581988</v>
      </c>
      <c r="L246" t="s">
        <v>345</v>
      </c>
      <c r="M246" t="s">
        <v>96</v>
      </c>
      <c r="N246" t="s">
        <v>66</v>
      </c>
      <c r="O246" s="2">
        <v>46118</v>
      </c>
      <c r="P246" s="1">
        <v>65</v>
      </c>
      <c r="Q246" t="s">
        <v>67</v>
      </c>
      <c r="R246">
        <v>2.54</v>
      </c>
      <c r="S246">
        <v>1.34</v>
      </c>
      <c r="T246">
        <v>0.24</v>
      </c>
      <c r="U246">
        <v>62.22</v>
      </c>
      <c r="V246" s="1">
        <v>14136.73</v>
      </c>
      <c r="W246" s="2">
        <v>46119</v>
      </c>
      <c r="X246">
        <v>20260407</v>
      </c>
      <c r="Z246" t="s">
        <v>72</v>
      </c>
      <c r="AA246">
        <v>3974527</v>
      </c>
      <c r="AB246" t="s">
        <v>97</v>
      </c>
      <c r="AE246" s="3">
        <v>0.86542824074074076</v>
      </c>
      <c r="AF246" t="s">
        <v>70</v>
      </c>
      <c r="AL246">
        <v>104107</v>
      </c>
      <c r="AM246" s="30">
        <f>+V246</f>
        <v>14136.73</v>
      </c>
      <c r="AN246" t="str">
        <f>_xlfn.XLOOKUP(V246,Bancos!H:H,Bancos!C:C)</f>
        <v>8061392</v>
      </c>
      <c r="AO246" t="str">
        <f>_xlfn.XLOOKUP(AN246,Bancos!C:C,Bancos!A:A)</f>
        <v>07/04/2026</v>
      </c>
      <c r="AP246" s="12">
        <f>+AO246-W246</f>
        <v>0</v>
      </c>
    </row>
    <row r="247" spans="1:42">
      <c r="A247">
        <v>1023366</v>
      </c>
      <c r="B247" t="s">
        <v>61</v>
      </c>
      <c r="C247" t="s">
        <v>62</v>
      </c>
      <c r="D247" s="2">
        <v>46119</v>
      </c>
      <c r="E247" s="2">
        <v>46119</v>
      </c>
      <c r="G247">
        <v>354</v>
      </c>
      <c r="H247" t="s">
        <v>63</v>
      </c>
      <c r="I247">
        <v>7119</v>
      </c>
      <c r="J247">
        <v>72470</v>
      </c>
      <c r="L247" t="s">
        <v>346</v>
      </c>
      <c r="M247" t="s">
        <v>65</v>
      </c>
      <c r="N247" t="s">
        <v>66</v>
      </c>
      <c r="O247" s="2">
        <v>46119</v>
      </c>
      <c r="P247" s="1">
        <v>149</v>
      </c>
      <c r="Q247" t="s">
        <v>67</v>
      </c>
      <c r="R247">
        <v>4.3099999999999996</v>
      </c>
      <c r="S247">
        <v>1.18</v>
      </c>
      <c r="T247">
        <v>0.21</v>
      </c>
      <c r="U247">
        <v>144.47999999999999</v>
      </c>
      <c r="V247" s="1">
        <v>0</v>
      </c>
      <c r="X247">
        <v>20260408</v>
      </c>
      <c r="Z247" t="s">
        <v>72</v>
      </c>
      <c r="AA247">
        <v>3974527</v>
      </c>
      <c r="AB247" t="s">
        <v>73</v>
      </c>
      <c r="AE247" s="3">
        <v>0.53913194444444446</v>
      </c>
      <c r="AF247" t="s">
        <v>70</v>
      </c>
    </row>
    <row r="248" spans="1:42">
      <c r="A248">
        <v>1023366</v>
      </c>
      <c r="B248" t="s">
        <v>61</v>
      </c>
      <c r="C248" t="s">
        <v>62</v>
      </c>
      <c r="D248" s="2">
        <v>46119</v>
      </c>
      <c r="E248" s="2">
        <v>46119</v>
      </c>
      <c r="G248">
        <v>354</v>
      </c>
      <c r="H248" t="s">
        <v>63</v>
      </c>
      <c r="I248">
        <v>7182</v>
      </c>
      <c r="J248">
        <v>835570</v>
      </c>
      <c r="L248" t="s">
        <v>347</v>
      </c>
      <c r="M248" t="s">
        <v>65</v>
      </c>
      <c r="N248" t="s">
        <v>66</v>
      </c>
      <c r="O248" s="2">
        <v>46119</v>
      </c>
      <c r="P248" s="1">
        <v>1499</v>
      </c>
      <c r="Q248" t="s">
        <v>67</v>
      </c>
      <c r="R248">
        <v>43.32</v>
      </c>
      <c r="S248">
        <v>5.0999999999999996</v>
      </c>
      <c r="T248">
        <v>0.92</v>
      </c>
      <c r="U248">
        <v>1454.76</v>
      </c>
      <c r="V248" s="1">
        <v>0</v>
      </c>
      <c r="X248">
        <v>20260408</v>
      </c>
      <c r="Z248" t="s">
        <v>72</v>
      </c>
      <c r="AA248">
        <v>3974527</v>
      </c>
      <c r="AB248" t="s">
        <v>93</v>
      </c>
      <c r="AE248" s="3">
        <v>0.84950231481481486</v>
      </c>
      <c r="AF248" t="s">
        <v>70</v>
      </c>
    </row>
    <row r="249" spans="1:42">
      <c r="A249">
        <v>1023366</v>
      </c>
      <c r="B249" t="s">
        <v>61</v>
      </c>
      <c r="C249" t="s">
        <v>62</v>
      </c>
      <c r="D249" s="2">
        <v>46119</v>
      </c>
      <c r="E249" s="2">
        <v>46119</v>
      </c>
      <c r="G249">
        <v>354</v>
      </c>
      <c r="H249" t="s">
        <v>63</v>
      </c>
      <c r="I249">
        <v>7184</v>
      </c>
      <c r="J249">
        <v>119384</v>
      </c>
      <c r="L249" t="s">
        <v>348</v>
      </c>
      <c r="M249" t="s">
        <v>65</v>
      </c>
      <c r="N249" t="s">
        <v>66</v>
      </c>
      <c r="O249" s="2">
        <v>46119</v>
      </c>
      <c r="P249" s="1">
        <v>158.9</v>
      </c>
      <c r="Q249" t="s">
        <v>67</v>
      </c>
      <c r="R249">
        <v>4.59</v>
      </c>
      <c r="S249">
        <v>1.81</v>
      </c>
      <c r="T249">
        <v>0.33</v>
      </c>
      <c r="U249">
        <v>153.97999999999999</v>
      </c>
      <c r="V249" s="1">
        <v>1753.22</v>
      </c>
      <c r="W249" s="2">
        <v>46120</v>
      </c>
      <c r="X249">
        <v>20260408</v>
      </c>
      <c r="Z249" t="s">
        <v>68</v>
      </c>
      <c r="AA249">
        <v>3974527</v>
      </c>
      <c r="AB249" t="s">
        <v>69</v>
      </c>
      <c r="AE249" s="3">
        <v>0.85681712962962964</v>
      </c>
      <c r="AF249" t="s">
        <v>70</v>
      </c>
      <c r="AL249">
        <v>104107</v>
      </c>
      <c r="AM249" s="30">
        <f>+V249</f>
        <v>1753.22</v>
      </c>
      <c r="AN249" t="str">
        <f>_xlfn.XLOOKUP(V249,Bancos!H:H,Bancos!C:C)</f>
        <v>8014233</v>
      </c>
      <c r="AO249" t="str">
        <f>_xlfn.XLOOKUP(AN249,Bancos!C:C,Bancos!A:A)</f>
        <v>08/04/2026</v>
      </c>
      <c r="AP249" s="12">
        <f>+AO249-W249</f>
        <v>0</v>
      </c>
    </row>
    <row r="250" spans="1:42">
      <c r="A250">
        <v>1023366</v>
      </c>
      <c r="B250" t="s">
        <v>75</v>
      </c>
      <c r="C250" t="s">
        <v>62</v>
      </c>
      <c r="D250" s="2">
        <v>46119</v>
      </c>
      <c r="E250" s="2">
        <v>46119</v>
      </c>
      <c r="G250">
        <v>660</v>
      </c>
      <c r="H250">
        <v>65656565</v>
      </c>
      <c r="I250">
        <v>9132</v>
      </c>
      <c r="J250">
        <v>804109</v>
      </c>
      <c r="L250" t="s">
        <v>349</v>
      </c>
      <c r="M250" t="s">
        <v>65</v>
      </c>
      <c r="N250" t="s">
        <v>66</v>
      </c>
      <c r="O250" s="2">
        <v>46119</v>
      </c>
      <c r="P250" s="1">
        <v>250</v>
      </c>
      <c r="Q250" t="s">
        <v>67</v>
      </c>
      <c r="R250">
        <v>7.22</v>
      </c>
      <c r="S250">
        <v>3.22</v>
      </c>
      <c r="T250">
        <v>0.57999999999999996</v>
      </c>
      <c r="U250">
        <v>242.2</v>
      </c>
      <c r="V250" s="1">
        <v>0</v>
      </c>
      <c r="X250">
        <v>20260408</v>
      </c>
      <c r="Z250" t="s">
        <v>68</v>
      </c>
      <c r="AA250" t="s">
        <v>350</v>
      </c>
      <c r="AB250" t="s">
        <v>79</v>
      </c>
      <c r="AD250" t="s">
        <v>88</v>
      </c>
      <c r="AE250" s="3">
        <v>0.61635416666666665</v>
      </c>
      <c r="AF250" t="s">
        <v>70</v>
      </c>
    </row>
    <row r="251" spans="1:42">
      <c r="A251">
        <v>1023366</v>
      </c>
      <c r="B251" t="s">
        <v>75</v>
      </c>
      <c r="C251" t="s">
        <v>62</v>
      </c>
      <c r="D251" s="2">
        <v>46119</v>
      </c>
      <c r="E251" s="2">
        <v>46119</v>
      </c>
      <c r="G251">
        <v>354</v>
      </c>
      <c r="H251" t="s">
        <v>63</v>
      </c>
      <c r="I251">
        <v>7092</v>
      </c>
      <c r="J251">
        <v>363039</v>
      </c>
      <c r="L251" t="s">
        <v>351</v>
      </c>
      <c r="M251" t="s">
        <v>65</v>
      </c>
      <c r="N251" t="s">
        <v>66</v>
      </c>
      <c r="O251" s="2">
        <v>46119</v>
      </c>
      <c r="P251" s="1">
        <v>189</v>
      </c>
      <c r="Q251" t="s">
        <v>67</v>
      </c>
      <c r="R251">
        <v>5.46</v>
      </c>
      <c r="S251">
        <v>2.44</v>
      </c>
      <c r="T251">
        <v>0.44</v>
      </c>
      <c r="U251">
        <v>183.1</v>
      </c>
      <c r="V251" s="1">
        <v>0</v>
      </c>
      <c r="X251">
        <v>20260408</v>
      </c>
      <c r="Z251" t="s">
        <v>68</v>
      </c>
      <c r="AA251">
        <v>3974527</v>
      </c>
      <c r="AB251" t="s">
        <v>79</v>
      </c>
      <c r="AE251" s="3">
        <v>0.44627314814814817</v>
      </c>
      <c r="AF251" t="s">
        <v>70</v>
      </c>
    </row>
    <row r="252" spans="1:42">
      <c r="A252">
        <v>1023366</v>
      </c>
      <c r="B252" t="s">
        <v>75</v>
      </c>
      <c r="C252" t="s">
        <v>62</v>
      </c>
      <c r="D252" s="2">
        <v>46119</v>
      </c>
      <c r="E252" s="2">
        <v>46119</v>
      </c>
      <c r="G252">
        <v>354</v>
      </c>
      <c r="H252" t="s">
        <v>63</v>
      </c>
      <c r="I252">
        <v>7094</v>
      </c>
      <c r="J252">
        <v>459870</v>
      </c>
      <c r="L252" t="s">
        <v>352</v>
      </c>
      <c r="M252" t="s">
        <v>65</v>
      </c>
      <c r="N252" t="s">
        <v>66</v>
      </c>
      <c r="O252" s="2">
        <v>46119</v>
      </c>
      <c r="P252" s="1">
        <v>89.9</v>
      </c>
      <c r="Q252" t="s">
        <v>67</v>
      </c>
      <c r="R252">
        <v>2.6</v>
      </c>
      <c r="S252">
        <v>1.1599999999999999</v>
      </c>
      <c r="T252">
        <v>0.21</v>
      </c>
      <c r="U252">
        <v>87.09</v>
      </c>
      <c r="V252" s="1">
        <v>0</v>
      </c>
      <c r="X252">
        <v>20260408</v>
      </c>
      <c r="Z252" t="s">
        <v>68</v>
      </c>
      <c r="AA252">
        <v>3974527</v>
      </c>
      <c r="AB252" t="s">
        <v>79</v>
      </c>
      <c r="AE252" s="3">
        <v>0.48871527777777779</v>
      </c>
      <c r="AF252" t="s">
        <v>70</v>
      </c>
    </row>
    <row r="253" spans="1:42">
      <c r="A253">
        <v>1023366</v>
      </c>
      <c r="B253" t="s">
        <v>75</v>
      </c>
      <c r="C253" t="s">
        <v>62</v>
      </c>
      <c r="D253" s="2">
        <v>46119</v>
      </c>
      <c r="E253" s="2">
        <v>46119</v>
      </c>
      <c r="G253">
        <v>354</v>
      </c>
      <c r="H253" t="s">
        <v>63</v>
      </c>
      <c r="I253">
        <v>7100</v>
      </c>
      <c r="J253">
        <v>86563</v>
      </c>
      <c r="K253">
        <v>3</v>
      </c>
      <c r="L253" t="s">
        <v>353</v>
      </c>
      <c r="M253" t="s">
        <v>65</v>
      </c>
      <c r="N253" t="s">
        <v>66</v>
      </c>
      <c r="O253" s="2">
        <v>46119</v>
      </c>
      <c r="P253" s="1">
        <v>49</v>
      </c>
      <c r="Q253" t="s">
        <v>67</v>
      </c>
      <c r="R253">
        <v>2.2799999999999998</v>
      </c>
      <c r="S253">
        <v>0.28999999999999998</v>
      </c>
      <c r="T253">
        <v>0.05</v>
      </c>
      <c r="U253">
        <v>46.67</v>
      </c>
      <c r="V253" s="1">
        <v>0</v>
      </c>
      <c r="X253">
        <v>20260408</v>
      </c>
      <c r="Z253" t="s">
        <v>72</v>
      </c>
      <c r="AA253">
        <v>3974527</v>
      </c>
      <c r="AB253" t="s">
        <v>93</v>
      </c>
      <c r="AC253" t="s">
        <v>120</v>
      </c>
      <c r="AE253" s="3">
        <v>0.49210648148148151</v>
      </c>
      <c r="AF253" t="s">
        <v>70</v>
      </c>
    </row>
    <row r="254" spans="1:42">
      <c r="A254">
        <v>1023366</v>
      </c>
      <c r="B254" t="s">
        <v>75</v>
      </c>
      <c r="C254" t="s">
        <v>62</v>
      </c>
      <c r="D254" s="2">
        <v>46119</v>
      </c>
      <c r="E254" s="2">
        <v>46119</v>
      </c>
      <c r="G254">
        <v>354</v>
      </c>
      <c r="H254" t="s">
        <v>63</v>
      </c>
      <c r="I254">
        <v>7104</v>
      </c>
      <c r="J254">
        <v>95</v>
      </c>
      <c r="L254" t="s">
        <v>354</v>
      </c>
      <c r="M254" t="s">
        <v>65</v>
      </c>
      <c r="N254" t="s">
        <v>66</v>
      </c>
      <c r="O254" s="2">
        <v>46119</v>
      </c>
      <c r="P254" s="1">
        <v>1499</v>
      </c>
      <c r="Q254" t="s">
        <v>67</v>
      </c>
      <c r="R254">
        <v>43.32</v>
      </c>
      <c r="S254">
        <v>11.84</v>
      </c>
      <c r="T254">
        <v>2.13</v>
      </c>
      <c r="U254">
        <v>1453.55</v>
      </c>
      <c r="V254" s="1">
        <v>0</v>
      </c>
      <c r="X254">
        <v>20260408</v>
      </c>
      <c r="Z254" t="s">
        <v>72</v>
      </c>
      <c r="AA254">
        <v>3974527</v>
      </c>
      <c r="AB254" t="s">
        <v>79</v>
      </c>
      <c r="AE254" s="3">
        <v>0.49414351851851851</v>
      </c>
      <c r="AF254" t="s">
        <v>70</v>
      </c>
    </row>
    <row r="255" spans="1:42">
      <c r="A255">
        <v>1023366</v>
      </c>
      <c r="B255" t="s">
        <v>75</v>
      </c>
      <c r="C255" t="s">
        <v>62</v>
      </c>
      <c r="D255" s="2">
        <v>46119</v>
      </c>
      <c r="E255" s="2">
        <v>46119</v>
      </c>
      <c r="G255">
        <v>354</v>
      </c>
      <c r="H255" t="s">
        <v>63</v>
      </c>
      <c r="I255">
        <v>7107</v>
      </c>
      <c r="J255">
        <v>683483</v>
      </c>
      <c r="L255" t="s">
        <v>355</v>
      </c>
      <c r="M255" t="s">
        <v>96</v>
      </c>
      <c r="N255" t="s">
        <v>66</v>
      </c>
      <c r="O255" s="2">
        <v>46119</v>
      </c>
      <c r="P255" s="1">
        <v>89.9</v>
      </c>
      <c r="Q255" t="s">
        <v>67</v>
      </c>
      <c r="R255">
        <v>3.51</v>
      </c>
      <c r="S255">
        <v>1.85</v>
      </c>
      <c r="T255">
        <v>0.33</v>
      </c>
      <c r="U255">
        <v>86.06</v>
      </c>
      <c r="V255" s="1">
        <v>0</v>
      </c>
      <c r="X255">
        <v>20260408</v>
      </c>
      <c r="Z255" t="s">
        <v>72</v>
      </c>
      <c r="AA255">
        <v>3974527</v>
      </c>
      <c r="AB255" t="s">
        <v>97</v>
      </c>
      <c r="AE255" s="3">
        <v>0.50129629629629635</v>
      </c>
      <c r="AF255" t="s">
        <v>70</v>
      </c>
    </row>
    <row r="256" spans="1:42">
      <c r="A256">
        <v>1023366</v>
      </c>
      <c r="B256" t="s">
        <v>75</v>
      </c>
      <c r="C256" t="s">
        <v>62</v>
      </c>
      <c r="D256" s="2">
        <v>46119</v>
      </c>
      <c r="E256" s="2">
        <v>46119</v>
      </c>
      <c r="G256">
        <v>354</v>
      </c>
      <c r="H256" t="s">
        <v>63</v>
      </c>
      <c r="I256">
        <v>7111</v>
      </c>
      <c r="J256">
        <v>6386</v>
      </c>
      <c r="L256" t="s">
        <v>356</v>
      </c>
      <c r="M256" t="s">
        <v>65</v>
      </c>
      <c r="N256" t="s">
        <v>66</v>
      </c>
      <c r="O256" s="2">
        <v>46119</v>
      </c>
      <c r="P256" s="1">
        <v>2949</v>
      </c>
      <c r="Q256" t="s">
        <v>67</v>
      </c>
      <c r="R256">
        <v>85.23</v>
      </c>
      <c r="S256">
        <v>17.399999999999999</v>
      </c>
      <c r="T256">
        <v>3.13</v>
      </c>
      <c r="U256">
        <v>2860.64</v>
      </c>
      <c r="V256" s="1">
        <v>0</v>
      </c>
      <c r="X256">
        <v>20260408</v>
      </c>
      <c r="Z256" t="s">
        <v>72</v>
      </c>
      <c r="AA256">
        <v>3974527</v>
      </c>
      <c r="AB256" t="s">
        <v>79</v>
      </c>
      <c r="AE256" s="3">
        <v>0.52516203703703701</v>
      </c>
      <c r="AF256" t="s">
        <v>70</v>
      </c>
    </row>
    <row r="257" spans="1:32">
      <c r="A257">
        <v>1023366</v>
      </c>
      <c r="B257" t="s">
        <v>75</v>
      </c>
      <c r="C257" t="s">
        <v>62</v>
      </c>
      <c r="D257" s="2">
        <v>46119</v>
      </c>
      <c r="E257" s="2">
        <v>46119</v>
      </c>
      <c r="G257">
        <v>354</v>
      </c>
      <c r="H257" t="s">
        <v>63</v>
      </c>
      <c r="I257">
        <v>7114</v>
      </c>
      <c r="J257">
        <v>30500</v>
      </c>
      <c r="L257" t="s">
        <v>357</v>
      </c>
      <c r="M257" t="s">
        <v>96</v>
      </c>
      <c r="N257" t="s">
        <v>66</v>
      </c>
      <c r="O257" s="2">
        <v>46119</v>
      </c>
      <c r="P257" s="1">
        <v>89.9</v>
      </c>
      <c r="Q257" t="s">
        <v>67</v>
      </c>
      <c r="R257">
        <v>3.51</v>
      </c>
      <c r="S257">
        <v>1.85</v>
      </c>
      <c r="T257">
        <v>0.33</v>
      </c>
      <c r="U257">
        <v>86.06</v>
      </c>
      <c r="V257" s="1">
        <v>0</v>
      </c>
      <c r="X257">
        <v>20260408</v>
      </c>
      <c r="Z257" t="s">
        <v>68</v>
      </c>
      <c r="AA257">
        <v>3974527</v>
      </c>
      <c r="AB257" t="s">
        <v>97</v>
      </c>
      <c r="AE257" s="3">
        <v>0.53024305555555551</v>
      </c>
      <c r="AF257" t="s">
        <v>70</v>
      </c>
    </row>
    <row r="258" spans="1:32">
      <c r="A258">
        <v>1023366</v>
      </c>
      <c r="B258" t="s">
        <v>75</v>
      </c>
      <c r="C258" t="s">
        <v>62</v>
      </c>
      <c r="D258" s="2">
        <v>46119</v>
      </c>
      <c r="E258" s="2">
        <v>46119</v>
      </c>
      <c r="G258">
        <v>354</v>
      </c>
      <c r="H258" t="s">
        <v>63</v>
      </c>
      <c r="I258">
        <v>7117</v>
      </c>
      <c r="J258">
        <v>70872</v>
      </c>
      <c r="L258" t="s">
        <v>358</v>
      </c>
      <c r="M258" t="s">
        <v>65</v>
      </c>
      <c r="N258" t="s">
        <v>66</v>
      </c>
      <c r="O258" s="2">
        <v>46119</v>
      </c>
      <c r="P258" s="1">
        <v>14.9</v>
      </c>
      <c r="Q258" t="s">
        <v>67</v>
      </c>
      <c r="R258">
        <v>0.43</v>
      </c>
      <c r="S258">
        <v>0.09</v>
      </c>
      <c r="T258">
        <v>0.02</v>
      </c>
      <c r="U258">
        <v>14.45</v>
      </c>
      <c r="V258" s="1">
        <v>0</v>
      </c>
      <c r="X258">
        <v>20260408</v>
      </c>
      <c r="Z258" t="s">
        <v>72</v>
      </c>
      <c r="AA258">
        <v>3974527</v>
      </c>
      <c r="AB258" t="s">
        <v>84</v>
      </c>
      <c r="AE258" s="3">
        <v>0.53755787037037039</v>
      </c>
      <c r="AF258" t="s">
        <v>70</v>
      </c>
    </row>
    <row r="259" spans="1:32">
      <c r="A259">
        <v>1023366</v>
      </c>
      <c r="B259" t="s">
        <v>75</v>
      </c>
      <c r="C259" t="s">
        <v>62</v>
      </c>
      <c r="D259" s="2">
        <v>46119</v>
      </c>
      <c r="E259" s="2">
        <v>46119</v>
      </c>
      <c r="G259">
        <v>354</v>
      </c>
      <c r="H259" t="s">
        <v>63</v>
      </c>
      <c r="I259">
        <v>7123</v>
      </c>
      <c r="J259">
        <v>1033</v>
      </c>
      <c r="L259" t="s">
        <v>359</v>
      </c>
      <c r="M259" t="s">
        <v>65</v>
      </c>
      <c r="N259" t="s">
        <v>66</v>
      </c>
      <c r="O259" s="2">
        <v>46119</v>
      </c>
      <c r="P259" s="1">
        <v>109</v>
      </c>
      <c r="Q259" t="s">
        <v>67</v>
      </c>
      <c r="R259">
        <v>3.15</v>
      </c>
      <c r="S259">
        <v>0.64</v>
      </c>
      <c r="T259">
        <v>0.12</v>
      </c>
      <c r="U259">
        <v>105.73</v>
      </c>
      <c r="V259" s="1">
        <v>0</v>
      </c>
      <c r="X259">
        <v>20260408</v>
      </c>
      <c r="Z259" t="s">
        <v>72</v>
      </c>
      <c r="AA259">
        <v>3974527</v>
      </c>
      <c r="AB259" t="s">
        <v>79</v>
      </c>
      <c r="AE259" s="3">
        <v>0.55238425925925927</v>
      </c>
      <c r="AF259" t="s">
        <v>70</v>
      </c>
    </row>
    <row r="260" spans="1:32">
      <c r="A260">
        <v>1023366</v>
      </c>
      <c r="B260" t="s">
        <v>75</v>
      </c>
      <c r="C260" t="s">
        <v>62</v>
      </c>
      <c r="D260" s="2">
        <v>46119</v>
      </c>
      <c r="E260" s="2">
        <v>46119</v>
      </c>
      <c r="G260">
        <v>354</v>
      </c>
      <c r="H260" t="s">
        <v>63</v>
      </c>
      <c r="I260">
        <v>7125</v>
      </c>
      <c r="J260">
        <v>643469</v>
      </c>
      <c r="L260" t="s">
        <v>360</v>
      </c>
      <c r="M260" t="s">
        <v>65</v>
      </c>
      <c r="N260" t="s">
        <v>66</v>
      </c>
      <c r="O260" s="2">
        <v>46119</v>
      </c>
      <c r="P260" s="1">
        <v>1099</v>
      </c>
      <c r="Q260" t="s">
        <v>67</v>
      </c>
      <c r="R260">
        <v>31.76</v>
      </c>
      <c r="S260">
        <v>14.18</v>
      </c>
      <c r="T260">
        <v>2.5499999999999998</v>
      </c>
      <c r="U260">
        <v>1064.69</v>
      </c>
      <c r="V260" s="1">
        <v>0</v>
      </c>
      <c r="X260">
        <v>20260408</v>
      </c>
      <c r="Z260" t="s">
        <v>68</v>
      </c>
      <c r="AA260">
        <v>3974527</v>
      </c>
      <c r="AB260" t="s">
        <v>79</v>
      </c>
      <c r="AE260" s="3">
        <v>0.5534606481481481</v>
      </c>
      <c r="AF260" t="s">
        <v>70</v>
      </c>
    </row>
    <row r="261" spans="1:32">
      <c r="A261">
        <v>1023366</v>
      </c>
      <c r="B261" t="s">
        <v>75</v>
      </c>
      <c r="C261" t="s">
        <v>62</v>
      </c>
      <c r="D261" s="2">
        <v>46119</v>
      </c>
      <c r="E261" s="2">
        <v>46119</v>
      </c>
      <c r="G261">
        <v>354</v>
      </c>
      <c r="H261" t="s">
        <v>63</v>
      </c>
      <c r="I261">
        <v>7127</v>
      </c>
      <c r="J261">
        <v>872794</v>
      </c>
      <c r="L261" t="s">
        <v>361</v>
      </c>
      <c r="M261" t="s">
        <v>65</v>
      </c>
      <c r="N261" t="s">
        <v>66</v>
      </c>
      <c r="O261" s="2">
        <v>46119</v>
      </c>
      <c r="P261" s="1">
        <v>438</v>
      </c>
      <c r="Q261" t="s">
        <v>67</v>
      </c>
      <c r="R261">
        <v>12.66</v>
      </c>
      <c r="S261">
        <v>5.65</v>
      </c>
      <c r="T261">
        <v>1.02</v>
      </c>
      <c r="U261">
        <v>424.32</v>
      </c>
      <c r="V261" s="1">
        <v>0</v>
      </c>
      <c r="X261">
        <v>20260408</v>
      </c>
      <c r="Z261" t="s">
        <v>68</v>
      </c>
      <c r="AA261">
        <v>3974527</v>
      </c>
      <c r="AB261" t="s">
        <v>79</v>
      </c>
      <c r="AE261" s="3">
        <v>0.5604513888888889</v>
      </c>
      <c r="AF261" t="s">
        <v>70</v>
      </c>
    </row>
    <row r="262" spans="1:32">
      <c r="A262">
        <v>1023366</v>
      </c>
      <c r="B262" t="s">
        <v>75</v>
      </c>
      <c r="C262" t="s">
        <v>62</v>
      </c>
      <c r="D262" s="2">
        <v>46119</v>
      </c>
      <c r="E262" s="2">
        <v>46119</v>
      </c>
      <c r="G262">
        <v>354</v>
      </c>
      <c r="H262">
        <v>65656565</v>
      </c>
      <c r="I262">
        <v>7134</v>
      </c>
      <c r="J262">
        <v>744275</v>
      </c>
      <c r="L262" t="s">
        <v>362</v>
      </c>
      <c r="M262" t="s">
        <v>65</v>
      </c>
      <c r="N262" t="s">
        <v>66</v>
      </c>
      <c r="O262" s="2">
        <v>46119</v>
      </c>
      <c r="P262" s="1">
        <v>55</v>
      </c>
      <c r="Q262" t="s">
        <v>67</v>
      </c>
      <c r="R262">
        <v>1.58</v>
      </c>
      <c r="S262">
        <v>0.7</v>
      </c>
      <c r="T262">
        <v>0.13</v>
      </c>
      <c r="U262">
        <v>53.29</v>
      </c>
      <c r="V262" s="1">
        <v>0</v>
      </c>
      <c r="X262">
        <v>20260408</v>
      </c>
      <c r="Z262" t="s">
        <v>68</v>
      </c>
      <c r="AA262">
        <v>3974527</v>
      </c>
      <c r="AB262" t="s">
        <v>81</v>
      </c>
      <c r="AD262" t="s">
        <v>88</v>
      </c>
      <c r="AE262" s="3">
        <v>0.58265046296296297</v>
      </c>
      <c r="AF262" t="s">
        <v>70</v>
      </c>
    </row>
    <row r="263" spans="1:32">
      <c r="A263">
        <v>1023366</v>
      </c>
      <c r="B263" t="s">
        <v>75</v>
      </c>
      <c r="C263" t="s">
        <v>62</v>
      </c>
      <c r="D263" s="2">
        <v>46119</v>
      </c>
      <c r="E263" s="2">
        <v>46119</v>
      </c>
      <c r="G263">
        <v>354</v>
      </c>
      <c r="H263" t="s">
        <v>63</v>
      </c>
      <c r="I263">
        <v>7137</v>
      </c>
      <c r="J263">
        <v>495047</v>
      </c>
      <c r="L263" t="s">
        <v>363</v>
      </c>
      <c r="M263" t="s">
        <v>65</v>
      </c>
      <c r="N263" t="s">
        <v>66</v>
      </c>
      <c r="O263" s="2">
        <v>46119</v>
      </c>
      <c r="P263" s="1">
        <v>89</v>
      </c>
      <c r="Q263" t="s">
        <v>67</v>
      </c>
      <c r="R263">
        <v>2.57</v>
      </c>
      <c r="S263">
        <v>0.52</v>
      </c>
      <c r="T263">
        <v>0.09</v>
      </c>
      <c r="U263">
        <v>86.34</v>
      </c>
      <c r="V263" s="1">
        <v>0</v>
      </c>
      <c r="X263">
        <v>20260408</v>
      </c>
      <c r="Z263" t="s">
        <v>72</v>
      </c>
      <c r="AA263">
        <v>3974527</v>
      </c>
      <c r="AB263" t="s">
        <v>106</v>
      </c>
      <c r="AE263" s="3">
        <v>0.6554861111111111</v>
      </c>
      <c r="AF263" t="s">
        <v>70</v>
      </c>
    </row>
    <row r="264" spans="1:32">
      <c r="A264">
        <v>1023366</v>
      </c>
      <c r="B264" t="s">
        <v>75</v>
      </c>
      <c r="C264" t="s">
        <v>62</v>
      </c>
      <c r="D264" s="2">
        <v>46119</v>
      </c>
      <c r="E264" s="2">
        <v>46119</v>
      </c>
      <c r="G264">
        <v>354</v>
      </c>
      <c r="H264" t="s">
        <v>63</v>
      </c>
      <c r="I264">
        <v>7139</v>
      </c>
      <c r="J264">
        <v>1191</v>
      </c>
      <c r="L264" t="s">
        <v>364</v>
      </c>
      <c r="M264" t="s">
        <v>65</v>
      </c>
      <c r="N264" t="s">
        <v>66</v>
      </c>
      <c r="O264" s="2">
        <v>46119</v>
      </c>
      <c r="P264" s="1">
        <v>499</v>
      </c>
      <c r="Q264" t="s">
        <v>67</v>
      </c>
      <c r="R264">
        <v>14.42</v>
      </c>
      <c r="S264">
        <v>1.94</v>
      </c>
      <c r="T264">
        <v>0.35</v>
      </c>
      <c r="U264">
        <v>484.23</v>
      </c>
      <c r="V264" s="1">
        <v>0</v>
      </c>
      <c r="X264">
        <v>20260408</v>
      </c>
      <c r="Z264" t="s">
        <v>72</v>
      </c>
      <c r="AA264">
        <v>3974527</v>
      </c>
      <c r="AB264" t="s">
        <v>79</v>
      </c>
      <c r="AE264" s="3">
        <v>0.65763888888888888</v>
      </c>
      <c r="AF264" t="s">
        <v>70</v>
      </c>
    </row>
    <row r="265" spans="1:32">
      <c r="A265">
        <v>1023366</v>
      </c>
      <c r="B265" t="s">
        <v>75</v>
      </c>
      <c r="C265" t="s">
        <v>62</v>
      </c>
      <c r="D265" s="2">
        <v>46119</v>
      </c>
      <c r="E265" s="2">
        <v>46119</v>
      </c>
      <c r="G265">
        <v>354</v>
      </c>
      <c r="H265" t="s">
        <v>63</v>
      </c>
      <c r="I265">
        <v>7141</v>
      </c>
      <c r="J265">
        <v>935839</v>
      </c>
      <c r="L265" t="s">
        <v>365</v>
      </c>
      <c r="M265" t="s">
        <v>65</v>
      </c>
      <c r="N265" t="s">
        <v>66</v>
      </c>
      <c r="O265" s="2">
        <v>46119</v>
      </c>
      <c r="P265" s="1">
        <v>188.9</v>
      </c>
      <c r="Q265" t="s">
        <v>67</v>
      </c>
      <c r="R265">
        <v>5.46</v>
      </c>
      <c r="S265">
        <v>2.44</v>
      </c>
      <c r="T265">
        <v>0.44</v>
      </c>
      <c r="U265">
        <v>183</v>
      </c>
      <c r="V265" s="1">
        <v>0</v>
      </c>
      <c r="X265">
        <v>20260408</v>
      </c>
      <c r="Z265" t="s">
        <v>68</v>
      </c>
      <c r="AA265">
        <v>3974527</v>
      </c>
      <c r="AB265" t="s">
        <v>79</v>
      </c>
      <c r="AE265" s="3">
        <v>0.67259259259259263</v>
      </c>
      <c r="AF265" t="s">
        <v>70</v>
      </c>
    </row>
    <row r="266" spans="1:32">
      <c r="A266">
        <v>1023366</v>
      </c>
      <c r="B266" t="s">
        <v>75</v>
      </c>
      <c r="C266" t="s">
        <v>62</v>
      </c>
      <c r="D266" s="2">
        <v>46119</v>
      </c>
      <c r="E266" s="2">
        <v>46119</v>
      </c>
      <c r="G266">
        <v>354</v>
      </c>
      <c r="H266" t="s">
        <v>63</v>
      </c>
      <c r="I266">
        <v>7143</v>
      </c>
      <c r="J266" t="s">
        <v>366</v>
      </c>
      <c r="L266" t="s">
        <v>367</v>
      </c>
      <c r="M266" t="s">
        <v>96</v>
      </c>
      <c r="N266" t="s">
        <v>66</v>
      </c>
      <c r="O266" s="2">
        <v>46119</v>
      </c>
      <c r="P266" s="1">
        <v>549</v>
      </c>
      <c r="Q266" t="s">
        <v>67</v>
      </c>
      <c r="R266">
        <v>21.41</v>
      </c>
      <c r="S266">
        <v>10.54</v>
      </c>
      <c r="T266">
        <v>1.9</v>
      </c>
      <c r="U266">
        <v>525.69000000000005</v>
      </c>
      <c r="V266" s="1">
        <v>0</v>
      </c>
      <c r="X266">
        <v>20260408</v>
      </c>
      <c r="Z266" t="s">
        <v>68</v>
      </c>
      <c r="AA266">
        <v>3974527</v>
      </c>
      <c r="AB266" t="s">
        <v>97</v>
      </c>
      <c r="AE266" s="3">
        <v>0.67574074074074075</v>
      </c>
      <c r="AF266" t="s">
        <v>70</v>
      </c>
    </row>
    <row r="267" spans="1:32">
      <c r="A267">
        <v>1023366</v>
      </c>
      <c r="B267" t="s">
        <v>75</v>
      </c>
      <c r="C267" t="s">
        <v>62</v>
      </c>
      <c r="D267" s="2">
        <v>46119</v>
      </c>
      <c r="E267" s="2">
        <v>46119</v>
      </c>
      <c r="G267">
        <v>354</v>
      </c>
      <c r="H267" t="s">
        <v>63</v>
      </c>
      <c r="I267">
        <v>7145</v>
      </c>
      <c r="J267">
        <v>228357</v>
      </c>
      <c r="L267" t="s">
        <v>368</v>
      </c>
      <c r="M267" t="s">
        <v>65</v>
      </c>
      <c r="N267" t="s">
        <v>66</v>
      </c>
      <c r="O267" s="2">
        <v>46119</v>
      </c>
      <c r="P267" s="1">
        <v>35</v>
      </c>
      <c r="Q267" t="s">
        <v>67</v>
      </c>
      <c r="R267">
        <v>1.01</v>
      </c>
      <c r="S267">
        <v>0.45</v>
      </c>
      <c r="T267">
        <v>0.08</v>
      </c>
      <c r="U267">
        <v>33.909999999999997</v>
      </c>
      <c r="V267" s="1">
        <v>0</v>
      </c>
      <c r="X267">
        <v>20260408</v>
      </c>
      <c r="Z267" t="s">
        <v>68</v>
      </c>
      <c r="AA267">
        <v>3974527</v>
      </c>
      <c r="AB267" t="s">
        <v>79</v>
      </c>
      <c r="AE267" s="3">
        <v>0.70378472222222221</v>
      </c>
      <c r="AF267" t="s">
        <v>70</v>
      </c>
    </row>
    <row r="268" spans="1:32">
      <c r="A268">
        <v>1023366</v>
      </c>
      <c r="B268" t="s">
        <v>75</v>
      </c>
      <c r="C268" t="s">
        <v>62</v>
      </c>
      <c r="D268" s="2">
        <v>46119</v>
      </c>
      <c r="E268" s="2">
        <v>46119</v>
      </c>
      <c r="G268">
        <v>354</v>
      </c>
      <c r="H268" t="s">
        <v>63</v>
      </c>
      <c r="I268">
        <v>7147</v>
      </c>
      <c r="J268">
        <v>236925</v>
      </c>
      <c r="L268" t="s">
        <v>369</v>
      </c>
      <c r="M268" t="s">
        <v>65</v>
      </c>
      <c r="N268" t="s">
        <v>66</v>
      </c>
      <c r="O268" s="2">
        <v>46119</v>
      </c>
      <c r="P268" s="1">
        <v>74.5</v>
      </c>
      <c r="Q268" t="s">
        <v>67</v>
      </c>
      <c r="R268">
        <v>2.15</v>
      </c>
      <c r="S268">
        <v>0.96</v>
      </c>
      <c r="T268">
        <v>0.17</v>
      </c>
      <c r="U268">
        <v>72.180000000000007</v>
      </c>
      <c r="V268" s="1">
        <v>0</v>
      </c>
      <c r="X268">
        <v>20260408</v>
      </c>
      <c r="Z268" t="s">
        <v>68</v>
      </c>
      <c r="AA268">
        <v>3974527</v>
      </c>
      <c r="AB268" t="s">
        <v>79</v>
      </c>
      <c r="AE268" s="3">
        <v>0.70711805555555551</v>
      </c>
      <c r="AF268" t="s">
        <v>70</v>
      </c>
    </row>
    <row r="269" spans="1:32">
      <c r="A269">
        <v>1023366</v>
      </c>
      <c r="B269" t="s">
        <v>75</v>
      </c>
      <c r="C269" t="s">
        <v>62</v>
      </c>
      <c r="D269" s="2">
        <v>46119</v>
      </c>
      <c r="E269" s="2">
        <v>46119</v>
      </c>
      <c r="G269">
        <v>354</v>
      </c>
      <c r="H269" t="s">
        <v>63</v>
      </c>
      <c r="I269">
        <v>7149</v>
      </c>
      <c r="J269">
        <v>93042</v>
      </c>
      <c r="K269">
        <v>3</v>
      </c>
      <c r="L269" t="s">
        <v>370</v>
      </c>
      <c r="M269" t="s">
        <v>65</v>
      </c>
      <c r="N269" t="s">
        <v>66</v>
      </c>
      <c r="O269" s="2">
        <v>46119</v>
      </c>
      <c r="P269" s="1">
        <v>118</v>
      </c>
      <c r="Q269" t="s">
        <v>67</v>
      </c>
      <c r="R269">
        <v>5.48</v>
      </c>
      <c r="S269">
        <v>0.7</v>
      </c>
      <c r="T269">
        <v>0.13</v>
      </c>
      <c r="U269">
        <v>112.39</v>
      </c>
      <c r="V269" s="1">
        <v>0</v>
      </c>
      <c r="X269">
        <v>20260408</v>
      </c>
      <c r="Z269" t="s">
        <v>72</v>
      </c>
      <c r="AA269">
        <v>3974527</v>
      </c>
      <c r="AB269" t="s">
        <v>93</v>
      </c>
      <c r="AC269" t="s">
        <v>120</v>
      </c>
      <c r="AE269" s="3">
        <v>0.71072916666666663</v>
      </c>
      <c r="AF269" t="s">
        <v>70</v>
      </c>
    </row>
    <row r="270" spans="1:32">
      <c r="A270">
        <v>1023366</v>
      </c>
      <c r="B270" t="s">
        <v>75</v>
      </c>
      <c r="C270" t="s">
        <v>62</v>
      </c>
      <c r="D270" s="2">
        <v>46119</v>
      </c>
      <c r="E270" s="2">
        <v>46119</v>
      </c>
      <c r="G270">
        <v>354</v>
      </c>
      <c r="H270" t="s">
        <v>63</v>
      </c>
      <c r="I270">
        <v>7151</v>
      </c>
      <c r="J270">
        <v>100001</v>
      </c>
      <c r="L270" t="s">
        <v>371</v>
      </c>
      <c r="M270" t="s">
        <v>65</v>
      </c>
      <c r="N270" t="s">
        <v>66</v>
      </c>
      <c r="O270" s="2">
        <v>46119</v>
      </c>
      <c r="P270" s="1">
        <v>105</v>
      </c>
      <c r="Q270" t="s">
        <v>67</v>
      </c>
      <c r="R270">
        <v>3.03</v>
      </c>
      <c r="S270">
        <v>1.35</v>
      </c>
      <c r="T270">
        <v>0.24</v>
      </c>
      <c r="U270">
        <v>101.73</v>
      </c>
      <c r="V270" s="1">
        <v>0</v>
      </c>
      <c r="X270">
        <v>20260408</v>
      </c>
      <c r="Z270" t="s">
        <v>68</v>
      </c>
      <c r="AA270">
        <v>3974527</v>
      </c>
      <c r="AB270" t="s">
        <v>93</v>
      </c>
      <c r="AE270" s="3">
        <v>0.71224537037037039</v>
      </c>
      <c r="AF270" t="s">
        <v>70</v>
      </c>
    </row>
    <row r="271" spans="1:32">
      <c r="A271">
        <v>1023366</v>
      </c>
      <c r="B271" t="s">
        <v>75</v>
      </c>
      <c r="C271" t="s">
        <v>62</v>
      </c>
      <c r="D271" s="2">
        <v>46119</v>
      </c>
      <c r="E271" s="2">
        <v>46119</v>
      </c>
      <c r="G271">
        <v>354</v>
      </c>
      <c r="H271" t="s">
        <v>63</v>
      </c>
      <c r="I271">
        <v>7153</v>
      </c>
      <c r="J271">
        <v>296151</v>
      </c>
      <c r="L271" t="s">
        <v>372</v>
      </c>
      <c r="M271" t="s">
        <v>65</v>
      </c>
      <c r="N271" t="s">
        <v>66</v>
      </c>
      <c r="O271" s="2">
        <v>46119</v>
      </c>
      <c r="P271" s="1">
        <v>55</v>
      </c>
      <c r="Q271" t="s">
        <v>67</v>
      </c>
      <c r="R271">
        <v>1.59</v>
      </c>
      <c r="S271">
        <v>0.71</v>
      </c>
      <c r="T271">
        <v>0.13</v>
      </c>
      <c r="U271">
        <v>53.28</v>
      </c>
      <c r="V271" s="1">
        <v>0</v>
      </c>
      <c r="X271">
        <v>20260408</v>
      </c>
      <c r="Z271" t="s">
        <v>68</v>
      </c>
      <c r="AA271">
        <v>3974527</v>
      </c>
      <c r="AB271" t="s">
        <v>79</v>
      </c>
      <c r="AE271" s="3">
        <v>0.72942129629629626</v>
      </c>
      <c r="AF271" t="s">
        <v>70</v>
      </c>
    </row>
    <row r="272" spans="1:32">
      <c r="A272">
        <v>1023366</v>
      </c>
      <c r="B272" t="s">
        <v>75</v>
      </c>
      <c r="C272" t="s">
        <v>62</v>
      </c>
      <c r="D272" s="2">
        <v>46119</v>
      </c>
      <c r="E272" s="2">
        <v>46119</v>
      </c>
      <c r="G272">
        <v>354</v>
      </c>
      <c r="H272" t="s">
        <v>63</v>
      </c>
      <c r="I272">
        <v>7155</v>
      </c>
      <c r="J272">
        <v>199289</v>
      </c>
      <c r="L272" t="s">
        <v>373</v>
      </c>
      <c r="M272" t="s">
        <v>65</v>
      </c>
      <c r="N272" t="s">
        <v>66</v>
      </c>
      <c r="O272" s="2">
        <v>46119</v>
      </c>
      <c r="P272" s="1">
        <v>2799</v>
      </c>
      <c r="Q272" t="s">
        <v>67</v>
      </c>
      <c r="R272">
        <v>80.89</v>
      </c>
      <c r="S272">
        <v>36.11</v>
      </c>
      <c r="T272">
        <v>6.5</v>
      </c>
      <c r="U272">
        <v>2711.61</v>
      </c>
      <c r="V272" s="1">
        <v>0</v>
      </c>
      <c r="X272">
        <v>20260408</v>
      </c>
      <c r="Z272" t="s">
        <v>68</v>
      </c>
      <c r="AA272">
        <v>3974527</v>
      </c>
      <c r="AB272" t="s">
        <v>93</v>
      </c>
      <c r="AE272" s="3">
        <v>0.73287037037037039</v>
      </c>
      <c r="AF272" t="s">
        <v>70</v>
      </c>
    </row>
    <row r="273" spans="1:42">
      <c r="A273">
        <v>1023366</v>
      </c>
      <c r="B273" t="s">
        <v>75</v>
      </c>
      <c r="C273" t="s">
        <v>62</v>
      </c>
      <c r="D273" s="2">
        <v>46119</v>
      </c>
      <c r="E273" s="2">
        <v>46119</v>
      </c>
      <c r="G273">
        <v>354</v>
      </c>
      <c r="H273" t="s">
        <v>63</v>
      </c>
      <c r="I273">
        <v>7157</v>
      </c>
      <c r="J273">
        <v>7219</v>
      </c>
      <c r="L273" t="s">
        <v>374</v>
      </c>
      <c r="M273" t="s">
        <v>65</v>
      </c>
      <c r="N273" t="s">
        <v>66</v>
      </c>
      <c r="O273" s="2">
        <v>46119</v>
      </c>
      <c r="P273" s="1">
        <v>65</v>
      </c>
      <c r="Q273" t="s">
        <v>67</v>
      </c>
      <c r="R273">
        <v>1.88</v>
      </c>
      <c r="S273">
        <v>0.51</v>
      </c>
      <c r="T273">
        <v>0.09</v>
      </c>
      <c r="U273">
        <v>63.03</v>
      </c>
      <c r="V273" s="1">
        <v>0</v>
      </c>
      <c r="X273">
        <v>20260408</v>
      </c>
      <c r="Z273" t="s">
        <v>72</v>
      </c>
      <c r="AA273">
        <v>3974527</v>
      </c>
      <c r="AB273" t="s">
        <v>79</v>
      </c>
      <c r="AE273" s="3">
        <v>0.76069444444444445</v>
      </c>
      <c r="AF273" t="s">
        <v>70</v>
      </c>
    </row>
    <row r="274" spans="1:42">
      <c r="A274">
        <v>1023366</v>
      </c>
      <c r="B274" t="s">
        <v>75</v>
      </c>
      <c r="C274" t="s">
        <v>62</v>
      </c>
      <c r="D274" s="2">
        <v>46119</v>
      </c>
      <c r="E274" s="2">
        <v>46119</v>
      </c>
      <c r="G274">
        <v>354</v>
      </c>
      <c r="H274" t="s">
        <v>63</v>
      </c>
      <c r="I274">
        <v>7159</v>
      </c>
      <c r="J274">
        <v>47374</v>
      </c>
      <c r="L274" t="s">
        <v>375</v>
      </c>
      <c r="M274" t="s">
        <v>65</v>
      </c>
      <c r="N274" t="s">
        <v>66</v>
      </c>
      <c r="O274" s="2">
        <v>46119</v>
      </c>
      <c r="P274" s="1">
        <v>35</v>
      </c>
      <c r="Q274" t="s">
        <v>67</v>
      </c>
      <c r="R274">
        <v>1.01</v>
      </c>
      <c r="S274">
        <v>0.27</v>
      </c>
      <c r="T274">
        <v>0.05</v>
      </c>
      <c r="U274">
        <v>33.94</v>
      </c>
      <c r="V274" s="1">
        <v>0</v>
      </c>
      <c r="X274">
        <v>20260408</v>
      </c>
      <c r="Z274" t="s">
        <v>72</v>
      </c>
      <c r="AA274">
        <v>3974527</v>
      </c>
      <c r="AB274" t="s">
        <v>84</v>
      </c>
      <c r="AE274" s="3">
        <v>0.78694444444444445</v>
      </c>
      <c r="AF274" t="s">
        <v>70</v>
      </c>
    </row>
    <row r="275" spans="1:42">
      <c r="A275">
        <v>1023366</v>
      </c>
      <c r="B275" t="s">
        <v>75</v>
      </c>
      <c r="C275" t="s">
        <v>62</v>
      </c>
      <c r="D275" s="2">
        <v>46119</v>
      </c>
      <c r="E275" s="2">
        <v>46119</v>
      </c>
      <c r="G275">
        <v>354</v>
      </c>
      <c r="H275" t="s">
        <v>63</v>
      </c>
      <c r="I275">
        <v>7161</v>
      </c>
      <c r="J275">
        <v>498799</v>
      </c>
      <c r="L275" t="s">
        <v>376</v>
      </c>
      <c r="M275" t="s">
        <v>65</v>
      </c>
      <c r="N275" t="s">
        <v>66</v>
      </c>
      <c r="O275" s="2">
        <v>46119</v>
      </c>
      <c r="P275" s="1">
        <v>89.9</v>
      </c>
      <c r="Q275" t="s">
        <v>67</v>
      </c>
      <c r="R275">
        <v>2.6</v>
      </c>
      <c r="S275">
        <v>0.71</v>
      </c>
      <c r="T275">
        <v>0.13</v>
      </c>
      <c r="U275">
        <v>87.17</v>
      </c>
      <c r="V275" s="1">
        <v>0</v>
      </c>
      <c r="X275">
        <v>20260408</v>
      </c>
      <c r="Z275" t="s">
        <v>72</v>
      </c>
      <c r="AA275">
        <v>3974527</v>
      </c>
      <c r="AB275" t="s">
        <v>93</v>
      </c>
      <c r="AE275" s="3">
        <v>0.78813657407407411</v>
      </c>
      <c r="AF275" t="s">
        <v>70</v>
      </c>
    </row>
    <row r="276" spans="1:42">
      <c r="A276">
        <v>1023366</v>
      </c>
      <c r="B276" t="s">
        <v>75</v>
      </c>
      <c r="C276" t="s">
        <v>62</v>
      </c>
      <c r="D276" s="2">
        <v>46119</v>
      </c>
      <c r="E276" s="2">
        <v>46119</v>
      </c>
      <c r="G276">
        <v>354</v>
      </c>
      <c r="H276" t="s">
        <v>63</v>
      </c>
      <c r="I276">
        <v>7163</v>
      </c>
      <c r="J276">
        <v>250479</v>
      </c>
      <c r="L276" t="s">
        <v>377</v>
      </c>
      <c r="M276" t="s">
        <v>65</v>
      </c>
      <c r="N276" t="s">
        <v>66</v>
      </c>
      <c r="O276" s="2">
        <v>46119</v>
      </c>
      <c r="P276" s="1">
        <v>34.9</v>
      </c>
      <c r="Q276" t="s">
        <v>67</v>
      </c>
      <c r="R276">
        <v>1.01</v>
      </c>
      <c r="S276">
        <v>0.45</v>
      </c>
      <c r="T276">
        <v>0.08</v>
      </c>
      <c r="U276">
        <v>33.81</v>
      </c>
      <c r="V276" s="1">
        <v>0</v>
      </c>
      <c r="X276">
        <v>20260408</v>
      </c>
      <c r="Z276" t="s">
        <v>68</v>
      </c>
      <c r="AA276">
        <v>3974527</v>
      </c>
      <c r="AB276" t="s">
        <v>79</v>
      </c>
      <c r="AE276" s="3">
        <v>0.79155092592592591</v>
      </c>
      <c r="AF276" t="s">
        <v>70</v>
      </c>
    </row>
    <row r="277" spans="1:42">
      <c r="A277">
        <v>1023366</v>
      </c>
      <c r="B277" t="s">
        <v>75</v>
      </c>
      <c r="C277" t="s">
        <v>62</v>
      </c>
      <c r="D277" s="2">
        <v>46119</v>
      </c>
      <c r="E277" s="2">
        <v>46119</v>
      </c>
      <c r="G277">
        <v>354</v>
      </c>
      <c r="H277" t="s">
        <v>63</v>
      </c>
      <c r="I277">
        <v>7165</v>
      </c>
      <c r="J277">
        <v>513322</v>
      </c>
      <c r="L277" t="s">
        <v>378</v>
      </c>
      <c r="M277" t="s">
        <v>65</v>
      </c>
      <c r="N277" t="s">
        <v>66</v>
      </c>
      <c r="O277" s="2">
        <v>46119</v>
      </c>
      <c r="P277" s="1">
        <v>105</v>
      </c>
      <c r="Q277" t="s">
        <v>67</v>
      </c>
      <c r="R277">
        <v>3.03</v>
      </c>
      <c r="S277">
        <v>1.35</v>
      </c>
      <c r="T277">
        <v>0.24</v>
      </c>
      <c r="U277">
        <v>101.73</v>
      </c>
      <c r="V277" s="1">
        <v>0</v>
      </c>
      <c r="X277">
        <v>20260408</v>
      </c>
      <c r="Z277" t="s">
        <v>68</v>
      </c>
      <c r="AA277">
        <v>3974527</v>
      </c>
      <c r="AB277" t="s">
        <v>79</v>
      </c>
      <c r="AE277" s="3">
        <v>0.805150462962963</v>
      </c>
      <c r="AF277" t="s">
        <v>70</v>
      </c>
    </row>
    <row r="278" spans="1:42">
      <c r="A278">
        <v>1023366</v>
      </c>
      <c r="B278" t="s">
        <v>75</v>
      </c>
      <c r="C278" t="s">
        <v>62</v>
      </c>
      <c r="D278" s="2">
        <v>46119</v>
      </c>
      <c r="E278" s="2">
        <v>46119</v>
      </c>
      <c r="G278">
        <v>354</v>
      </c>
      <c r="H278" t="s">
        <v>63</v>
      </c>
      <c r="I278">
        <v>7167</v>
      </c>
      <c r="J278">
        <v>636932</v>
      </c>
      <c r="L278" t="s">
        <v>379</v>
      </c>
      <c r="M278" t="s">
        <v>65</v>
      </c>
      <c r="N278" t="s">
        <v>66</v>
      </c>
      <c r="O278" s="2">
        <v>46119</v>
      </c>
      <c r="P278" s="1">
        <v>229</v>
      </c>
      <c r="Q278" t="s">
        <v>67</v>
      </c>
      <c r="R278">
        <v>6.62</v>
      </c>
      <c r="S278">
        <v>1.35</v>
      </c>
      <c r="T278">
        <v>0.24</v>
      </c>
      <c r="U278">
        <v>222.14</v>
      </c>
      <c r="V278" s="1">
        <v>0</v>
      </c>
      <c r="X278">
        <v>20260408</v>
      </c>
      <c r="Z278" t="s">
        <v>72</v>
      </c>
      <c r="AA278">
        <v>3974527</v>
      </c>
      <c r="AB278" t="s">
        <v>93</v>
      </c>
      <c r="AE278" s="3">
        <v>0.81232638888888886</v>
      </c>
      <c r="AF278" t="s">
        <v>70</v>
      </c>
    </row>
    <row r="279" spans="1:42">
      <c r="A279">
        <v>1023366</v>
      </c>
      <c r="B279" t="s">
        <v>75</v>
      </c>
      <c r="C279" t="s">
        <v>62</v>
      </c>
      <c r="D279" s="2">
        <v>46119</v>
      </c>
      <c r="E279" s="2">
        <v>46119</v>
      </c>
      <c r="G279">
        <v>354</v>
      </c>
      <c r="H279" t="s">
        <v>63</v>
      </c>
      <c r="I279">
        <v>7169</v>
      </c>
      <c r="J279">
        <v>670755</v>
      </c>
      <c r="K279">
        <v>3</v>
      </c>
      <c r="L279" t="s">
        <v>380</v>
      </c>
      <c r="M279" t="s">
        <v>65</v>
      </c>
      <c r="N279" t="s">
        <v>66</v>
      </c>
      <c r="O279" s="2">
        <v>46119</v>
      </c>
      <c r="P279" s="1">
        <v>1769</v>
      </c>
      <c r="Q279" t="s">
        <v>67</v>
      </c>
      <c r="R279">
        <v>82.08</v>
      </c>
      <c r="S279">
        <v>13.97</v>
      </c>
      <c r="T279">
        <v>2.5099999999999998</v>
      </c>
      <c r="U279">
        <v>1684.41</v>
      </c>
      <c r="V279" s="1">
        <v>0</v>
      </c>
      <c r="X279">
        <v>20260408</v>
      </c>
      <c r="Z279" t="s">
        <v>72</v>
      </c>
      <c r="AA279">
        <v>3974527</v>
      </c>
      <c r="AB279" t="s">
        <v>93</v>
      </c>
      <c r="AC279" t="s">
        <v>120</v>
      </c>
      <c r="AE279" s="3">
        <v>0.81839120370370366</v>
      </c>
      <c r="AF279" t="s">
        <v>70</v>
      </c>
    </row>
    <row r="280" spans="1:42">
      <c r="A280">
        <v>1023366</v>
      </c>
      <c r="B280" t="s">
        <v>75</v>
      </c>
      <c r="C280" t="s">
        <v>62</v>
      </c>
      <c r="D280" s="2">
        <v>46119</v>
      </c>
      <c r="E280" s="2">
        <v>46119</v>
      </c>
      <c r="G280">
        <v>354</v>
      </c>
      <c r="H280" t="s">
        <v>63</v>
      </c>
      <c r="I280">
        <v>7171</v>
      </c>
      <c r="J280">
        <v>353793</v>
      </c>
      <c r="L280" t="s">
        <v>219</v>
      </c>
      <c r="M280" t="s">
        <v>65</v>
      </c>
      <c r="N280" t="s">
        <v>66</v>
      </c>
      <c r="O280" s="2">
        <v>46119</v>
      </c>
      <c r="P280" s="1">
        <v>49</v>
      </c>
      <c r="Q280" t="s">
        <v>67</v>
      </c>
      <c r="R280">
        <v>1.42</v>
      </c>
      <c r="S280">
        <v>0.64</v>
      </c>
      <c r="T280">
        <v>0.12</v>
      </c>
      <c r="U280">
        <v>47.46</v>
      </c>
      <c r="V280" s="1">
        <v>0</v>
      </c>
      <c r="X280">
        <v>20260408</v>
      </c>
      <c r="Z280" t="s">
        <v>68</v>
      </c>
      <c r="AA280">
        <v>3974527</v>
      </c>
      <c r="AB280" t="s">
        <v>79</v>
      </c>
      <c r="AE280" s="3">
        <v>0.82146990740740744</v>
      </c>
      <c r="AF280" t="s">
        <v>70</v>
      </c>
    </row>
    <row r="281" spans="1:42">
      <c r="A281">
        <v>1023366</v>
      </c>
      <c r="B281" t="s">
        <v>75</v>
      </c>
      <c r="C281" t="s">
        <v>62</v>
      </c>
      <c r="D281" s="2">
        <v>46119</v>
      </c>
      <c r="E281" s="2">
        <v>46119</v>
      </c>
      <c r="G281">
        <v>354</v>
      </c>
      <c r="H281" t="s">
        <v>63</v>
      </c>
      <c r="I281">
        <v>7173</v>
      </c>
      <c r="J281">
        <v>322552</v>
      </c>
      <c r="L281" t="s">
        <v>381</v>
      </c>
      <c r="M281" t="s">
        <v>65</v>
      </c>
      <c r="N281" t="s">
        <v>66</v>
      </c>
      <c r="O281" s="2">
        <v>46119</v>
      </c>
      <c r="P281" s="1">
        <v>949</v>
      </c>
      <c r="Q281" t="s">
        <v>67</v>
      </c>
      <c r="R281">
        <v>27.43</v>
      </c>
      <c r="S281">
        <v>12.25</v>
      </c>
      <c r="T281">
        <v>2.21</v>
      </c>
      <c r="U281">
        <v>919.36</v>
      </c>
      <c r="V281" s="1">
        <v>0</v>
      </c>
      <c r="X281">
        <v>20260408</v>
      </c>
      <c r="Z281" t="s">
        <v>68</v>
      </c>
      <c r="AA281">
        <v>3974527</v>
      </c>
      <c r="AB281" t="s">
        <v>79</v>
      </c>
      <c r="AE281" s="3">
        <v>0.82672453703703708</v>
      </c>
      <c r="AF281" t="s">
        <v>70</v>
      </c>
    </row>
    <row r="282" spans="1:42">
      <c r="A282">
        <v>1023366</v>
      </c>
      <c r="B282" t="s">
        <v>75</v>
      </c>
      <c r="C282" t="s">
        <v>62</v>
      </c>
      <c r="D282" s="2">
        <v>46119</v>
      </c>
      <c r="E282" s="2">
        <v>46119</v>
      </c>
      <c r="G282">
        <v>354</v>
      </c>
      <c r="H282" t="s">
        <v>63</v>
      </c>
      <c r="I282">
        <v>7175</v>
      </c>
      <c r="J282">
        <v>106918</v>
      </c>
      <c r="L282" t="s">
        <v>382</v>
      </c>
      <c r="M282" t="s">
        <v>65</v>
      </c>
      <c r="N282" t="s">
        <v>66</v>
      </c>
      <c r="O282" s="2">
        <v>46119</v>
      </c>
      <c r="P282" s="1">
        <v>1799</v>
      </c>
      <c r="Q282" t="s">
        <v>67</v>
      </c>
      <c r="R282">
        <v>51.99</v>
      </c>
      <c r="S282">
        <v>23.21</v>
      </c>
      <c r="T282">
        <v>4.18</v>
      </c>
      <c r="U282">
        <v>1742.83</v>
      </c>
      <c r="V282" s="1">
        <v>0</v>
      </c>
      <c r="X282">
        <v>20260408</v>
      </c>
      <c r="Z282" t="s">
        <v>68</v>
      </c>
      <c r="AA282">
        <v>3974527</v>
      </c>
      <c r="AB282" t="s">
        <v>122</v>
      </c>
      <c r="AE282" s="3">
        <v>0.83910879629629631</v>
      </c>
      <c r="AF282" t="s">
        <v>70</v>
      </c>
    </row>
    <row r="283" spans="1:42">
      <c r="A283">
        <v>1023366</v>
      </c>
      <c r="B283" t="s">
        <v>75</v>
      </c>
      <c r="C283" t="s">
        <v>62</v>
      </c>
      <c r="D283" s="2">
        <v>46119</v>
      </c>
      <c r="E283" s="2">
        <v>46119</v>
      </c>
      <c r="G283">
        <v>354</v>
      </c>
      <c r="H283" t="s">
        <v>63</v>
      </c>
      <c r="I283">
        <v>7177</v>
      </c>
      <c r="J283">
        <v>403975</v>
      </c>
      <c r="L283" t="s">
        <v>383</v>
      </c>
      <c r="M283" t="s">
        <v>65</v>
      </c>
      <c r="N283" t="s">
        <v>66</v>
      </c>
      <c r="O283" s="2">
        <v>46119</v>
      </c>
      <c r="P283" s="1">
        <v>105</v>
      </c>
      <c r="Q283" t="s">
        <v>67</v>
      </c>
      <c r="R283">
        <v>3.03</v>
      </c>
      <c r="S283">
        <v>1.35</v>
      </c>
      <c r="T283">
        <v>0.24</v>
      </c>
      <c r="U283">
        <v>101.73</v>
      </c>
      <c r="V283" s="1">
        <v>0</v>
      </c>
      <c r="X283">
        <v>20260408</v>
      </c>
      <c r="Z283" t="s">
        <v>68</v>
      </c>
      <c r="AA283">
        <v>3974527</v>
      </c>
      <c r="AB283" t="s">
        <v>79</v>
      </c>
      <c r="AE283" s="3">
        <v>0.84005787037037039</v>
      </c>
      <c r="AF283" t="s">
        <v>70</v>
      </c>
    </row>
    <row r="284" spans="1:42">
      <c r="A284">
        <v>1023366</v>
      </c>
      <c r="B284" t="s">
        <v>75</v>
      </c>
      <c r="C284" t="s">
        <v>62</v>
      </c>
      <c r="D284" s="2">
        <v>46119</v>
      </c>
      <c r="E284" s="2">
        <v>46119</v>
      </c>
      <c r="G284">
        <v>354</v>
      </c>
      <c r="H284">
        <v>65656565</v>
      </c>
      <c r="I284">
        <v>7179</v>
      </c>
      <c r="J284">
        <v>814150</v>
      </c>
      <c r="L284" t="s">
        <v>384</v>
      </c>
      <c r="M284" t="s">
        <v>65</v>
      </c>
      <c r="N284" t="s">
        <v>66</v>
      </c>
      <c r="O284" s="2">
        <v>46119</v>
      </c>
      <c r="P284" s="1">
        <v>37.25</v>
      </c>
      <c r="Q284" t="s">
        <v>67</v>
      </c>
      <c r="R284">
        <v>1.07</v>
      </c>
      <c r="S284">
        <v>0.47</v>
      </c>
      <c r="T284">
        <v>0.08</v>
      </c>
      <c r="U284">
        <v>36.1</v>
      </c>
      <c r="V284" s="1">
        <v>0</v>
      </c>
      <c r="X284">
        <v>20260408</v>
      </c>
      <c r="Z284" t="s">
        <v>68</v>
      </c>
      <c r="AA284">
        <v>3974527</v>
      </c>
      <c r="AB284" t="s">
        <v>93</v>
      </c>
      <c r="AD284" t="s">
        <v>155</v>
      </c>
      <c r="AE284" s="3">
        <v>0.8453356481481481</v>
      </c>
      <c r="AF284" t="s">
        <v>70</v>
      </c>
    </row>
    <row r="285" spans="1:42">
      <c r="A285">
        <v>1023366</v>
      </c>
      <c r="B285" t="s">
        <v>75</v>
      </c>
      <c r="C285" t="s">
        <v>62</v>
      </c>
      <c r="D285" s="2">
        <v>46119</v>
      </c>
      <c r="E285" s="2">
        <v>46119</v>
      </c>
      <c r="G285">
        <v>354</v>
      </c>
      <c r="H285" t="s">
        <v>63</v>
      </c>
      <c r="I285">
        <v>7186</v>
      </c>
      <c r="J285">
        <v>6621</v>
      </c>
      <c r="L285" t="s">
        <v>385</v>
      </c>
      <c r="M285" t="s">
        <v>65</v>
      </c>
      <c r="N285" t="s">
        <v>66</v>
      </c>
      <c r="O285" s="2">
        <v>46119</v>
      </c>
      <c r="P285" s="1">
        <v>67.25</v>
      </c>
      <c r="Q285" t="s">
        <v>67</v>
      </c>
      <c r="R285">
        <v>1.94</v>
      </c>
      <c r="S285">
        <v>0.53</v>
      </c>
      <c r="T285">
        <v>0.1</v>
      </c>
      <c r="U285">
        <v>65.209999999999994</v>
      </c>
      <c r="V285" s="1">
        <v>0</v>
      </c>
      <c r="X285">
        <v>20260408</v>
      </c>
      <c r="Z285" t="s">
        <v>72</v>
      </c>
      <c r="AA285">
        <v>3974527</v>
      </c>
      <c r="AB285" t="s">
        <v>79</v>
      </c>
      <c r="AE285" s="3">
        <v>0.85818287037037033</v>
      </c>
      <c r="AF285" t="s">
        <v>70</v>
      </c>
    </row>
    <row r="286" spans="1:42">
      <c r="A286">
        <v>1023366</v>
      </c>
      <c r="B286" t="s">
        <v>75</v>
      </c>
      <c r="C286" t="s">
        <v>62</v>
      </c>
      <c r="D286" s="2">
        <v>46119</v>
      </c>
      <c r="E286" s="2">
        <v>46119</v>
      </c>
      <c r="G286">
        <v>354</v>
      </c>
      <c r="H286" t="s">
        <v>63</v>
      </c>
      <c r="I286">
        <v>7188</v>
      </c>
      <c r="J286">
        <v>456522</v>
      </c>
      <c r="L286" t="s">
        <v>386</v>
      </c>
      <c r="M286" t="s">
        <v>65</v>
      </c>
      <c r="N286" t="s">
        <v>66</v>
      </c>
      <c r="O286" s="2">
        <v>46119</v>
      </c>
      <c r="P286" s="1">
        <v>99.9</v>
      </c>
      <c r="Q286" t="s">
        <v>67</v>
      </c>
      <c r="R286">
        <v>2.89</v>
      </c>
      <c r="S286">
        <v>1.29</v>
      </c>
      <c r="T286">
        <v>0.23</v>
      </c>
      <c r="U286">
        <v>96.78</v>
      </c>
      <c r="V286" s="1">
        <v>0</v>
      </c>
      <c r="X286">
        <v>20260408</v>
      </c>
      <c r="Z286" t="s">
        <v>68</v>
      </c>
      <c r="AA286">
        <v>3974527</v>
      </c>
      <c r="AB286" t="s">
        <v>79</v>
      </c>
      <c r="AE286" s="3">
        <v>0.86042824074074076</v>
      </c>
      <c r="AF286" t="s">
        <v>70</v>
      </c>
    </row>
    <row r="287" spans="1:42">
      <c r="A287">
        <v>1023366</v>
      </c>
      <c r="B287" t="s">
        <v>75</v>
      </c>
      <c r="C287" t="s">
        <v>62</v>
      </c>
      <c r="D287" s="2">
        <v>46119</v>
      </c>
      <c r="E287" s="2">
        <v>46119</v>
      </c>
      <c r="G287">
        <v>354</v>
      </c>
      <c r="H287" t="s">
        <v>63</v>
      </c>
      <c r="I287">
        <v>7192</v>
      </c>
      <c r="J287">
        <v>945956</v>
      </c>
      <c r="L287" t="s">
        <v>387</v>
      </c>
      <c r="M287" t="s">
        <v>65</v>
      </c>
      <c r="N287" t="s">
        <v>66</v>
      </c>
      <c r="O287" s="2">
        <v>46119</v>
      </c>
      <c r="P287" s="1">
        <v>1999</v>
      </c>
      <c r="Q287" t="s">
        <v>67</v>
      </c>
      <c r="R287">
        <v>57.77</v>
      </c>
      <c r="S287">
        <v>15.79</v>
      </c>
      <c r="T287">
        <v>2.84</v>
      </c>
      <c r="U287">
        <v>1938.39</v>
      </c>
      <c r="V287" s="1">
        <v>18246.3</v>
      </c>
      <c r="W287" s="2">
        <v>46120</v>
      </c>
      <c r="X287">
        <v>20260408</v>
      </c>
      <c r="Z287" t="s">
        <v>68</v>
      </c>
      <c r="AA287">
        <v>3974527</v>
      </c>
      <c r="AB287" t="s">
        <v>93</v>
      </c>
      <c r="AE287" s="3">
        <v>0.87241898148148145</v>
      </c>
      <c r="AF287" t="s">
        <v>70</v>
      </c>
      <c r="AL287">
        <v>104107</v>
      </c>
      <c r="AM287" s="30">
        <f>+V287</f>
        <v>18246.3</v>
      </c>
      <c r="AN287" t="str">
        <f>_xlfn.XLOOKUP(V287,Bancos!H:H,Bancos!C:C)</f>
        <v>8014234</v>
      </c>
      <c r="AO287" t="str">
        <f>_xlfn.XLOOKUP(AN287,Bancos!C:C,Bancos!A:A)</f>
        <v>08/04/2026</v>
      </c>
      <c r="AP287" s="12">
        <f>+AO287-W287</f>
        <v>0</v>
      </c>
    </row>
    <row r="288" spans="1:42">
      <c r="A288">
        <v>1023366</v>
      </c>
      <c r="B288" t="s">
        <v>61</v>
      </c>
      <c r="C288" t="s">
        <v>62</v>
      </c>
      <c r="D288" s="2">
        <v>46120</v>
      </c>
      <c r="E288" s="2">
        <v>46120</v>
      </c>
      <c r="G288">
        <v>355</v>
      </c>
      <c r="H288" t="s">
        <v>63</v>
      </c>
      <c r="I288">
        <v>7214</v>
      </c>
      <c r="J288">
        <v>107516</v>
      </c>
      <c r="K288">
        <v>3</v>
      </c>
      <c r="L288" t="s">
        <v>388</v>
      </c>
      <c r="M288" t="s">
        <v>65</v>
      </c>
      <c r="N288" t="s">
        <v>66</v>
      </c>
      <c r="O288" s="2">
        <v>46120</v>
      </c>
      <c r="P288" s="1">
        <v>1001</v>
      </c>
      <c r="Q288" t="s">
        <v>67</v>
      </c>
      <c r="R288">
        <v>46.45</v>
      </c>
      <c r="S288">
        <v>3.4</v>
      </c>
      <c r="T288">
        <v>0.61</v>
      </c>
      <c r="U288">
        <v>953.94</v>
      </c>
      <c r="V288" s="1">
        <v>0</v>
      </c>
      <c r="X288">
        <v>20260409</v>
      </c>
      <c r="Z288" t="s">
        <v>72</v>
      </c>
      <c r="AA288">
        <v>3974527</v>
      </c>
      <c r="AB288" t="s">
        <v>93</v>
      </c>
      <c r="AC288" t="s">
        <v>120</v>
      </c>
      <c r="AE288" s="3">
        <v>0.47167824074074072</v>
      </c>
      <c r="AF288" t="s">
        <v>70</v>
      </c>
    </row>
    <row r="289" spans="1:42">
      <c r="A289">
        <v>1023366</v>
      </c>
      <c r="B289" t="s">
        <v>61</v>
      </c>
      <c r="C289" t="s">
        <v>62</v>
      </c>
      <c r="D289" s="2">
        <v>46120</v>
      </c>
      <c r="E289" s="2">
        <v>46120</v>
      </c>
      <c r="G289">
        <v>355</v>
      </c>
      <c r="H289" t="s">
        <v>63</v>
      </c>
      <c r="I289">
        <v>7247</v>
      </c>
      <c r="J289" t="s">
        <v>389</v>
      </c>
      <c r="L289" t="s">
        <v>390</v>
      </c>
      <c r="M289" t="s">
        <v>96</v>
      </c>
      <c r="N289" t="s">
        <v>66</v>
      </c>
      <c r="O289" s="2">
        <v>46120</v>
      </c>
      <c r="P289" s="1">
        <v>199</v>
      </c>
      <c r="Q289" t="s">
        <v>67</v>
      </c>
      <c r="R289">
        <v>7.76</v>
      </c>
      <c r="S289">
        <v>3.82</v>
      </c>
      <c r="T289">
        <v>0.69</v>
      </c>
      <c r="U289">
        <v>190.55</v>
      </c>
      <c r="V289" s="1">
        <v>1144.49</v>
      </c>
      <c r="W289" s="2">
        <v>46121</v>
      </c>
      <c r="X289">
        <v>20260409</v>
      </c>
      <c r="Z289" t="s">
        <v>72</v>
      </c>
      <c r="AA289">
        <v>3974527</v>
      </c>
      <c r="AB289" t="s">
        <v>234</v>
      </c>
      <c r="AE289" s="3">
        <v>0.68525462962962957</v>
      </c>
      <c r="AF289" t="s">
        <v>70</v>
      </c>
      <c r="AL289">
        <v>104107</v>
      </c>
      <c r="AM289" s="30">
        <f>+V289</f>
        <v>1144.49</v>
      </c>
      <c r="AN289" t="str">
        <f>_xlfn.XLOOKUP(V289,Bancos!H:H,Bancos!C:C)</f>
        <v>8005809</v>
      </c>
      <c r="AO289" t="str">
        <f>_xlfn.XLOOKUP(AN289,Bancos!C:C,Bancos!A:A)</f>
        <v>09/04/2026</v>
      </c>
      <c r="AP289" s="12">
        <f>+AO289-W289</f>
        <v>0</v>
      </c>
    </row>
    <row r="290" spans="1:42">
      <c r="A290">
        <v>1023366</v>
      </c>
      <c r="B290" t="s">
        <v>75</v>
      </c>
      <c r="C290" t="s">
        <v>62</v>
      </c>
      <c r="D290" s="2">
        <v>46120</v>
      </c>
      <c r="E290" s="2">
        <v>46120</v>
      </c>
      <c r="G290">
        <v>355</v>
      </c>
      <c r="H290" t="s">
        <v>63</v>
      </c>
      <c r="I290">
        <v>7208</v>
      </c>
      <c r="J290">
        <v>942030</v>
      </c>
      <c r="L290" t="s">
        <v>391</v>
      </c>
      <c r="M290" t="s">
        <v>65</v>
      </c>
      <c r="N290" t="s">
        <v>66</v>
      </c>
      <c r="O290" s="2">
        <v>46120</v>
      </c>
      <c r="P290" s="1">
        <v>2199</v>
      </c>
      <c r="Q290" t="s">
        <v>67</v>
      </c>
      <c r="R290">
        <v>63.55</v>
      </c>
      <c r="S290">
        <v>28.37</v>
      </c>
      <c r="T290">
        <v>5.1100000000000003</v>
      </c>
      <c r="U290">
        <v>2130.34</v>
      </c>
      <c r="V290" s="1">
        <v>0</v>
      </c>
      <c r="X290">
        <v>20260409</v>
      </c>
      <c r="Z290" t="s">
        <v>68</v>
      </c>
      <c r="AA290">
        <v>3974527</v>
      </c>
      <c r="AB290" t="s">
        <v>79</v>
      </c>
      <c r="AE290" s="3">
        <v>0.4304513888888889</v>
      </c>
      <c r="AF290" t="s">
        <v>70</v>
      </c>
    </row>
    <row r="291" spans="1:42">
      <c r="A291">
        <v>1023366</v>
      </c>
      <c r="B291" t="s">
        <v>75</v>
      </c>
      <c r="C291" t="s">
        <v>62</v>
      </c>
      <c r="D291" s="2">
        <v>46120</v>
      </c>
      <c r="E291" s="2">
        <v>46120</v>
      </c>
      <c r="G291">
        <v>355</v>
      </c>
      <c r="H291" t="s">
        <v>63</v>
      </c>
      <c r="I291">
        <v>7212</v>
      </c>
      <c r="J291">
        <v>68905</v>
      </c>
      <c r="L291" t="s">
        <v>392</v>
      </c>
      <c r="M291" t="s">
        <v>65</v>
      </c>
      <c r="N291" t="s">
        <v>66</v>
      </c>
      <c r="O291" s="2">
        <v>46120</v>
      </c>
      <c r="P291" s="1">
        <v>149</v>
      </c>
      <c r="Q291" t="s">
        <v>67</v>
      </c>
      <c r="R291">
        <v>4.3099999999999996</v>
      </c>
      <c r="S291">
        <v>1.93</v>
      </c>
      <c r="T291">
        <v>0.35</v>
      </c>
      <c r="U291">
        <v>144.34</v>
      </c>
      <c r="V291" s="1">
        <v>0</v>
      </c>
      <c r="X291">
        <v>20260409</v>
      </c>
      <c r="Z291" t="s">
        <v>68</v>
      </c>
      <c r="AA291">
        <v>3974527</v>
      </c>
      <c r="AB291" t="s">
        <v>93</v>
      </c>
      <c r="AE291" s="3">
        <v>0.46289351851851851</v>
      </c>
      <c r="AF291" t="s">
        <v>70</v>
      </c>
    </row>
    <row r="292" spans="1:42">
      <c r="A292">
        <v>1023366</v>
      </c>
      <c r="B292" t="s">
        <v>75</v>
      </c>
      <c r="C292" t="s">
        <v>62</v>
      </c>
      <c r="D292" s="2">
        <v>46120</v>
      </c>
      <c r="E292" s="2">
        <v>46120</v>
      </c>
      <c r="G292">
        <v>355</v>
      </c>
      <c r="H292" t="s">
        <v>63</v>
      </c>
      <c r="I292">
        <v>7218</v>
      </c>
      <c r="J292">
        <v>107302</v>
      </c>
      <c r="L292" t="s">
        <v>393</v>
      </c>
      <c r="M292" t="s">
        <v>65</v>
      </c>
      <c r="N292" t="s">
        <v>66</v>
      </c>
      <c r="O292" s="2">
        <v>46120</v>
      </c>
      <c r="P292" s="1">
        <v>159</v>
      </c>
      <c r="Q292" t="s">
        <v>67</v>
      </c>
      <c r="R292">
        <v>4.5999999999999996</v>
      </c>
      <c r="S292">
        <v>2.06</v>
      </c>
      <c r="T292">
        <v>0.37</v>
      </c>
      <c r="U292">
        <v>154.03</v>
      </c>
      <c r="V292" s="1">
        <v>0</v>
      </c>
      <c r="X292">
        <v>20260409</v>
      </c>
      <c r="Z292" t="s">
        <v>68</v>
      </c>
      <c r="AA292">
        <v>3974527</v>
      </c>
      <c r="AB292" t="s">
        <v>79</v>
      </c>
      <c r="AE292" s="3">
        <v>0.50521990740740741</v>
      </c>
      <c r="AF292" t="s">
        <v>70</v>
      </c>
    </row>
    <row r="293" spans="1:42">
      <c r="A293">
        <v>1023366</v>
      </c>
      <c r="B293" t="s">
        <v>75</v>
      </c>
      <c r="C293" t="s">
        <v>62</v>
      </c>
      <c r="D293" s="2">
        <v>46120</v>
      </c>
      <c r="E293" s="2">
        <v>46120</v>
      </c>
      <c r="G293">
        <v>355</v>
      </c>
      <c r="H293" t="s">
        <v>63</v>
      </c>
      <c r="I293">
        <v>7220</v>
      </c>
      <c r="J293">
        <v>455911</v>
      </c>
      <c r="L293" t="s">
        <v>394</v>
      </c>
      <c r="M293" t="s">
        <v>65</v>
      </c>
      <c r="N293" t="s">
        <v>66</v>
      </c>
      <c r="O293" s="2">
        <v>46120</v>
      </c>
      <c r="P293" s="1">
        <v>35</v>
      </c>
      <c r="Q293" t="s">
        <v>67</v>
      </c>
      <c r="R293">
        <v>1.01</v>
      </c>
      <c r="S293">
        <v>0.45</v>
      </c>
      <c r="T293">
        <v>0.08</v>
      </c>
      <c r="U293">
        <v>33.909999999999997</v>
      </c>
      <c r="V293" s="1">
        <v>0</v>
      </c>
      <c r="X293">
        <v>20260409</v>
      </c>
      <c r="Z293" t="s">
        <v>68</v>
      </c>
      <c r="AA293">
        <v>3974527</v>
      </c>
      <c r="AB293" t="s">
        <v>79</v>
      </c>
      <c r="AE293" s="3">
        <v>0.53391203703703705</v>
      </c>
      <c r="AF293" t="s">
        <v>70</v>
      </c>
    </row>
    <row r="294" spans="1:42">
      <c r="A294">
        <v>1023366</v>
      </c>
      <c r="B294" t="s">
        <v>75</v>
      </c>
      <c r="C294" t="s">
        <v>62</v>
      </c>
      <c r="D294" s="2">
        <v>46120</v>
      </c>
      <c r="E294" s="2">
        <v>46120</v>
      </c>
      <c r="G294">
        <v>355</v>
      </c>
      <c r="H294" t="s">
        <v>63</v>
      </c>
      <c r="I294">
        <v>7222</v>
      </c>
      <c r="J294">
        <v>468109</v>
      </c>
      <c r="L294" t="s">
        <v>395</v>
      </c>
      <c r="M294" t="s">
        <v>65</v>
      </c>
      <c r="N294" t="s">
        <v>66</v>
      </c>
      <c r="O294" s="2">
        <v>46120</v>
      </c>
      <c r="P294" s="1">
        <v>35</v>
      </c>
      <c r="Q294" t="s">
        <v>67</v>
      </c>
      <c r="R294">
        <v>1.01</v>
      </c>
      <c r="S294">
        <v>0.13</v>
      </c>
      <c r="T294">
        <v>0.02</v>
      </c>
      <c r="U294">
        <v>33.97</v>
      </c>
      <c r="V294" s="1">
        <v>0</v>
      </c>
      <c r="X294">
        <v>20260409</v>
      </c>
      <c r="Z294" t="s">
        <v>72</v>
      </c>
      <c r="AA294">
        <v>3974527</v>
      </c>
      <c r="AB294" t="s">
        <v>93</v>
      </c>
      <c r="AE294" s="3">
        <v>0.54849537037037033</v>
      </c>
      <c r="AF294" t="s">
        <v>70</v>
      </c>
    </row>
    <row r="295" spans="1:42">
      <c r="A295">
        <v>1023366</v>
      </c>
      <c r="B295" t="s">
        <v>75</v>
      </c>
      <c r="C295" t="s">
        <v>62</v>
      </c>
      <c r="D295" s="2">
        <v>46120</v>
      </c>
      <c r="E295" s="2">
        <v>46120</v>
      </c>
      <c r="G295">
        <v>355</v>
      </c>
      <c r="H295" t="s">
        <v>63</v>
      </c>
      <c r="I295">
        <v>7224</v>
      </c>
      <c r="J295">
        <v>606710</v>
      </c>
      <c r="L295" t="s">
        <v>396</v>
      </c>
      <c r="M295" t="s">
        <v>65</v>
      </c>
      <c r="N295" t="s">
        <v>66</v>
      </c>
      <c r="O295" s="2">
        <v>46120</v>
      </c>
      <c r="P295" s="1">
        <v>179</v>
      </c>
      <c r="Q295" t="s">
        <v>67</v>
      </c>
      <c r="R295">
        <v>5.17</v>
      </c>
      <c r="S295">
        <v>1.05</v>
      </c>
      <c r="T295">
        <v>0.19</v>
      </c>
      <c r="U295">
        <v>173.64</v>
      </c>
      <c r="V295" s="1">
        <v>0</v>
      </c>
      <c r="X295">
        <v>20260409</v>
      </c>
      <c r="Z295" t="s">
        <v>72</v>
      </c>
      <c r="AA295">
        <v>3974527</v>
      </c>
      <c r="AB295" t="s">
        <v>93</v>
      </c>
      <c r="AE295" s="3">
        <v>0.57516203703703705</v>
      </c>
      <c r="AF295" t="s">
        <v>70</v>
      </c>
    </row>
    <row r="296" spans="1:42">
      <c r="A296">
        <v>1023366</v>
      </c>
      <c r="B296" t="s">
        <v>75</v>
      </c>
      <c r="C296" t="s">
        <v>62</v>
      </c>
      <c r="D296" s="2">
        <v>46120</v>
      </c>
      <c r="E296" s="2">
        <v>46120</v>
      </c>
      <c r="G296">
        <v>355</v>
      </c>
      <c r="H296" t="s">
        <v>63</v>
      </c>
      <c r="I296">
        <v>7226</v>
      </c>
      <c r="J296">
        <v>342892</v>
      </c>
      <c r="L296" t="s">
        <v>397</v>
      </c>
      <c r="M296" t="s">
        <v>65</v>
      </c>
      <c r="N296" t="s">
        <v>66</v>
      </c>
      <c r="O296" s="2">
        <v>46120</v>
      </c>
      <c r="P296" s="1">
        <v>279</v>
      </c>
      <c r="Q296" t="s">
        <v>67</v>
      </c>
      <c r="R296">
        <v>8.06</v>
      </c>
      <c r="S296">
        <v>3.6</v>
      </c>
      <c r="T296">
        <v>0.65</v>
      </c>
      <c r="U296">
        <v>270.29000000000002</v>
      </c>
      <c r="V296" s="1">
        <v>0</v>
      </c>
      <c r="X296">
        <v>20260409</v>
      </c>
      <c r="Z296" t="s">
        <v>68</v>
      </c>
      <c r="AA296">
        <v>3974527</v>
      </c>
      <c r="AB296" t="s">
        <v>79</v>
      </c>
      <c r="AE296" s="3">
        <v>0.58472222222222225</v>
      </c>
      <c r="AF296" t="s">
        <v>70</v>
      </c>
    </row>
    <row r="297" spans="1:42">
      <c r="A297">
        <v>1023366</v>
      </c>
      <c r="B297" t="s">
        <v>75</v>
      </c>
      <c r="C297" t="s">
        <v>62</v>
      </c>
      <c r="D297" s="2">
        <v>46120</v>
      </c>
      <c r="E297" s="2">
        <v>46120</v>
      </c>
      <c r="G297">
        <v>355</v>
      </c>
      <c r="H297" t="s">
        <v>63</v>
      </c>
      <c r="I297">
        <v>7228</v>
      </c>
      <c r="J297">
        <v>979385</v>
      </c>
      <c r="L297" t="s">
        <v>398</v>
      </c>
      <c r="M297" t="s">
        <v>65</v>
      </c>
      <c r="N297" t="s">
        <v>66</v>
      </c>
      <c r="O297" s="2">
        <v>46120</v>
      </c>
      <c r="P297" s="1">
        <v>89</v>
      </c>
      <c r="Q297" t="s">
        <v>67</v>
      </c>
      <c r="R297">
        <v>2.57</v>
      </c>
      <c r="S297">
        <v>0.7</v>
      </c>
      <c r="T297">
        <v>0.13</v>
      </c>
      <c r="U297">
        <v>86.3</v>
      </c>
      <c r="V297" s="1">
        <v>0</v>
      </c>
      <c r="X297">
        <v>20260409</v>
      </c>
      <c r="Z297" t="s">
        <v>68</v>
      </c>
      <c r="AA297">
        <v>3974527</v>
      </c>
      <c r="AB297" t="s">
        <v>77</v>
      </c>
      <c r="AE297" s="3">
        <v>0.58609953703703699</v>
      </c>
      <c r="AF297" t="s">
        <v>70</v>
      </c>
    </row>
    <row r="298" spans="1:42">
      <c r="A298">
        <v>1023366</v>
      </c>
      <c r="B298" t="s">
        <v>75</v>
      </c>
      <c r="C298" t="s">
        <v>62</v>
      </c>
      <c r="D298" s="2">
        <v>46120</v>
      </c>
      <c r="E298" s="2">
        <v>46120</v>
      </c>
      <c r="G298">
        <v>355</v>
      </c>
      <c r="H298" t="s">
        <v>63</v>
      </c>
      <c r="I298">
        <v>7230</v>
      </c>
      <c r="J298">
        <v>282874</v>
      </c>
      <c r="L298" t="s">
        <v>399</v>
      </c>
      <c r="M298" t="s">
        <v>65</v>
      </c>
      <c r="N298" t="s">
        <v>66</v>
      </c>
      <c r="O298" s="2">
        <v>46120</v>
      </c>
      <c r="P298" s="1">
        <v>149</v>
      </c>
      <c r="Q298" t="s">
        <v>67</v>
      </c>
      <c r="R298">
        <v>4.3099999999999996</v>
      </c>
      <c r="S298">
        <v>1.18</v>
      </c>
      <c r="T298">
        <v>0.21</v>
      </c>
      <c r="U298">
        <v>144.47999999999999</v>
      </c>
      <c r="V298" s="1">
        <v>0</v>
      </c>
      <c r="X298">
        <v>20260409</v>
      </c>
      <c r="Z298" t="s">
        <v>72</v>
      </c>
      <c r="AA298">
        <v>3974527</v>
      </c>
      <c r="AB298" t="s">
        <v>77</v>
      </c>
      <c r="AE298" s="3">
        <v>0.6030092592592593</v>
      </c>
      <c r="AF298" t="s">
        <v>70</v>
      </c>
    </row>
    <row r="299" spans="1:42">
      <c r="A299">
        <v>1023366</v>
      </c>
      <c r="B299" t="s">
        <v>75</v>
      </c>
      <c r="C299" t="s">
        <v>62</v>
      </c>
      <c r="D299" s="2">
        <v>46120</v>
      </c>
      <c r="E299" s="2">
        <v>46120</v>
      </c>
      <c r="G299">
        <v>355</v>
      </c>
      <c r="H299" t="s">
        <v>63</v>
      </c>
      <c r="I299">
        <v>7232</v>
      </c>
      <c r="J299">
        <v>678788</v>
      </c>
      <c r="L299" t="s">
        <v>400</v>
      </c>
      <c r="M299" t="s">
        <v>65</v>
      </c>
      <c r="N299" t="s">
        <v>66</v>
      </c>
      <c r="O299" s="2">
        <v>46120</v>
      </c>
      <c r="P299" s="1">
        <v>319</v>
      </c>
      <c r="Q299" t="s">
        <v>67</v>
      </c>
      <c r="R299">
        <v>9.2200000000000006</v>
      </c>
      <c r="S299">
        <v>4.12</v>
      </c>
      <c r="T299">
        <v>0.74</v>
      </c>
      <c r="U299">
        <v>309.04000000000002</v>
      </c>
      <c r="V299" s="1">
        <v>0</v>
      </c>
      <c r="X299">
        <v>20260409</v>
      </c>
      <c r="Z299" t="s">
        <v>68</v>
      </c>
      <c r="AA299">
        <v>3974527</v>
      </c>
      <c r="AB299" t="s">
        <v>106</v>
      </c>
      <c r="AE299" s="3">
        <v>0.62034722222222227</v>
      </c>
      <c r="AF299" t="s">
        <v>70</v>
      </c>
    </row>
    <row r="300" spans="1:42">
      <c r="A300">
        <v>1023366</v>
      </c>
      <c r="B300" t="s">
        <v>75</v>
      </c>
      <c r="C300" t="s">
        <v>62</v>
      </c>
      <c r="D300" s="2">
        <v>46120</v>
      </c>
      <c r="E300" s="2">
        <v>46120</v>
      </c>
      <c r="G300">
        <v>355</v>
      </c>
      <c r="H300" t="s">
        <v>63</v>
      </c>
      <c r="I300">
        <v>7234</v>
      </c>
      <c r="J300">
        <v>492520</v>
      </c>
      <c r="L300" t="s">
        <v>401</v>
      </c>
      <c r="M300" t="s">
        <v>65</v>
      </c>
      <c r="N300" t="s">
        <v>66</v>
      </c>
      <c r="O300" s="2">
        <v>46120</v>
      </c>
      <c r="P300" s="1">
        <v>35.799999999999997</v>
      </c>
      <c r="Q300" t="s">
        <v>67</v>
      </c>
      <c r="R300">
        <v>1.03</v>
      </c>
      <c r="S300">
        <v>0.46</v>
      </c>
      <c r="T300">
        <v>0.08</v>
      </c>
      <c r="U300">
        <v>34.69</v>
      </c>
      <c r="V300" s="1">
        <v>0</v>
      </c>
      <c r="X300">
        <v>20260409</v>
      </c>
      <c r="Z300" t="s">
        <v>68</v>
      </c>
      <c r="AA300">
        <v>3974527</v>
      </c>
      <c r="AB300" t="s">
        <v>79</v>
      </c>
      <c r="AE300" s="3">
        <v>0.63912037037037039</v>
      </c>
      <c r="AF300" t="s">
        <v>70</v>
      </c>
    </row>
    <row r="301" spans="1:42">
      <c r="A301">
        <v>1023366</v>
      </c>
      <c r="B301" t="s">
        <v>75</v>
      </c>
      <c r="C301" t="s">
        <v>62</v>
      </c>
      <c r="D301" s="2">
        <v>46120</v>
      </c>
      <c r="E301" s="2">
        <v>46120</v>
      </c>
      <c r="G301">
        <v>355</v>
      </c>
      <c r="H301" t="s">
        <v>63</v>
      </c>
      <c r="I301">
        <v>7236</v>
      </c>
      <c r="J301">
        <v>1150</v>
      </c>
      <c r="L301" t="s">
        <v>402</v>
      </c>
      <c r="M301" t="s">
        <v>65</v>
      </c>
      <c r="N301" t="s">
        <v>66</v>
      </c>
      <c r="O301" s="2">
        <v>46120</v>
      </c>
      <c r="P301" s="1">
        <v>69</v>
      </c>
      <c r="Q301" t="s">
        <v>67</v>
      </c>
      <c r="R301">
        <v>1.99</v>
      </c>
      <c r="S301">
        <v>0.54</v>
      </c>
      <c r="T301">
        <v>0.1</v>
      </c>
      <c r="U301">
        <v>66.91</v>
      </c>
      <c r="V301" s="1">
        <v>0</v>
      </c>
      <c r="X301">
        <v>20260409</v>
      </c>
      <c r="Z301" t="s">
        <v>72</v>
      </c>
      <c r="AA301">
        <v>3974527</v>
      </c>
      <c r="AB301" t="s">
        <v>79</v>
      </c>
      <c r="AE301" s="3">
        <v>0.64252314814814815</v>
      </c>
      <c r="AF301" t="s">
        <v>70</v>
      </c>
    </row>
    <row r="302" spans="1:42">
      <c r="A302">
        <v>1023366</v>
      </c>
      <c r="B302" t="s">
        <v>75</v>
      </c>
      <c r="C302" t="s">
        <v>62</v>
      </c>
      <c r="D302" s="2">
        <v>46120</v>
      </c>
      <c r="E302" s="2">
        <v>46120</v>
      </c>
      <c r="G302">
        <v>355</v>
      </c>
      <c r="H302" t="s">
        <v>63</v>
      </c>
      <c r="I302">
        <v>7238</v>
      </c>
      <c r="J302">
        <v>757195</v>
      </c>
      <c r="L302" t="s">
        <v>403</v>
      </c>
      <c r="M302" t="s">
        <v>65</v>
      </c>
      <c r="N302" t="s">
        <v>66</v>
      </c>
      <c r="O302" s="2">
        <v>46120</v>
      </c>
      <c r="P302" s="1">
        <v>688</v>
      </c>
      <c r="Q302" t="s">
        <v>67</v>
      </c>
      <c r="R302">
        <v>19.88</v>
      </c>
      <c r="S302">
        <v>4.0599999999999996</v>
      </c>
      <c r="T302">
        <v>0.73</v>
      </c>
      <c r="U302">
        <v>667.39</v>
      </c>
      <c r="V302" s="1">
        <v>0</v>
      </c>
      <c r="X302">
        <v>20260409</v>
      </c>
      <c r="Z302" t="s">
        <v>72</v>
      </c>
      <c r="AA302">
        <v>3974527</v>
      </c>
      <c r="AB302" t="s">
        <v>106</v>
      </c>
      <c r="AE302" s="3">
        <v>0.64733796296296298</v>
      </c>
      <c r="AF302" t="s">
        <v>70</v>
      </c>
    </row>
    <row r="303" spans="1:42">
      <c r="A303">
        <v>1023366</v>
      </c>
      <c r="B303" t="s">
        <v>75</v>
      </c>
      <c r="C303" t="s">
        <v>62</v>
      </c>
      <c r="D303" s="2">
        <v>46120</v>
      </c>
      <c r="E303" s="2">
        <v>46120</v>
      </c>
      <c r="G303">
        <v>355</v>
      </c>
      <c r="H303" t="s">
        <v>63</v>
      </c>
      <c r="I303">
        <v>7240</v>
      </c>
      <c r="J303">
        <v>334259</v>
      </c>
      <c r="L303" t="s">
        <v>404</v>
      </c>
      <c r="M303" t="s">
        <v>65</v>
      </c>
      <c r="N303" t="s">
        <v>66</v>
      </c>
      <c r="O303" s="2">
        <v>46120</v>
      </c>
      <c r="P303" s="1">
        <v>89.9</v>
      </c>
      <c r="Q303" t="s">
        <v>67</v>
      </c>
      <c r="R303">
        <v>2.6</v>
      </c>
      <c r="S303">
        <v>0.71</v>
      </c>
      <c r="T303">
        <v>0.13</v>
      </c>
      <c r="U303">
        <v>87.17</v>
      </c>
      <c r="V303" s="1">
        <v>0</v>
      </c>
      <c r="X303">
        <v>20260409</v>
      </c>
      <c r="Z303" t="s">
        <v>72</v>
      </c>
      <c r="AA303">
        <v>3974527</v>
      </c>
      <c r="AB303" t="s">
        <v>77</v>
      </c>
      <c r="AE303" s="3">
        <v>0.64831018518518524</v>
      </c>
      <c r="AF303" t="s">
        <v>70</v>
      </c>
    </row>
    <row r="304" spans="1:42">
      <c r="A304">
        <v>1023366</v>
      </c>
      <c r="B304" t="s">
        <v>75</v>
      </c>
      <c r="C304" t="s">
        <v>62</v>
      </c>
      <c r="D304" s="2">
        <v>46120</v>
      </c>
      <c r="E304" s="2">
        <v>46120</v>
      </c>
      <c r="G304">
        <v>355</v>
      </c>
      <c r="H304" t="s">
        <v>63</v>
      </c>
      <c r="I304">
        <v>7242</v>
      </c>
      <c r="J304">
        <v>498123</v>
      </c>
      <c r="L304" t="s">
        <v>405</v>
      </c>
      <c r="M304" t="s">
        <v>65</v>
      </c>
      <c r="N304" t="s">
        <v>66</v>
      </c>
      <c r="O304" s="2">
        <v>46120</v>
      </c>
      <c r="P304" s="1">
        <v>549</v>
      </c>
      <c r="Q304" t="s">
        <v>67</v>
      </c>
      <c r="R304">
        <v>15.87</v>
      </c>
      <c r="S304">
        <v>7.09</v>
      </c>
      <c r="T304">
        <v>1.28</v>
      </c>
      <c r="U304">
        <v>531.85</v>
      </c>
      <c r="V304" s="1">
        <v>0</v>
      </c>
      <c r="X304">
        <v>20260409</v>
      </c>
      <c r="Z304" t="s">
        <v>68</v>
      </c>
      <c r="AA304">
        <v>3974527</v>
      </c>
      <c r="AB304" t="s">
        <v>79</v>
      </c>
      <c r="AE304" s="3">
        <v>0.65339120370370374</v>
      </c>
      <c r="AF304" t="s">
        <v>70</v>
      </c>
    </row>
    <row r="305" spans="1:32">
      <c r="A305">
        <v>1023366</v>
      </c>
      <c r="B305" t="s">
        <v>75</v>
      </c>
      <c r="C305" t="s">
        <v>62</v>
      </c>
      <c r="D305" s="2">
        <v>46120</v>
      </c>
      <c r="E305" s="2">
        <v>46120</v>
      </c>
      <c r="G305">
        <v>355</v>
      </c>
      <c r="H305" t="s">
        <v>63</v>
      </c>
      <c r="I305">
        <v>7244</v>
      </c>
      <c r="J305">
        <v>588722</v>
      </c>
      <c r="L305" t="s">
        <v>406</v>
      </c>
      <c r="M305" t="s">
        <v>65</v>
      </c>
      <c r="N305" t="s">
        <v>66</v>
      </c>
      <c r="O305" s="2">
        <v>46120</v>
      </c>
      <c r="P305" s="1">
        <v>149</v>
      </c>
      <c r="Q305" t="s">
        <v>67</v>
      </c>
      <c r="R305">
        <v>4.3099999999999996</v>
      </c>
      <c r="S305">
        <v>1.93</v>
      </c>
      <c r="T305">
        <v>0.35</v>
      </c>
      <c r="U305">
        <v>144.34</v>
      </c>
      <c r="V305" s="1">
        <v>0</v>
      </c>
      <c r="X305">
        <v>20260409</v>
      </c>
      <c r="Z305" t="s">
        <v>68</v>
      </c>
      <c r="AA305">
        <v>3974527</v>
      </c>
      <c r="AB305" t="s">
        <v>79</v>
      </c>
      <c r="AE305" s="3">
        <v>0.68273148148148144</v>
      </c>
      <c r="AF305" t="s">
        <v>70</v>
      </c>
    </row>
    <row r="306" spans="1:32">
      <c r="A306">
        <v>1023366</v>
      </c>
      <c r="B306" t="s">
        <v>75</v>
      </c>
      <c r="C306" t="s">
        <v>62</v>
      </c>
      <c r="D306" s="2">
        <v>46120</v>
      </c>
      <c r="E306" s="2">
        <v>46120</v>
      </c>
      <c r="G306">
        <v>355</v>
      </c>
      <c r="H306" t="s">
        <v>63</v>
      </c>
      <c r="I306">
        <v>7249</v>
      </c>
      <c r="J306">
        <v>892041</v>
      </c>
      <c r="L306" t="s">
        <v>407</v>
      </c>
      <c r="M306" t="s">
        <v>65</v>
      </c>
      <c r="N306" t="s">
        <v>66</v>
      </c>
      <c r="O306" s="2">
        <v>46120</v>
      </c>
      <c r="P306" s="1">
        <v>99</v>
      </c>
      <c r="Q306" t="s">
        <v>67</v>
      </c>
      <c r="R306">
        <v>2.86</v>
      </c>
      <c r="S306">
        <v>1.28</v>
      </c>
      <c r="T306">
        <v>0.23</v>
      </c>
      <c r="U306">
        <v>95.91</v>
      </c>
      <c r="V306" s="1">
        <v>0</v>
      </c>
      <c r="X306">
        <v>20260409</v>
      </c>
      <c r="Z306" t="s">
        <v>68</v>
      </c>
      <c r="AA306">
        <v>3974527</v>
      </c>
      <c r="AB306" t="s">
        <v>79</v>
      </c>
      <c r="AE306" s="3">
        <v>0.71087962962962958</v>
      </c>
      <c r="AF306" t="s">
        <v>70</v>
      </c>
    </row>
    <row r="307" spans="1:32">
      <c r="A307">
        <v>1023366</v>
      </c>
      <c r="B307" t="s">
        <v>75</v>
      </c>
      <c r="C307" t="s">
        <v>62</v>
      </c>
      <c r="D307" s="2">
        <v>46120</v>
      </c>
      <c r="E307" s="2">
        <v>46120</v>
      </c>
      <c r="G307">
        <v>355</v>
      </c>
      <c r="H307" t="s">
        <v>63</v>
      </c>
      <c r="I307">
        <v>7254</v>
      </c>
      <c r="J307">
        <v>503567</v>
      </c>
      <c r="L307" t="s">
        <v>318</v>
      </c>
      <c r="M307" t="s">
        <v>96</v>
      </c>
      <c r="N307" t="s">
        <v>66</v>
      </c>
      <c r="O307" s="2">
        <v>46120</v>
      </c>
      <c r="P307" s="1">
        <v>69</v>
      </c>
      <c r="Q307" t="s">
        <v>67</v>
      </c>
      <c r="R307">
        <v>2.69</v>
      </c>
      <c r="S307">
        <v>1.42</v>
      </c>
      <c r="T307">
        <v>0.26</v>
      </c>
      <c r="U307">
        <v>66.05</v>
      </c>
      <c r="V307" s="1">
        <v>0</v>
      </c>
      <c r="X307">
        <v>20260409</v>
      </c>
      <c r="Z307" t="s">
        <v>68</v>
      </c>
      <c r="AA307">
        <v>3974527</v>
      </c>
      <c r="AB307" t="s">
        <v>97</v>
      </c>
      <c r="AE307" s="3">
        <v>0.74833333333333329</v>
      </c>
      <c r="AF307" t="s">
        <v>70</v>
      </c>
    </row>
    <row r="308" spans="1:32">
      <c r="A308">
        <v>1023366</v>
      </c>
      <c r="B308" t="s">
        <v>75</v>
      </c>
      <c r="C308" t="s">
        <v>62</v>
      </c>
      <c r="D308" s="2">
        <v>46120</v>
      </c>
      <c r="E308" s="2">
        <v>46120</v>
      </c>
      <c r="G308">
        <v>355</v>
      </c>
      <c r="H308">
        <v>65656565</v>
      </c>
      <c r="I308">
        <v>7256</v>
      </c>
      <c r="J308">
        <v>44183</v>
      </c>
      <c r="L308" t="s">
        <v>408</v>
      </c>
      <c r="M308" t="s">
        <v>65</v>
      </c>
      <c r="N308" t="s">
        <v>66</v>
      </c>
      <c r="O308" s="2">
        <v>46120</v>
      </c>
      <c r="P308" s="1">
        <v>55</v>
      </c>
      <c r="Q308" t="s">
        <v>67</v>
      </c>
      <c r="R308">
        <v>1.58</v>
      </c>
      <c r="S308">
        <v>0.7</v>
      </c>
      <c r="T308">
        <v>0.13</v>
      </c>
      <c r="U308">
        <v>53.29</v>
      </c>
      <c r="V308" s="1">
        <v>0</v>
      </c>
      <c r="X308">
        <v>20260409</v>
      </c>
      <c r="Z308" t="s">
        <v>68</v>
      </c>
      <c r="AA308">
        <v>3974527</v>
      </c>
      <c r="AB308" t="s">
        <v>79</v>
      </c>
      <c r="AD308" t="s">
        <v>88</v>
      </c>
      <c r="AE308" s="3">
        <v>0.76969907407407412</v>
      </c>
      <c r="AF308" t="s">
        <v>70</v>
      </c>
    </row>
    <row r="309" spans="1:32">
      <c r="A309">
        <v>1023366</v>
      </c>
      <c r="B309" t="s">
        <v>75</v>
      </c>
      <c r="C309" t="s">
        <v>62</v>
      </c>
      <c r="D309" s="2">
        <v>46120</v>
      </c>
      <c r="E309" s="2">
        <v>46120</v>
      </c>
      <c r="G309">
        <v>355</v>
      </c>
      <c r="H309" t="s">
        <v>63</v>
      </c>
      <c r="I309">
        <v>7259</v>
      </c>
      <c r="J309">
        <v>43506</v>
      </c>
      <c r="L309" t="s">
        <v>409</v>
      </c>
      <c r="M309" t="s">
        <v>65</v>
      </c>
      <c r="N309" t="s">
        <v>66</v>
      </c>
      <c r="O309" s="2">
        <v>46120</v>
      </c>
      <c r="P309" s="1">
        <v>14.9</v>
      </c>
      <c r="Q309" t="s">
        <v>67</v>
      </c>
      <c r="R309">
        <v>0.43</v>
      </c>
      <c r="S309">
        <v>0.19</v>
      </c>
      <c r="T309">
        <v>0.03</v>
      </c>
      <c r="U309">
        <v>14.44</v>
      </c>
      <c r="V309" s="1">
        <v>0</v>
      </c>
      <c r="X309">
        <v>20260409</v>
      </c>
      <c r="Z309" t="s">
        <v>68</v>
      </c>
      <c r="AA309">
        <v>3974527</v>
      </c>
      <c r="AB309" t="s">
        <v>77</v>
      </c>
      <c r="AE309" s="3">
        <v>0.77690972222222221</v>
      </c>
      <c r="AF309" t="s">
        <v>70</v>
      </c>
    </row>
    <row r="310" spans="1:32">
      <c r="A310">
        <v>1023366</v>
      </c>
      <c r="B310" t="s">
        <v>75</v>
      </c>
      <c r="C310" t="s">
        <v>62</v>
      </c>
      <c r="D310" s="2">
        <v>46120</v>
      </c>
      <c r="E310" s="2">
        <v>46120</v>
      </c>
      <c r="G310">
        <v>355</v>
      </c>
      <c r="H310" t="s">
        <v>63</v>
      </c>
      <c r="I310">
        <v>7261</v>
      </c>
      <c r="J310">
        <v>215791</v>
      </c>
      <c r="L310" t="s">
        <v>409</v>
      </c>
      <c r="M310" t="s">
        <v>65</v>
      </c>
      <c r="N310" t="s">
        <v>66</v>
      </c>
      <c r="O310" s="2">
        <v>46120</v>
      </c>
      <c r="P310" s="1">
        <v>105</v>
      </c>
      <c r="Q310" t="s">
        <v>67</v>
      </c>
      <c r="R310">
        <v>3.03</v>
      </c>
      <c r="S310">
        <v>1.35</v>
      </c>
      <c r="T310">
        <v>0.24</v>
      </c>
      <c r="U310">
        <v>101.73</v>
      </c>
      <c r="V310" s="1">
        <v>0</v>
      </c>
      <c r="X310">
        <v>20260409</v>
      </c>
      <c r="Z310" t="s">
        <v>68</v>
      </c>
      <c r="AA310">
        <v>3974527</v>
      </c>
      <c r="AB310" t="s">
        <v>77</v>
      </c>
      <c r="AE310" s="3">
        <v>0.78170138888888885</v>
      </c>
      <c r="AF310" t="s">
        <v>70</v>
      </c>
    </row>
    <row r="311" spans="1:32">
      <c r="A311">
        <v>1023366</v>
      </c>
      <c r="B311" t="s">
        <v>75</v>
      </c>
      <c r="C311" t="s">
        <v>62</v>
      </c>
      <c r="D311" s="2">
        <v>46120</v>
      </c>
      <c r="E311" s="2">
        <v>46120</v>
      </c>
      <c r="G311">
        <v>355</v>
      </c>
      <c r="H311" t="s">
        <v>63</v>
      </c>
      <c r="I311">
        <v>7263</v>
      </c>
      <c r="J311">
        <v>703006</v>
      </c>
      <c r="L311" t="s">
        <v>410</v>
      </c>
      <c r="M311" t="s">
        <v>65</v>
      </c>
      <c r="N311" t="s">
        <v>66</v>
      </c>
      <c r="O311" s="2">
        <v>46120</v>
      </c>
      <c r="P311" s="1">
        <v>35</v>
      </c>
      <c r="Q311" t="s">
        <v>67</v>
      </c>
      <c r="R311">
        <v>1.01</v>
      </c>
      <c r="S311">
        <v>0.45</v>
      </c>
      <c r="T311">
        <v>0.08</v>
      </c>
      <c r="U311">
        <v>33.909999999999997</v>
      </c>
      <c r="V311" s="1">
        <v>0</v>
      </c>
      <c r="X311">
        <v>20260409</v>
      </c>
      <c r="Z311" t="s">
        <v>68</v>
      </c>
      <c r="AA311">
        <v>3974527</v>
      </c>
      <c r="AB311" t="s">
        <v>77</v>
      </c>
      <c r="AE311" s="3">
        <v>0.79221064814814812</v>
      </c>
      <c r="AF311" t="s">
        <v>70</v>
      </c>
    </row>
    <row r="312" spans="1:32">
      <c r="A312">
        <v>1023366</v>
      </c>
      <c r="B312" t="s">
        <v>75</v>
      </c>
      <c r="C312" t="s">
        <v>62</v>
      </c>
      <c r="D312" s="2">
        <v>46120</v>
      </c>
      <c r="E312" s="2">
        <v>46120</v>
      </c>
      <c r="G312">
        <v>355</v>
      </c>
      <c r="H312" t="s">
        <v>63</v>
      </c>
      <c r="I312">
        <v>7265</v>
      </c>
      <c r="J312">
        <v>743720</v>
      </c>
      <c r="L312" t="s">
        <v>411</v>
      </c>
      <c r="M312" t="s">
        <v>65</v>
      </c>
      <c r="N312" t="s">
        <v>66</v>
      </c>
      <c r="O312" s="2">
        <v>46120</v>
      </c>
      <c r="P312" s="1">
        <v>1499</v>
      </c>
      <c r="Q312" t="s">
        <v>67</v>
      </c>
      <c r="R312">
        <v>43.32</v>
      </c>
      <c r="S312">
        <v>19.34</v>
      </c>
      <c r="T312">
        <v>3.48</v>
      </c>
      <c r="U312">
        <v>1452.2</v>
      </c>
      <c r="V312" s="1">
        <v>0</v>
      </c>
      <c r="X312">
        <v>20260409</v>
      </c>
      <c r="Z312" t="s">
        <v>68</v>
      </c>
      <c r="AA312">
        <v>3974527</v>
      </c>
      <c r="AB312" t="s">
        <v>106</v>
      </c>
      <c r="AE312" s="3">
        <v>0.8021759259259259</v>
      </c>
      <c r="AF312" t="s">
        <v>70</v>
      </c>
    </row>
    <row r="313" spans="1:32">
      <c r="A313">
        <v>1023366</v>
      </c>
      <c r="B313" t="s">
        <v>75</v>
      </c>
      <c r="C313" t="s">
        <v>62</v>
      </c>
      <c r="D313" s="2">
        <v>46120</v>
      </c>
      <c r="E313" s="2">
        <v>46120</v>
      </c>
      <c r="G313">
        <v>355</v>
      </c>
      <c r="H313" t="s">
        <v>63</v>
      </c>
      <c r="I313">
        <v>7267</v>
      </c>
      <c r="J313">
        <v>8004</v>
      </c>
      <c r="L313" t="s">
        <v>412</v>
      </c>
      <c r="M313" t="s">
        <v>65</v>
      </c>
      <c r="N313" t="s">
        <v>66</v>
      </c>
      <c r="O313" s="2">
        <v>46120</v>
      </c>
      <c r="P313" s="1">
        <v>69</v>
      </c>
      <c r="Q313" t="s">
        <v>67</v>
      </c>
      <c r="R313">
        <v>1.99</v>
      </c>
      <c r="S313">
        <v>0.54</v>
      </c>
      <c r="T313">
        <v>0.1</v>
      </c>
      <c r="U313">
        <v>66.91</v>
      </c>
      <c r="V313" s="1">
        <v>0</v>
      </c>
      <c r="X313">
        <v>20260409</v>
      </c>
      <c r="Z313" t="s">
        <v>72</v>
      </c>
      <c r="AA313">
        <v>3974527</v>
      </c>
      <c r="AB313" t="s">
        <v>145</v>
      </c>
      <c r="AE313" s="3">
        <v>0.80334490740740738</v>
      </c>
      <c r="AF313" t="s">
        <v>70</v>
      </c>
    </row>
    <row r="314" spans="1:32">
      <c r="A314">
        <v>1023366</v>
      </c>
      <c r="B314" t="s">
        <v>75</v>
      </c>
      <c r="C314" t="s">
        <v>62</v>
      </c>
      <c r="D314" s="2">
        <v>46120</v>
      </c>
      <c r="E314" s="2">
        <v>46120</v>
      </c>
      <c r="G314">
        <v>355</v>
      </c>
      <c r="H314">
        <v>65656565</v>
      </c>
      <c r="I314">
        <v>7269</v>
      </c>
      <c r="J314">
        <v>157205</v>
      </c>
      <c r="L314" t="s">
        <v>413</v>
      </c>
      <c r="M314" t="s">
        <v>65</v>
      </c>
      <c r="N314" t="s">
        <v>66</v>
      </c>
      <c r="O314" s="2">
        <v>46120</v>
      </c>
      <c r="P314" s="1">
        <v>87.25</v>
      </c>
      <c r="Q314" t="s">
        <v>67</v>
      </c>
      <c r="R314">
        <v>2.52</v>
      </c>
      <c r="S314">
        <v>1.1200000000000001</v>
      </c>
      <c r="T314">
        <v>0.2</v>
      </c>
      <c r="U314">
        <v>84.53</v>
      </c>
      <c r="V314" s="1">
        <v>0</v>
      </c>
      <c r="X314">
        <v>20260409</v>
      </c>
      <c r="Z314" t="s">
        <v>68</v>
      </c>
      <c r="AA314">
        <v>3974527</v>
      </c>
      <c r="AB314" t="s">
        <v>81</v>
      </c>
      <c r="AD314" t="s">
        <v>88</v>
      </c>
      <c r="AE314" s="3">
        <v>0.80855324074074075</v>
      </c>
      <c r="AF314" t="s">
        <v>70</v>
      </c>
    </row>
    <row r="315" spans="1:32">
      <c r="A315">
        <v>1023366</v>
      </c>
      <c r="B315" t="s">
        <v>75</v>
      </c>
      <c r="C315" t="s">
        <v>62</v>
      </c>
      <c r="D315" s="2">
        <v>46120</v>
      </c>
      <c r="E315" s="2">
        <v>46120</v>
      </c>
      <c r="G315">
        <v>355</v>
      </c>
      <c r="H315" t="s">
        <v>63</v>
      </c>
      <c r="I315">
        <v>7272</v>
      </c>
      <c r="J315">
        <v>7572</v>
      </c>
      <c r="K315">
        <v>2</v>
      </c>
      <c r="L315" t="s">
        <v>414</v>
      </c>
      <c r="M315" t="s">
        <v>65</v>
      </c>
      <c r="N315" t="s">
        <v>66</v>
      </c>
      <c r="O315" s="2">
        <v>46120</v>
      </c>
      <c r="P315" s="1">
        <v>379</v>
      </c>
      <c r="Q315" t="s">
        <v>67</v>
      </c>
      <c r="R315">
        <v>10.95</v>
      </c>
      <c r="S315">
        <v>2.99</v>
      </c>
      <c r="T315">
        <v>0.54</v>
      </c>
      <c r="U315">
        <v>367.51</v>
      </c>
      <c r="V315" s="1">
        <v>0</v>
      </c>
      <c r="X315">
        <v>20260409</v>
      </c>
      <c r="Z315" t="s">
        <v>72</v>
      </c>
      <c r="AA315">
        <v>3974527</v>
      </c>
      <c r="AB315" t="s">
        <v>79</v>
      </c>
      <c r="AC315" t="s">
        <v>74</v>
      </c>
      <c r="AE315" s="3">
        <v>0.81453703703703706</v>
      </c>
      <c r="AF315" t="s">
        <v>70</v>
      </c>
    </row>
    <row r="316" spans="1:32">
      <c r="A316">
        <v>1023366</v>
      </c>
      <c r="B316" t="s">
        <v>75</v>
      </c>
      <c r="C316" t="s">
        <v>62</v>
      </c>
      <c r="D316" s="2">
        <v>46120</v>
      </c>
      <c r="E316" s="2">
        <v>46120</v>
      </c>
      <c r="G316">
        <v>355</v>
      </c>
      <c r="H316" t="s">
        <v>63</v>
      </c>
      <c r="I316">
        <v>7274</v>
      </c>
      <c r="J316">
        <v>737523</v>
      </c>
      <c r="L316" t="s">
        <v>371</v>
      </c>
      <c r="M316" t="s">
        <v>65</v>
      </c>
      <c r="N316" t="s">
        <v>66</v>
      </c>
      <c r="O316" s="2">
        <v>46120</v>
      </c>
      <c r="P316" s="1">
        <v>159</v>
      </c>
      <c r="Q316" t="s">
        <v>67</v>
      </c>
      <c r="R316">
        <v>4.5999999999999996</v>
      </c>
      <c r="S316">
        <v>2.06</v>
      </c>
      <c r="T316">
        <v>0.37</v>
      </c>
      <c r="U316">
        <v>154.03</v>
      </c>
      <c r="V316" s="1">
        <v>0</v>
      </c>
      <c r="X316">
        <v>20260409</v>
      </c>
      <c r="Z316" t="s">
        <v>68</v>
      </c>
      <c r="AA316">
        <v>3974527</v>
      </c>
      <c r="AB316" t="s">
        <v>93</v>
      </c>
      <c r="AE316" s="3">
        <v>0.81700231481481478</v>
      </c>
      <c r="AF316" t="s">
        <v>70</v>
      </c>
    </row>
    <row r="317" spans="1:32">
      <c r="A317">
        <v>1023366</v>
      </c>
      <c r="B317" t="s">
        <v>75</v>
      </c>
      <c r="C317" t="s">
        <v>62</v>
      </c>
      <c r="D317" s="2">
        <v>46120</v>
      </c>
      <c r="E317" s="2">
        <v>46120</v>
      </c>
      <c r="G317">
        <v>355</v>
      </c>
      <c r="H317" t="s">
        <v>63</v>
      </c>
      <c r="I317">
        <v>7276</v>
      </c>
      <c r="J317">
        <v>2258</v>
      </c>
      <c r="L317" t="s">
        <v>415</v>
      </c>
      <c r="M317" t="s">
        <v>65</v>
      </c>
      <c r="N317" t="s">
        <v>66</v>
      </c>
      <c r="O317" s="2">
        <v>46120</v>
      </c>
      <c r="P317" s="1">
        <v>248.9</v>
      </c>
      <c r="Q317" t="s">
        <v>67</v>
      </c>
      <c r="R317">
        <v>7.19</v>
      </c>
      <c r="S317">
        <v>1.96</v>
      </c>
      <c r="T317">
        <v>0.35</v>
      </c>
      <c r="U317">
        <v>241.36</v>
      </c>
      <c r="V317" s="1">
        <v>0</v>
      </c>
      <c r="X317">
        <v>20260409</v>
      </c>
      <c r="Z317" t="s">
        <v>72</v>
      </c>
      <c r="AA317">
        <v>3974527</v>
      </c>
      <c r="AB317" t="s">
        <v>79</v>
      </c>
      <c r="AE317" s="3">
        <v>0.81988425925925923</v>
      </c>
      <c r="AF317" t="s">
        <v>70</v>
      </c>
    </row>
    <row r="318" spans="1:32">
      <c r="A318">
        <v>1023366</v>
      </c>
      <c r="B318" t="s">
        <v>75</v>
      </c>
      <c r="C318" t="s">
        <v>62</v>
      </c>
      <c r="D318" s="2">
        <v>46120</v>
      </c>
      <c r="E318" s="2">
        <v>46120</v>
      </c>
      <c r="G318">
        <v>355</v>
      </c>
      <c r="H318" t="s">
        <v>63</v>
      </c>
      <c r="I318">
        <v>7278</v>
      </c>
      <c r="J318">
        <v>967785</v>
      </c>
      <c r="L318" t="s">
        <v>416</v>
      </c>
      <c r="M318" t="s">
        <v>65</v>
      </c>
      <c r="N318" t="s">
        <v>66</v>
      </c>
      <c r="O318" s="2">
        <v>46120</v>
      </c>
      <c r="P318" s="1">
        <v>269</v>
      </c>
      <c r="Q318" t="s">
        <v>67</v>
      </c>
      <c r="R318">
        <v>7.77</v>
      </c>
      <c r="S318">
        <v>2.12</v>
      </c>
      <c r="T318">
        <v>0.38</v>
      </c>
      <c r="U318">
        <v>260.85000000000002</v>
      </c>
      <c r="V318" s="1">
        <v>0</v>
      </c>
      <c r="X318">
        <v>20260409</v>
      </c>
      <c r="Z318" t="s">
        <v>68</v>
      </c>
      <c r="AA318">
        <v>3974527</v>
      </c>
      <c r="AB318" t="s">
        <v>79</v>
      </c>
      <c r="AE318" s="3">
        <v>0.82795138888888886</v>
      </c>
      <c r="AF318" t="s">
        <v>70</v>
      </c>
    </row>
    <row r="319" spans="1:32">
      <c r="A319">
        <v>1023366</v>
      </c>
      <c r="B319" t="s">
        <v>75</v>
      </c>
      <c r="C319" t="s">
        <v>62</v>
      </c>
      <c r="D319" s="2">
        <v>46120</v>
      </c>
      <c r="E319" s="2">
        <v>46120</v>
      </c>
      <c r="G319">
        <v>355</v>
      </c>
      <c r="H319" t="s">
        <v>63</v>
      </c>
      <c r="I319">
        <v>7281</v>
      </c>
      <c r="J319">
        <v>561526</v>
      </c>
      <c r="L319" t="s">
        <v>417</v>
      </c>
      <c r="M319" t="s">
        <v>96</v>
      </c>
      <c r="N319" t="s">
        <v>66</v>
      </c>
      <c r="O319" s="2">
        <v>46120</v>
      </c>
      <c r="P319" s="1">
        <v>69</v>
      </c>
      <c r="Q319" t="s">
        <v>67</v>
      </c>
      <c r="R319">
        <v>2.69</v>
      </c>
      <c r="S319">
        <v>1.31</v>
      </c>
      <c r="T319">
        <v>0.24</v>
      </c>
      <c r="U319">
        <v>66.069999999999993</v>
      </c>
      <c r="V319" s="1">
        <v>0</v>
      </c>
      <c r="X319">
        <v>20260409</v>
      </c>
      <c r="Z319" t="s">
        <v>72</v>
      </c>
      <c r="AA319">
        <v>3974527</v>
      </c>
      <c r="AB319" t="s">
        <v>97</v>
      </c>
      <c r="AE319" s="3">
        <v>0.83052083333333337</v>
      </c>
      <c r="AF319" t="s">
        <v>70</v>
      </c>
    </row>
    <row r="320" spans="1:32">
      <c r="A320">
        <v>1023366</v>
      </c>
      <c r="B320" t="s">
        <v>75</v>
      </c>
      <c r="C320" t="s">
        <v>62</v>
      </c>
      <c r="D320" s="2">
        <v>46120</v>
      </c>
      <c r="E320" s="2">
        <v>46120</v>
      </c>
      <c r="G320">
        <v>355</v>
      </c>
      <c r="H320" t="s">
        <v>63</v>
      </c>
      <c r="I320">
        <v>7283</v>
      </c>
      <c r="J320">
        <v>978832</v>
      </c>
      <c r="L320" t="s">
        <v>418</v>
      </c>
      <c r="M320" t="s">
        <v>65</v>
      </c>
      <c r="N320" t="s">
        <v>66</v>
      </c>
      <c r="O320" s="2">
        <v>46120</v>
      </c>
      <c r="P320" s="1">
        <v>588</v>
      </c>
      <c r="Q320" t="s">
        <v>67</v>
      </c>
      <c r="R320">
        <v>16.989999999999998</v>
      </c>
      <c r="S320">
        <v>7.58</v>
      </c>
      <c r="T320">
        <v>1.36</v>
      </c>
      <c r="U320">
        <v>569.65</v>
      </c>
      <c r="V320" s="1">
        <v>0</v>
      </c>
      <c r="X320">
        <v>20260409</v>
      </c>
      <c r="Z320" t="s">
        <v>68</v>
      </c>
      <c r="AA320">
        <v>3974527</v>
      </c>
      <c r="AB320" t="s">
        <v>81</v>
      </c>
      <c r="AE320" s="3">
        <v>0.83204861111111106</v>
      </c>
      <c r="AF320" t="s">
        <v>70</v>
      </c>
    </row>
    <row r="321" spans="1:42">
      <c r="A321">
        <v>1023366</v>
      </c>
      <c r="B321" t="s">
        <v>75</v>
      </c>
      <c r="C321" t="s">
        <v>62</v>
      </c>
      <c r="D321" s="2">
        <v>46120</v>
      </c>
      <c r="E321" s="2">
        <v>46120</v>
      </c>
      <c r="G321">
        <v>355</v>
      </c>
      <c r="H321" t="s">
        <v>63</v>
      </c>
      <c r="I321">
        <v>7286</v>
      </c>
      <c r="J321">
        <v>21783</v>
      </c>
      <c r="L321" t="s">
        <v>419</v>
      </c>
      <c r="M321" t="s">
        <v>65</v>
      </c>
      <c r="N321" t="s">
        <v>66</v>
      </c>
      <c r="O321" s="2">
        <v>46120</v>
      </c>
      <c r="P321" s="1">
        <v>999</v>
      </c>
      <c r="Q321" t="s">
        <v>67</v>
      </c>
      <c r="R321">
        <v>28.87</v>
      </c>
      <c r="S321">
        <v>12.89</v>
      </c>
      <c r="T321">
        <v>2.3199999999999998</v>
      </c>
      <c r="U321">
        <v>967.81</v>
      </c>
      <c r="V321" s="1">
        <v>0</v>
      </c>
      <c r="X321">
        <v>20260409</v>
      </c>
      <c r="Z321" t="s">
        <v>68</v>
      </c>
      <c r="AA321">
        <v>3974527</v>
      </c>
      <c r="AB321" t="s">
        <v>81</v>
      </c>
      <c r="AE321" s="3">
        <v>0.84841435185185188</v>
      </c>
      <c r="AF321" t="s">
        <v>70</v>
      </c>
    </row>
    <row r="322" spans="1:42">
      <c r="A322">
        <v>1023366</v>
      </c>
      <c r="B322" t="s">
        <v>75</v>
      </c>
      <c r="C322" t="s">
        <v>62</v>
      </c>
      <c r="D322" s="2">
        <v>46120</v>
      </c>
      <c r="E322" s="2">
        <v>46120</v>
      </c>
      <c r="G322">
        <v>355</v>
      </c>
      <c r="H322" t="s">
        <v>63</v>
      </c>
      <c r="I322">
        <v>7288</v>
      </c>
      <c r="J322">
        <v>964982</v>
      </c>
      <c r="L322" t="s">
        <v>420</v>
      </c>
      <c r="M322" t="s">
        <v>65</v>
      </c>
      <c r="N322" t="s">
        <v>66</v>
      </c>
      <c r="O322" s="2">
        <v>46120</v>
      </c>
      <c r="P322" s="1">
        <v>349</v>
      </c>
      <c r="Q322" t="s">
        <v>67</v>
      </c>
      <c r="R322">
        <v>10.09</v>
      </c>
      <c r="S322">
        <v>2.06</v>
      </c>
      <c r="T322">
        <v>0.37</v>
      </c>
      <c r="U322">
        <v>338.54</v>
      </c>
      <c r="V322" s="1">
        <v>0</v>
      </c>
      <c r="X322">
        <v>20260409</v>
      </c>
      <c r="Z322" t="s">
        <v>72</v>
      </c>
      <c r="AA322">
        <v>3974527</v>
      </c>
      <c r="AB322" t="s">
        <v>93</v>
      </c>
      <c r="AE322" s="3">
        <v>0.86157407407407405</v>
      </c>
      <c r="AF322" t="s">
        <v>70</v>
      </c>
    </row>
    <row r="323" spans="1:42">
      <c r="A323">
        <v>1023366</v>
      </c>
      <c r="B323" t="s">
        <v>75</v>
      </c>
      <c r="C323" t="s">
        <v>62</v>
      </c>
      <c r="D323" s="2">
        <v>46120</v>
      </c>
      <c r="E323" s="2">
        <v>46120</v>
      </c>
      <c r="G323">
        <v>355</v>
      </c>
      <c r="H323" t="s">
        <v>63</v>
      </c>
      <c r="I323">
        <v>7290</v>
      </c>
      <c r="J323">
        <v>114899</v>
      </c>
      <c r="L323" t="s">
        <v>421</v>
      </c>
      <c r="M323" t="s">
        <v>65</v>
      </c>
      <c r="N323" t="s">
        <v>66</v>
      </c>
      <c r="O323" s="2">
        <v>46120</v>
      </c>
      <c r="P323" s="1">
        <v>2104</v>
      </c>
      <c r="Q323" t="s">
        <v>67</v>
      </c>
      <c r="R323">
        <v>60.81</v>
      </c>
      <c r="S323">
        <v>27.15</v>
      </c>
      <c r="T323">
        <v>4.8899999999999997</v>
      </c>
      <c r="U323">
        <v>2038.3</v>
      </c>
      <c r="V323" s="1">
        <v>0</v>
      </c>
      <c r="X323">
        <v>20260409</v>
      </c>
      <c r="Z323" t="s">
        <v>68</v>
      </c>
      <c r="AA323">
        <v>3974527</v>
      </c>
      <c r="AB323" t="s">
        <v>122</v>
      </c>
      <c r="AE323" s="3">
        <v>0.87240740740740741</v>
      </c>
      <c r="AF323" t="s">
        <v>70</v>
      </c>
    </row>
    <row r="324" spans="1:42">
      <c r="A324">
        <v>1023366</v>
      </c>
      <c r="B324" t="s">
        <v>75</v>
      </c>
      <c r="C324" t="s">
        <v>62</v>
      </c>
      <c r="D324" s="2">
        <v>46120</v>
      </c>
      <c r="E324" s="2">
        <v>46120</v>
      </c>
      <c r="G324">
        <v>355</v>
      </c>
      <c r="H324" t="s">
        <v>63</v>
      </c>
      <c r="I324">
        <v>7292</v>
      </c>
      <c r="J324">
        <v>43555</v>
      </c>
      <c r="L324" t="s">
        <v>422</v>
      </c>
      <c r="M324" t="s">
        <v>65</v>
      </c>
      <c r="N324" t="s">
        <v>66</v>
      </c>
      <c r="O324" s="2">
        <v>46120</v>
      </c>
      <c r="P324" s="1">
        <v>1999</v>
      </c>
      <c r="Q324" t="s">
        <v>67</v>
      </c>
      <c r="R324">
        <v>57.77</v>
      </c>
      <c r="S324">
        <v>25.79</v>
      </c>
      <c r="T324">
        <v>4.6399999999999997</v>
      </c>
      <c r="U324">
        <v>1936.59</v>
      </c>
      <c r="V324" s="1">
        <v>13922.37</v>
      </c>
      <c r="W324" s="2">
        <v>46121</v>
      </c>
      <c r="X324">
        <v>20260409</v>
      </c>
      <c r="Z324" t="s">
        <v>68</v>
      </c>
      <c r="AA324">
        <v>3974527</v>
      </c>
      <c r="AB324" t="s">
        <v>79</v>
      </c>
      <c r="AE324" s="3">
        <v>0.87537037037037035</v>
      </c>
      <c r="AF324" t="s">
        <v>70</v>
      </c>
      <c r="AL324">
        <v>104107</v>
      </c>
      <c r="AM324" s="30">
        <f>+V324</f>
        <v>13922.37</v>
      </c>
      <c r="AN324" t="str">
        <f>_xlfn.XLOOKUP(V324,Bancos!H:H,Bancos!C:C)</f>
        <v>8005811</v>
      </c>
      <c r="AO324" t="str">
        <f>_xlfn.XLOOKUP(AN324,Bancos!C:C,Bancos!A:A)</f>
        <v>09/04/2026</v>
      </c>
      <c r="AP324" s="12">
        <f>+AO324-W324</f>
        <v>0</v>
      </c>
    </row>
    <row r="325" spans="1:42">
      <c r="A325">
        <v>1023366</v>
      </c>
      <c r="B325" t="s">
        <v>201</v>
      </c>
      <c r="C325" t="s">
        <v>62</v>
      </c>
      <c r="D325" s="2">
        <v>46120</v>
      </c>
      <c r="E325" s="2">
        <v>46120</v>
      </c>
      <c r="G325">
        <v>355</v>
      </c>
      <c r="H325" t="s">
        <v>63</v>
      </c>
      <c r="I325">
        <v>7216</v>
      </c>
      <c r="J325">
        <v>23620</v>
      </c>
      <c r="L325" t="s">
        <v>423</v>
      </c>
      <c r="M325" t="s">
        <v>65</v>
      </c>
      <c r="N325" t="s">
        <v>66</v>
      </c>
      <c r="O325" s="2">
        <v>46120</v>
      </c>
      <c r="P325" s="1">
        <v>55</v>
      </c>
      <c r="Q325" t="s">
        <v>67</v>
      </c>
      <c r="R325">
        <v>1.59</v>
      </c>
      <c r="S325">
        <v>0.43</v>
      </c>
      <c r="T325">
        <v>0.08</v>
      </c>
      <c r="U325">
        <v>53.33</v>
      </c>
      <c r="V325" s="1">
        <v>53.33</v>
      </c>
      <c r="W325" s="2">
        <v>46121</v>
      </c>
      <c r="X325">
        <v>20260409</v>
      </c>
      <c r="Z325" t="s">
        <v>72</v>
      </c>
      <c r="AA325">
        <v>3974527</v>
      </c>
      <c r="AB325" t="s">
        <v>203</v>
      </c>
      <c r="AE325" s="3">
        <v>0.49278935185185185</v>
      </c>
      <c r="AF325" t="s">
        <v>70</v>
      </c>
      <c r="AL325">
        <v>104107</v>
      </c>
      <c r="AM325" s="30">
        <f>+V325</f>
        <v>53.33</v>
      </c>
      <c r="AN325" t="str">
        <f>_xlfn.XLOOKUP(V325,Bancos!H:H,Bancos!C:C)</f>
        <v>8005813</v>
      </c>
      <c r="AO325" t="str">
        <f>_xlfn.XLOOKUP(AN325,Bancos!C:C,Bancos!A:A)</f>
        <v>09/04/2026</v>
      </c>
      <c r="AP325" s="12">
        <f>+AO325-W325</f>
        <v>0</v>
      </c>
    </row>
    <row r="326" spans="1:42">
      <c r="A326">
        <v>1023366</v>
      </c>
      <c r="B326" t="s">
        <v>61</v>
      </c>
      <c r="C326" t="s">
        <v>62</v>
      </c>
      <c r="D326" s="2">
        <v>46121</v>
      </c>
      <c r="E326" s="2">
        <v>46121</v>
      </c>
      <c r="G326">
        <v>356</v>
      </c>
      <c r="H326" t="s">
        <v>63</v>
      </c>
      <c r="I326">
        <v>7341</v>
      </c>
      <c r="J326">
        <v>309646</v>
      </c>
      <c r="L326" t="s">
        <v>424</v>
      </c>
      <c r="M326" t="s">
        <v>96</v>
      </c>
      <c r="N326" t="s">
        <v>66</v>
      </c>
      <c r="O326" s="2">
        <v>46121</v>
      </c>
      <c r="P326" s="1">
        <v>159</v>
      </c>
      <c r="Q326" t="s">
        <v>67</v>
      </c>
      <c r="R326">
        <v>6.2</v>
      </c>
      <c r="S326">
        <v>3.66</v>
      </c>
      <c r="T326">
        <v>0.66</v>
      </c>
      <c r="U326">
        <v>152.13999999999999</v>
      </c>
      <c r="V326" s="1">
        <v>152.13999999999999</v>
      </c>
      <c r="W326" s="2">
        <v>46122</v>
      </c>
      <c r="X326">
        <v>20260410</v>
      </c>
      <c r="Z326" t="s">
        <v>72</v>
      </c>
      <c r="AA326">
        <v>3974527</v>
      </c>
      <c r="AB326" t="s">
        <v>234</v>
      </c>
      <c r="AE326" s="3">
        <v>0.71517361111111111</v>
      </c>
      <c r="AF326" t="s">
        <v>70</v>
      </c>
      <c r="AL326">
        <v>104107</v>
      </c>
      <c r="AM326" s="30">
        <f>+V326</f>
        <v>152.13999999999999</v>
      </c>
      <c r="AN326" t="str">
        <f>_xlfn.XLOOKUP(V326,Bancos!H:H,Bancos!C:C)</f>
        <v>8012514</v>
      </c>
      <c r="AO326" t="str">
        <f>_xlfn.XLOOKUP(AN326,Bancos!C:C,Bancos!A:A)</f>
        <v>10/04/2026</v>
      </c>
      <c r="AP326" s="12">
        <f>+AO326-W326</f>
        <v>0</v>
      </c>
    </row>
    <row r="327" spans="1:42">
      <c r="A327">
        <v>1023366</v>
      </c>
      <c r="B327" t="s">
        <v>75</v>
      </c>
      <c r="C327" t="s">
        <v>425</v>
      </c>
      <c r="D327" s="2">
        <v>46121</v>
      </c>
      <c r="E327" s="2">
        <v>46121</v>
      </c>
      <c r="G327">
        <v>299</v>
      </c>
      <c r="H327" t="s">
        <v>63</v>
      </c>
      <c r="I327">
        <v>1209</v>
      </c>
      <c r="J327">
        <v>856106</v>
      </c>
      <c r="L327" t="s">
        <v>426</v>
      </c>
      <c r="M327" t="s">
        <v>65</v>
      </c>
      <c r="N327" t="s">
        <v>427</v>
      </c>
      <c r="O327" s="2">
        <v>46121</v>
      </c>
      <c r="P327" s="1">
        <v>-55</v>
      </c>
      <c r="Q327" t="s">
        <v>428</v>
      </c>
      <c r="R327">
        <v>-1.59</v>
      </c>
      <c r="S327">
        <v>-0.27</v>
      </c>
      <c r="T327">
        <v>-0.05</v>
      </c>
      <c r="U327">
        <v>-53.36</v>
      </c>
      <c r="V327" s="1">
        <v>0</v>
      </c>
      <c r="Y327" t="s">
        <v>429</v>
      </c>
      <c r="Z327" t="s">
        <v>68</v>
      </c>
      <c r="AA327">
        <v>3974527</v>
      </c>
      <c r="AB327" t="s">
        <v>93</v>
      </c>
      <c r="AE327" s="3">
        <v>0.72839120370370369</v>
      </c>
      <c r="AF327" t="s">
        <v>70</v>
      </c>
    </row>
    <row r="328" spans="1:42">
      <c r="A328">
        <v>1023366</v>
      </c>
      <c r="B328" t="s">
        <v>75</v>
      </c>
      <c r="C328" t="s">
        <v>62</v>
      </c>
      <c r="D328" s="2">
        <v>46121</v>
      </c>
      <c r="E328" s="2">
        <v>46121</v>
      </c>
      <c r="G328">
        <v>356</v>
      </c>
      <c r="H328" t="s">
        <v>63</v>
      </c>
      <c r="I328">
        <v>7307</v>
      </c>
      <c r="J328">
        <v>579137</v>
      </c>
      <c r="L328" t="s">
        <v>430</v>
      </c>
      <c r="M328" t="s">
        <v>65</v>
      </c>
      <c r="N328" t="s">
        <v>66</v>
      </c>
      <c r="O328" s="2">
        <v>46121</v>
      </c>
      <c r="P328" s="1">
        <v>84</v>
      </c>
      <c r="Q328" t="s">
        <v>67</v>
      </c>
      <c r="R328">
        <v>2.4300000000000002</v>
      </c>
      <c r="S328">
        <v>1.0900000000000001</v>
      </c>
      <c r="T328">
        <v>0.2</v>
      </c>
      <c r="U328">
        <v>81.37</v>
      </c>
      <c r="V328" s="1">
        <v>0</v>
      </c>
      <c r="X328">
        <v>20260410</v>
      </c>
      <c r="Z328" t="s">
        <v>68</v>
      </c>
      <c r="AA328">
        <v>3974527</v>
      </c>
      <c r="AB328" t="s">
        <v>79</v>
      </c>
      <c r="AE328" s="3">
        <v>0.43312499999999998</v>
      </c>
      <c r="AF328" t="s">
        <v>70</v>
      </c>
    </row>
    <row r="329" spans="1:42">
      <c r="A329">
        <v>1023366</v>
      </c>
      <c r="B329" t="s">
        <v>75</v>
      </c>
      <c r="C329" t="s">
        <v>62</v>
      </c>
      <c r="D329" s="2">
        <v>46121</v>
      </c>
      <c r="E329" s="2">
        <v>46121</v>
      </c>
      <c r="G329">
        <v>356</v>
      </c>
      <c r="H329" t="s">
        <v>63</v>
      </c>
      <c r="I329">
        <v>7309</v>
      </c>
      <c r="J329">
        <v>674298</v>
      </c>
      <c r="L329" t="s">
        <v>431</v>
      </c>
      <c r="M329" t="s">
        <v>65</v>
      </c>
      <c r="N329" t="s">
        <v>66</v>
      </c>
      <c r="O329" s="2">
        <v>46121</v>
      </c>
      <c r="P329" s="1">
        <v>6695</v>
      </c>
      <c r="Q329" t="s">
        <v>67</v>
      </c>
      <c r="R329">
        <v>193.49</v>
      </c>
      <c r="S329">
        <v>52.89</v>
      </c>
      <c r="T329">
        <v>9.52</v>
      </c>
      <c r="U329">
        <v>6491.99</v>
      </c>
      <c r="V329" s="1">
        <v>0</v>
      </c>
      <c r="X329">
        <v>20260410</v>
      </c>
      <c r="Z329" t="s">
        <v>68</v>
      </c>
      <c r="AA329">
        <v>3974527</v>
      </c>
      <c r="AB329" t="s">
        <v>79</v>
      </c>
      <c r="AE329" s="3">
        <v>0.47885416666666669</v>
      </c>
      <c r="AF329" t="s">
        <v>70</v>
      </c>
    </row>
    <row r="330" spans="1:42">
      <c r="A330">
        <v>1023366</v>
      </c>
      <c r="B330" t="s">
        <v>75</v>
      </c>
      <c r="C330" t="s">
        <v>62</v>
      </c>
      <c r="D330" s="2">
        <v>46121</v>
      </c>
      <c r="E330" s="2">
        <v>46121</v>
      </c>
      <c r="G330">
        <v>356</v>
      </c>
      <c r="H330" t="s">
        <v>63</v>
      </c>
      <c r="I330">
        <v>7311</v>
      </c>
      <c r="J330">
        <v>342752</v>
      </c>
      <c r="L330" t="s">
        <v>432</v>
      </c>
      <c r="M330" t="s">
        <v>65</v>
      </c>
      <c r="N330" t="s">
        <v>66</v>
      </c>
      <c r="O330" s="2">
        <v>46121</v>
      </c>
      <c r="P330" s="1">
        <v>250</v>
      </c>
      <c r="Q330" t="s">
        <v>67</v>
      </c>
      <c r="R330">
        <v>7.23</v>
      </c>
      <c r="S330">
        <v>0.98</v>
      </c>
      <c r="T330">
        <v>0.18</v>
      </c>
      <c r="U330">
        <v>242.59</v>
      </c>
      <c r="V330" s="1">
        <v>0</v>
      </c>
      <c r="X330">
        <v>20260410</v>
      </c>
      <c r="Z330" t="s">
        <v>72</v>
      </c>
      <c r="AA330">
        <v>3974527</v>
      </c>
      <c r="AB330" t="s">
        <v>77</v>
      </c>
      <c r="AE330" s="3">
        <v>0.48215277777777776</v>
      </c>
      <c r="AF330" t="s">
        <v>70</v>
      </c>
    </row>
    <row r="331" spans="1:42">
      <c r="A331">
        <v>1023366</v>
      </c>
      <c r="B331" t="s">
        <v>75</v>
      </c>
      <c r="C331" t="s">
        <v>62</v>
      </c>
      <c r="D331" s="2">
        <v>46121</v>
      </c>
      <c r="E331" s="2">
        <v>46121</v>
      </c>
      <c r="G331">
        <v>356</v>
      </c>
      <c r="H331" t="s">
        <v>63</v>
      </c>
      <c r="I331">
        <v>7313</v>
      </c>
      <c r="J331">
        <v>631569</v>
      </c>
      <c r="L331" t="s">
        <v>433</v>
      </c>
      <c r="M331" t="s">
        <v>65</v>
      </c>
      <c r="N331" t="s">
        <v>66</v>
      </c>
      <c r="O331" s="2">
        <v>46121</v>
      </c>
      <c r="P331" s="1">
        <v>349</v>
      </c>
      <c r="Q331" t="s">
        <v>67</v>
      </c>
      <c r="R331">
        <v>10.09</v>
      </c>
      <c r="S331">
        <v>4.51</v>
      </c>
      <c r="T331">
        <v>0.81</v>
      </c>
      <c r="U331">
        <v>338.1</v>
      </c>
      <c r="V331" s="1">
        <v>0</v>
      </c>
      <c r="X331">
        <v>20260410</v>
      </c>
      <c r="Z331" t="s">
        <v>68</v>
      </c>
      <c r="AA331">
        <v>3974527</v>
      </c>
      <c r="AB331" t="s">
        <v>79</v>
      </c>
      <c r="AE331" s="3">
        <v>0.49219907407407409</v>
      </c>
      <c r="AF331" t="s">
        <v>70</v>
      </c>
    </row>
    <row r="332" spans="1:42">
      <c r="A332">
        <v>1023366</v>
      </c>
      <c r="B332" t="s">
        <v>75</v>
      </c>
      <c r="C332" t="s">
        <v>62</v>
      </c>
      <c r="D332" s="2">
        <v>46121</v>
      </c>
      <c r="E332" s="2">
        <v>46121</v>
      </c>
      <c r="G332">
        <v>356</v>
      </c>
      <c r="H332">
        <v>65656565</v>
      </c>
      <c r="I332">
        <v>7315</v>
      </c>
      <c r="J332">
        <v>721186</v>
      </c>
      <c r="L332" t="s">
        <v>434</v>
      </c>
      <c r="M332" t="s">
        <v>65</v>
      </c>
      <c r="N332" t="s">
        <v>66</v>
      </c>
      <c r="O332" s="2">
        <v>46121</v>
      </c>
      <c r="P332" s="1">
        <v>107</v>
      </c>
      <c r="Q332" t="s">
        <v>67</v>
      </c>
      <c r="R332">
        <v>3.09</v>
      </c>
      <c r="S332">
        <v>1.38</v>
      </c>
      <c r="T332">
        <v>0.25</v>
      </c>
      <c r="U332">
        <v>103.66</v>
      </c>
      <c r="V332" s="1">
        <v>0</v>
      </c>
      <c r="X332">
        <v>20260410</v>
      </c>
      <c r="Z332" t="s">
        <v>68</v>
      </c>
      <c r="AA332">
        <v>3974527</v>
      </c>
      <c r="AB332" t="s">
        <v>79</v>
      </c>
      <c r="AD332" t="s">
        <v>88</v>
      </c>
      <c r="AE332" s="3">
        <v>0.51171296296296298</v>
      </c>
      <c r="AF332" t="s">
        <v>70</v>
      </c>
    </row>
    <row r="333" spans="1:42">
      <c r="A333">
        <v>1023366</v>
      </c>
      <c r="B333" t="s">
        <v>75</v>
      </c>
      <c r="C333" t="s">
        <v>62</v>
      </c>
      <c r="D333" s="2">
        <v>46121</v>
      </c>
      <c r="E333" s="2">
        <v>46121</v>
      </c>
      <c r="G333">
        <v>356</v>
      </c>
      <c r="H333" t="s">
        <v>63</v>
      </c>
      <c r="I333">
        <v>7318</v>
      </c>
      <c r="J333">
        <v>117561</v>
      </c>
      <c r="L333" t="s">
        <v>435</v>
      </c>
      <c r="M333" t="s">
        <v>65</v>
      </c>
      <c r="N333" t="s">
        <v>66</v>
      </c>
      <c r="O333" s="2">
        <v>46121</v>
      </c>
      <c r="P333" s="1">
        <v>674</v>
      </c>
      <c r="Q333" t="s">
        <v>67</v>
      </c>
      <c r="R333">
        <v>19.48</v>
      </c>
      <c r="S333">
        <v>8.6999999999999993</v>
      </c>
      <c r="T333">
        <v>1.57</v>
      </c>
      <c r="U333">
        <v>652.95000000000005</v>
      </c>
      <c r="V333" s="1">
        <v>0</v>
      </c>
      <c r="X333">
        <v>20260410</v>
      </c>
      <c r="Z333" t="s">
        <v>68</v>
      </c>
      <c r="AA333">
        <v>3974527</v>
      </c>
      <c r="AB333" t="s">
        <v>79</v>
      </c>
      <c r="AE333" s="3">
        <v>0.55478009259259264</v>
      </c>
      <c r="AF333" t="s">
        <v>70</v>
      </c>
    </row>
    <row r="334" spans="1:42">
      <c r="A334">
        <v>1023366</v>
      </c>
      <c r="B334" t="s">
        <v>75</v>
      </c>
      <c r="C334" t="s">
        <v>62</v>
      </c>
      <c r="D334" s="2">
        <v>46121</v>
      </c>
      <c r="E334" s="2">
        <v>46121</v>
      </c>
      <c r="G334">
        <v>356</v>
      </c>
      <c r="H334" t="s">
        <v>63</v>
      </c>
      <c r="I334">
        <v>7322</v>
      </c>
      <c r="J334">
        <v>908647</v>
      </c>
      <c r="L334" t="s">
        <v>436</v>
      </c>
      <c r="M334" t="s">
        <v>65</v>
      </c>
      <c r="N334" t="s">
        <v>66</v>
      </c>
      <c r="O334" s="2">
        <v>46121</v>
      </c>
      <c r="P334" s="1">
        <v>269</v>
      </c>
      <c r="Q334" t="s">
        <v>67</v>
      </c>
      <c r="R334">
        <v>7.77</v>
      </c>
      <c r="S334">
        <v>3.47</v>
      </c>
      <c r="T334">
        <v>0.62</v>
      </c>
      <c r="U334">
        <v>260.61</v>
      </c>
      <c r="V334" s="1">
        <v>0</v>
      </c>
      <c r="X334">
        <v>20260410</v>
      </c>
      <c r="Z334" t="s">
        <v>68</v>
      </c>
      <c r="AA334">
        <v>3974527</v>
      </c>
      <c r="AB334" t="s">
        <v>79</v>
      </c>
      <c r="AE334" s="3">
        <v>0.5885069444444444</v>
      </c>
      <c r="AF334" t="s">
        <v>70</v>
      </c>
    </row>
    <row r="335" spans="1:42">
      <c r="A335">
        <v>1023366</v>
      </c>
      <c r="B335" t="s">
        <v>75</v>
      </c>
      <c r="C335" t="s">
        <v>62</v>
      </c>
      <c r="D335" s="2">
        <v>46121</v>
      </c>
      <c r="E335" s="2">
        <v>46121</v>
      </c>
      <c r="G335">
        <v>356</v>
      </c>
      <c r="H335" t="s">
        <v>63</v>
      </c>
      <c r="I335">
        <v>7324</v>
      </c>
      <c r="J335">
        <v>279419</v>
      </c>
      <c r="L335" t="s">
        <v>437</v>
      </c>
      <c r="M335" t="s">
        <v>65</v>
      </c>
      <c r="N335" t="s">
        <v>66</v>
      </c>
      <c r="O335" s="2">
        <v>46121</v>
      </c>
      <c r="P335" s="1">
        <v>65</v>
      </c>
      <c r="Q335" t="s">
        <v>67</v>
      </c>
      <c r="R335">
        <v>1.88</v>
      </c>
      <c r="S335">
        <v>0.84</v>
      </c>
      <c r="T335">
        <v>0.15</v>
      </c>
      <c r="U335">
        <v>62.97</v>
      </c>
      <c r="V335" s="1">
        <v>0</v>
      </c>
      <c r="X335">
        <v>20260410</v>
      </c>
      <c r="Z335" t="s">
        <v>68</v>
      </c>
      <c r="AA335">
        <v>3974527</v>
      </c>
      <c r="AB335" t="s">
        <v>79</v>
      </c>
      <c r="AE335" s="3">
        <v>0.62311342592592589</v>
      </c>
      <c r="AF335" t="s">
        <v>70</v>
      </c>
    </row>
    <row r="336" spans="1:42">
      <c r="A336">
        <v>1023366</v>
      </c>
      <c r="B336" t="s">
        <v>75</v>
      </c>
      <c r="C336" t="s">
        <v>62</v>
      </c>
      <c r="D336" s="2">
        <v>46121</v>
      </c>
      <c r="E336" s="2">
        <v>46121</v>
      </c>
      <c r="G336">
        <v>356</v>
      </c>
      <c r="H336" t="s">
        <v>63</v>
      </c>
      <c r="I336">
        <v>7326</v>
      </c>
      <c r="J336">
        <v>906558</v>
      </c>
      <c r="L336" t="s">
        <v>438</v>
      </c>
      <c r="M336" t="s">
        <v>65</v>
      </c>
      <c r="N336" t="s">
        <v>66</v>
      </c>
      <c r="O336" s="2">
        <v>46121</v>
      </c>
      <c r="P336" s="1">
        <v>149</v>
      </c>
      <c r="Q336" t="s">
        <v>67</v>
      </c>
      <c r="R336">
        <v>4.3099999999999996</v>
      </c>
      <c r="S336">
        <v>1.93</v>
      </c>
      <c r="T336">
        <v>0.35</v>
      </c>
      <c r="U336">
        <v>144.34</v>
      </c>
      <c r="V336" s="1">
        <v>0</v>
      </c>
      <c r="X336">
        <v>20260410</v>
      </c>
      <c r="Z336" t="s">
        <v>68</v>
      </c>
      <c r="AA336">
        <v>3974527</v>
      </c>
      <c r="AB336" t="s">
        <v>93</v>
      </c>
      <c r="AE336" s="3">
        <v>0.62798611111111113</v>
      </c>
      <c r="AF336" t="s">
        <v>70</v>
      </c>
    </row>
    <row r="337" spans="1:32">
      <c r="A337">
        <v>1023366</v>
      </c>
      <c r="B337" t="s">
        <v>75</v>
      </c>
      <c r="C337" t="s">
        <v>62</v>
      </c>
      <c r="D337" s="2">
        <v>46121</v>
      </c>
      <c r="E337" s="2">
        <v>46121</v>
      </c>
      <c r="G337">
        <v>356</v>
      </c>
      <c r="H337" t="s">
        <v>63</v>
      </c>
      <c r="I337">
        <v>7328</v>
      </c>
      <c r="J337">
        <v>48223</v>
      </c>
      <c r="L337" t="s">
        <v>439</v>
      </c>
      <c r="M337" t="s">
        <v>65</v>
      </c>
      <c r="N337" t="s">
        <v>66</v>
      </c>
      <c r="O337" s="2">
        <v>46121</v>
      </c>
      <c r="P337" s="1">
        <v>149</v>
      </c>
      <c r="Q337" t="s">
        <v>67</v>
      </c>
      <c r="R337">
        <v>4.3099999999999996</v>
      </c>
      <c r="S337">
        <v>1.18</v>
      </c>
      <c r="T337">
        <v>0.21</v>
      </c>
      <c r="U337">
        <v>144.47999999999999</v>
      </c>
      <c r="V337" s="1">
        <v>0</v>
      </c>
      <c r="X337">
        <v>20260410</v>
      </c>
      <c r="Z337" t="s">
        <v>72</v>
      </c>
      <c r="AA337">
        <v>3974527</v>
      </c>
      <c r="AB337" t="s">
        <v>106</v>
      </c>
      <c r="AE337" s="3">
        <v>0.62980324074074079</v>
      </c>
      <c r="AF337" t="s">
        <v>70</v>
      </c>
    </row>
    <row r="338" spans="1:32">
      <c r="A338">
        <v>1023366</v>
      </c>
      <c r="B338" t="s">
        <v>75</v>
      </c>
      <c r="C338" t="s">
        <v>62</v>
      </c>
      <c r="D338" s="2">
        <v>46121</v>
      </c>
      <c r="E338" s="2">
        <v>46121</v>
      </c>
      <c r="G338">
        <v>356</v>
      </c>
      <c r="H338" t="s">
        <v>63</v>
      </c>
      <c r="I338">
        <v>7330</v>
      </c>
      <c r="J338">
        <v>131560</v>
      </c>
      <c r="L338" t="s">
        <v>440</v>
      </c>
      <c r="M338" t="s">
        <v>65</v>
      </c>
      <c r="N338" t="s">
        <v>66</v>
      </c>
      <c r="O338" s="2">
        <v>46121</v>
      </c>
      <c r="P338" s="1">
        <v>247</v>
      </c>
      <c r="Q338" t="s">
        <v>67</v>
      </c>
      <c r="R338">
        <v>7.14</v>
      </c>
      <c r="S338">
        <v>1.46</v>
      </c>
      <c r="T338">
        <v>0.26</v>
      </c>
      <c r="U338">
        <v>239.6</v>
      </c>
      <c r="V338" s="1">
        <v>0</v>
      </c>
      <c r="X338">
        <v>20260410</v>
      </c>
      <c r="Z338" t="s">
        <v>72</v>
      </c>
      <c r="AA338">
        <v>3974527</v>
      </c>
      <c r="AB338" t="s">
        <v>77</v>
      </c>
      <c r="AE338" s="3">
        <v>0.63410879629629635</v>
      </c>
      <c r="AF338" t="s">
        <v>70</v>
      </c>
    </row>
    <row r="339" spans="1:32">
      <c r="A339">
        <v>1023366</v>
      </c>
      <c r="B339" t="s">
        <v>75</v>
      </c>
      <c r="C339" t="s">
        <v>62</v>
      </c>
      <c r="D339" s="2">
        <v>46121</v>
      </c>
      <c r="E339" s="2">
        <v>46121</v>
      </c>
      <c r="G339">
        <v>356</v>
      </c>
      <c r="H339" t="s">
        <v>63</v>
      </c>
      <c r="I339">
        <v>7332</v>
      </c>
      <c r="J339">
        <v>956767</v>
      </c>
      <c r="L339" t="s">
        <v>441</v>
      </c>
      <c r="M339" t="s">
        <v>65</v>
      </c>
      <c r="N339" t="s">
        <v>66</v>
      </c>
      <c r="O339" s="2">
        <v>46121</v>
      </c>
      <c r="P339" s="1">
        <v>344</v>
      </c>
      <c r="Q339" t="s">
        <v>67</v>
      </c>
      <c r="R339">
        <v>9.94</v>
      </c>
      <c r="S339">
        <v>2.0299999999999998</v>
      </c>
      <c r="T339">
        <v>0.37</v>
      </c>
      <c r="U339">
        <v>333.69</v>
      </c>
      <c r="V339" s="1">
        <v>0</v>
      </c>
      <c r="X339">
        <v>20260410</v>
      </c>
      <c r="Z339" t="s">
        <v>72</v>
      </c>
      <c r="AA339">
        <v>3974527</v>
      </c>
      <c r="AB339" t="s">
        <v>93</v>
      </c>
      <c r="AE339" s="3">
        <v>0.64047453703703705</v>
      </c>
      <c r="AF339" t="s">
        <v>70</v>
      </c>
    </row>
    <row r="340" spans="1:32">
      <c r="A340">
        <v>1023366</v>
      </c>
      <c r="B340" t="s">
        <v>75</v>
      </c>
      <c r="C340" t="s">
        <v>62</v>
      </c>
      <c r="D340" s="2">
        <v>46121</v>
      </c>
      <c r="E340" s="2">
        <v>46121</v>
      </c>
      <c r="G340">
        <v>356</v>
      </c>
      <c r="H340" t="s">
        <v>63</v>
      </c>
      <c r="I340">
        <v>7334</v>
      </c>
      <c r="J340">
        <v>245966</v>
      </c>
      <c r="L340" t="s">
        <v>442</v>
      </c>
      <c r="M340" t="s">
        <v>65</v>
      </c>
      <c r="N340" t="s">
        <v>66</v>
      </c>
      <c r="O340" s="2">
        <v>46121</v>
      </c>
      <c r="P340" s="1">
        <v>159</v>
      </c>
      <c r="Q340" t="s">
        <v>67</v>
      </c>
      <c r="R340">
        <v>4.5999999999999996</v>
      </c>
      <c r="S340">
        <v>1.26</v>
      </c>
      <c r="T340">
        <v>0.23</v>
      </c>
      <c r="U340">
        <v>154.16999999999999</v>
      </c>
      <c r="V340" s="1">
        <v>0</v>
      </c>
      <c r="X340">
        <v>20260410</v>
      </c>
      <c r="Z340" t="s">
        <v>72</v>
      </c>
      <c r="AA340">
        <v>3974527</v>
      </c>
      <c r="AB340" t="s">
        <v>77</v>
      </c>
      <c r="AE340" s="3">
        <v>0.64225694444444448</v>
      </c>
      <c r="AF340" t="s">
        <v>70</v>
      </c>
    </row>
    <row r="341" spans="1:32">
      <c r="A341">
        <v>1023366</v>
      </c>
      <c r="B341" t="s">
        <v>75</v>
      </c>
      <c r="C341" t="s">
        <v>62</v>
      </c>
      <c r="D341" s="2">
        <v>46121</v>
      </c>
      <c r="E341" s="2">
        <v>46121</v>
      </c>
      <c r="G341">
        <v>356</v>
      </c>
      <c r="H341" t="s">
        <v>63</v>
      </c>
      <c r="I341">
        <v>7336</v>
      </c>
      <c r="J341">
        <v>76263</v>
      </c>
      <c r="L341" t="s">
        <v>443</v>
      </c>
      <c r="M341" t="s">
        <v>65</v>
      </c>
      <c r="N341" t="s">
        <v>66</v>
      </c>
      <c r="O341" s="2">
        <v>46121</v>
      </c>
      <c r="P341" s="1">
        <v>34.9</v>
      </c>
      <c r="Q341" t="s">
        <v>67</v>
      </c>
      <c r="R341">
        <v>1.01</v>
      </c>
      <c r="S341">
        <v>0.45</v>
      </c>
      <c r="T341">
        <v>0.08</v>
      </c>
      <c r="U341">
        <v>33.81</v>
      </c>
      <c r="V341" s="1">
        <v>0</v>
      </c>
      <c r="X341">
        <v>20260410</v>
      </c>
      <c r="Z341" t="s">
        <v>68</v>
      </c>
      <c r="AA341">
        <v>3974527</v>
      </c>
      <c r="AB341" t="s">
        <v>84</v>
      </c>
      <c r="AE341" s="3">
        <v>0.69353009259259257</v>
      </c>
      <c r="AF341" t="s">
        <v>70</v>
      </c>
    </row>
    <row r="342" spans="1:32">
      <c r="A342">
        <v>1023366</v>
      </c>
      <c r="B342" t="s">
        <v>75</v>
      </c>
      <c r="C342" t="s">
        <v>62</v>
      </c>
      <c r="D342" s="2">
        <v>46121</v>
      </c>
      <c r="E342" s="2">
        <v>46121</v>
      </c>
      <c r="G342">
        <v>356</v>
      </c>
      <c r="H342" t="s">
        <v>63</v>
      </c>
      <c r="I342">
        <v>7338</v>
      </c>
      <c r="J342">
        <v>158199</v>
      </c>
      <c r="L342" t="s">
        <v>444</v>
      </c>
      <c r="M342" t="s">
        <v>65</v>
      </c>
      <c r="N342" t="s">
        <v>66</v>
      </c>
      <c r="O342" s="2">
        <v>46121</v>
      </c>
      <c r="P342" s="1">
        <v>69</v>
      </c>
      <c r="Q342" t="s">
        <v>67</v>
      </c>
      <c r="R342">
        <v>1.99</v>
      </c>
      <c r="S342">
        <v>0.89</v>
      </c>
      <c r="T342">
        <v>0.16</v>
      </c>
      <c r="U342">
        <v>66.849999999999994</v>
      </c>
      <c r="V342" s="1">
        <v>0</v>
      </c>
      <c r="X342">
        <v>20260410</v>
      </c>
      <c r="Z342" t="s">
        <v>68</v>
      </c>
      <c r="AA342">
        <v>3974527</v>
      </c>
      <c r="AB342" t="s">
        <v>79</v>
      </c>
      <c r="AE342" s="3">
        <v>0.6975231481481482</v>
      </c>
      <c r="AF342" t="s">
        <v>70</v>
      </c>
    </row>
    <row r="343" spans="1:32">
      <c r="A343">
        <v>1023366</v>
      </c>
      <c r="B343" t="s">
        <v>75</v>
      </c>
      <c r="C343" t="s">
        <v>62</v>
      </c>
      <c r="D343" s="2">
        <v>46121</v>
      </c>
      <c r="E343" s="2">
        <v>46121</v>
      </c>
      <c r="G343">
        <v>356</v>
      </c>
      <c r="H343" t="s">
        <v>63</v>
      </c>
      <c r="I343">
        <v>7344</v>
      </c>
      <c r="J343">
        <v>200648</v>
      </c>
      <c r="L343" t="s">
        <v>445</v>
      </c>
      <c r="M343" t="s">
        <v>96</v>
      </c>
      <c r="N343" t="s">
        <v>66</v>
      </c>
      <c r="O343" s="2">
        <v>46121</v>
      </c>
      <c r="P343" s="1">
        <v>55</v>
      </c>
      <c r="Q343" t="s">
        <v>67</v>
      </c>
      <c r="R343">
        <v>2.15</v>
      </c>
      <c r="S343">
        <v>1.07</v>
      </c>
      <c r="T343">
        <v>0.19</v>
      </c>
      <c r="U343">
        <v>52.66</v>
      </c>
      <c r="V343" s="1">
        <v>0</v>
      </c>
      <c r="X343">
        <v>20260410</v>
      </c>
      <c r="Z343" t="s">
        <v>72</v>
      </c>
      <c r="AA343">
        <v>3974527</v>
      </c>
      <c r="AB343" t="s">
        <v>97</v>
      </c>
      <c r="AE343" s="3">
        <v>0.73675925925925922</v>
      </c>
      <c r="AF343" t="s">
        <v>70</v>
      </c>
    </row>
    <row r="344" spans="1:32">
      <c r="A344">
        <v>1023366</v>
      </c>
      <c r="B344" t="s">
        <v>75</v>
      </c>
      <c r="C344" t="s">
        <v>62</v>
      </c>
      <c r="D344" s="2">
        <v>46121</v>
      </c>
      <c r="E344" s="2">
        <v>46121</v>
      </c>
      <c r="G344">
        <v>356</v>
      </c>
      <c r="H344" t="s">
        <v>63</v>
      </c>
      <c r="I344">
        <v>7346</v>
      </c>
      <c r="J344">
        <v>260674</v>
      </c>
      <c r="L344" t="s">
        <v>446</v>
      </c>
      <c r="M344" t="s">
        <v>65</v>
      </c>
      <c r="N344" t="s">
        <v>66</v>
      </c>
      <c r="O344" s="2">
        <v>46121</v>
      </c>
      <c r="P344" s="1">
        <v>78.3</v>
      </c>
      <c r="Q344" t="s">
        <v>67</v>
      </c>
      <c r="R344">
        <v>2.2599999999999998</v>
      </c>
      <c r="S344">
        <v>1.01</v>
      </c>
      <c r="T344">
        <v>0.18</v>
      </c>
      <c r="U344">
        <v>75.86</v>
      </c>
      <c r="V344" s="1">
        <v>0</v>
      </c>
      <c r="X344">
        <v>20260410</v>
      </c>
      <c r="Z344" t="s">
        <v>68</v>
      </c>
      <c r="AA344">
        <v>3974527</v>
      </c>
      <c r="AB344" t="s">
        <v>79</v>
      </c>
      <c r="AE344" s="3">
        <v>0.74101851851851852</v>
      </c>
      <c r="AF344" t="s">
        <v>70</v>
      </c>
    </row>
    <row r="345" spans="1:32">
      <c r="A345">
        <v>1023366</v>
      </c>
      <c r="B345" t="s">
        <v>75</v>
      </c>
      <c r="C345" t="s">
        <v>62</v>
      </c>
      <c r="D345" s="2">
        <v>46121</v>
      </c>
      <c r="E345" s="2">
        <v>46121</v>
      </c>
      <c r="G345">
        <v>356</v>
      </c>
      <c r="H345">
        <v>65656565</v>
      </c>
      <c r="I345">
        <v>7348</v>
      </c>
      <c r="J345">
        <v>255627</v>
      </c>
      <c r="L345" t="s">
        <v>408</v>
      </c>
      <c r="M345" t="s">
        <v>65</v>
      </c>
      <c r="N345" t="s">
        <v>66</v>
      </c>
      <c r="O345" s="2">
        <v>46121</v>
      </c>
      <c r="P345" s="1">
        <v>55</v>
      </c>
      <c r="Q345" t="s">
        <v>67</v>
      </c>
      <c r="R345">
        <v>1.58</v>
      </c>
      <c r="S345">
        <v>0.7</v>
      </c>
      <c r="T345">
        <v>0.13</v>
      </c>
      <c r="U345">
        <v>53.29</v>
      </c>
      <c r="V345" s="1">
        <v>0</v>
      </c>
      <c r="X345">
        <v>20260410</v>
      </c>
      <c r="Z345" t="s">
        <v>68</v>
      </c>
      <c r="AA345">
        <v>3974527</v>
      </c>
      <c r="AB345" t="s">
        <v>79</v>
      </c>
      <c r="AD345" t="s">
        <v>88</v>
      </c>
      <c r="AE345" s="3">
        <v>0.76670138888888884</v>
      </c>
      <c r="AF345" t="s">
        <v>70</v>
      </c>
    </row>
    <row r="346" spans="1:32">
      <c r="A346">
        <v>1023366</v>
      </c>
      <c r="B346" t="s">
        <v>75</v>
      </c>
      <c r="C346" t="s">
        <v>62</v>
      </c>
      <c r="D346" s="2">
        <v>46121</v>
      </c>
      <c r="E346" s="2">
        <v>46121</v>
      </c>
      <c r="G346">
        <v>356</v>
      </c>
      <c r="H346" t="s">
        <v>63</v>
      </c>
      <c r="I346">
        <v>7351</v>
      </c>
      <c r="J346">
        <v>707938</v>
      </c>
      <c r="L346" t="s">
        <v>447</v>
      </c>
      <c r="M346" t="s">
        <v>65</v>
      </c>
      <c r="N346" t="s">
        <v>66</v>
      </c>
      <c r="O346" s="2">
        <v>46121</v>
      </c>
      <c r="P346" s="1">
        <v>150</v>
      </c>
      <c r="Q346" t="s">
        <v>67</v>
      </c>
      <c r="R346">
        <v>4.34</v>
      </c>
      <c r="S346">
        <v>1.94</v>
      </c>
      <c r="T346">
        <v>0.35</v>
      </c>
      <c r="U346">
        <v>145.31</v>
      </c>
      <c r="V346" s="1">
        <v>0</v>
      </c>
      <c r="X346">
        <v>20260410</v>
      </c>
      <c r="Z346" t="s">
        <v>68</v>
      </c>
      <c r="AA346">
        <v>3974527</v>
      </c>
      <c r="AB346" t="s">
        <v>79</v>
      </c>
      <c r="AE346" s="3">
        <v>0.80473379629629627</v>
      </c>
      <c r="AF346" t="s">
        <v>70</v>
      </c>
    </row>
    <row r="347" spans="1:32">
      <c r="A347">
        <v>1023366</v>
      </c>
      <c r="B347" t="s">
        <v>75</v>
      </c>
      <c r="C347" t="s">
        <v>62</v>
      </c>
      <c r="D347" s="2">
        <v>46121</v>
      </c>
      <c r="E347" s="2">
        <v>46121</v>
      </c>
      <c r="G347">
        <v>356</v>
      </c>
      <c r="H347">
        <v>65656565</v>
      </c>
      <c r="I347">
        <v>7353</v>
      </c>
      <c r="J347">
        <v>424857</v>
      </c>
      <c r="L347" t="s">
        <v>448</v>
      </c>
      <c r="M347" t="s">
        <v>65</v>
      </c>
      <c r="N347" t="s">
        <v>66</v>
      </c>
      <c r="O347" s="2">
        <v>46121</v>
      </c>
      <c r="P347" s="1">
        <v>144</v>
      </c>
      <c r="Q347" t="s">
        <v>67</v>
      </c>
      <c r="R347">
        <v>4.16</v>
      </c>
      <c r="S347">
        <v>1.86</v>
      </c>
      <c r="T347">
        <v>0.33</v>
      </c>
      <c r="U347">
        <v>139.51</v>
      </c>
      <c r="V347" s="1">
        <v>0</v>
      </c>
      <c r="X347">
        <v>20260410</v>
      </c>
      <c r="Z347" t="s">
        <v>68</v>
      </c>
      <c r="AA347">
        <v>3974527</v>
      </c>
      <c r="AB347" t="s">
        <v>79</v>
      </c>
      <c r="AD347" t="s">
        <v>88</v>
      </c>
      <c r="AE347" s="3">
        <v>0.81186342592592597</v>
      </c>
      <c r="AF347" t="s">
        <v>70</v>
      </c>
    </row>
    <row r="348" spans="1:32">
      <c r="A348">
        <v>1023366</v>
      </c>
      <c r="B348" t="s">
        <v>75</v>
      </c>
      <c r="C348" t="s">
        <v>62</v>
      </c>
      <c r="D348" s="2">
        <v>46121</v>
      </c>
      <c r="E348" s="2">
        <v>46121</v>
      </c>
      <c r="G348">
        <v>356</v>
      </c>
      <c r="H348" t="s">
        <v>63</v>
      </c>
      <c r="I348">
        <v>7356</v>
      </c>
      <c r="J348">
        <v>106120</v>
      </c>
      <c r="L348" t="s">
        <v>449</v>
      </c>
      <c r="M348" t="s">
        <v>65</v>
      </c>
      <c r="N348" t="s">
        <v>66</v>
      </c>
      <c r="O348" s="2">
        <v>46121</v>
      </c>
      <c r="P348" s="1">
        <v>65</v>
      </c>
      <c r="Q348" t="s">
        <v>67</v>
      </c>
      <c r="R348">
        <v>1.88</v>
      </c>
      <c r="S348">
        <v>0.84</v>
      </c>
      <c r="T348">
        <v>0.15</v>
      </c>
      <c r="U348">
        <v>62.97</v>
      </c>
      <c r="V348" s="1">
        <v>0</v>
      </c>
      <c r="X348">
        <v>20260410</v>
      </c>
      <c r="Z348" t="s">
        <v>68</v>
      </c>
      <c r="AA348">
        <v>3974527</v>
      </c>
      <c r="AB348" t="s">
        <v>84</v>
      </c>
      <c r="AE348" s="3">
        <v>0.81489583333333337</v>
      </c>
      <c r="AF348" t="s">
        <v>70</v>
      </c>
    </row>
    <row r="349" spans="1:32">
      <c r="A349">
        <v>1023366</v>
      </c>
      <c r="B349" t="s">
        <v>75</v>
      </c>
      <c r="C349" t="s">
        <v>62</v>
      </c>
      <c r="D349" s="2">
        <v>46121</v>
      </c>
      <c r="E349" s="2">
        <v>46121</v>
      </c>
      <c r="G349">
        <v>356</v>
      </c>
      <c r="H349" t="s">
        <v>63</v>
      </c>
      <c r="I349">
        <v>7358</v>
      </c>
      <c r="J349">
        <v>374043</v>
      </c>
      <c r="L349" t="s">
        <v>450</v>
      </c>
      <c r="M349" t="s">
        <v>65</v>
      </c>
      <c r="N349" t="s">
        <v>66</v>
      </c>
      <c r="O349" s="2">
        <v>46121</v>
      </c>
      <c r="P349" s="1">
        <v>79</v>
      </c>
      <c r="Q349" t="s">
        <v>67</v>
      </c>
      <c r="R349">
        <v>2.2799999999999998</v>
      </c>
      <c r="S349">
        <v>0.46</v>
      </c>
      <c r="T349">
        <v>0.08</v>
      </c>
      <c r="U349">
        <v>76.64</v>
      </c>
      <c r="V349" s="1">
        <v>0</v>
      </c>
      <c r="X349">
        <v>20260410</v>
      </c>
      <c r="Z349" t="s">
        <v>72</v>
      </c>
      <c r="AA349">
        <v>3974527</v>
      </c>
      <c r="AB349" t="s">
        <v>77</v>
      </c>
      <c r="AE349" s="3">
        <v>0.81773148148148145</v>
      </c>
      <c r="AF349" t="s">
        <v>70</v>
      </c>
    </row>
    <row r="350" spans="1:32">
      <c r="A350">
        <v>1023366</v>
      </c>
      <c r="B350" t="s">
        <v>75</v>
      </c>
      <c r="C350" t="s">
        <v>62</v>
      </c>
      <c r="D350" s="2">
        <v>46121</v>
      </c>
      <c r="E350" s="2">
        <v>46121</v>
      </c>
      <c r="G350">
        <v>356</v>
      </c>
      <c r="H350" t="s">
        <v>63</v>
      </c>
      <c r="I350">
        <v>7360</v>
      </c>
      <c r="J350">
        <v>47679</v>
      </c>
      <c r="L350" t="s">
        <v>451</v>
      </c>
      <c r="M350" t="s">
        <v>65</v>
      </c>
      <c r="N350" t="s">
        <v>66</v>
      </c>
      <c r="O350" s="2">
        <v>46121</v>
      </c>
      <c r="P350" s="1">
        <v>44.75</v>
      </c>
      <c r="Q350" t="s">
        <v>67</v>
      </c>
      <c r="R350">
        <v>1.29</v>
      </c>
      <c r="S350">
        <v>0.35</v>
      </c>
      <c r="T350">
        <v>0.06</v>
      </c>
      <c r="U350">
        <v>43.4</v>
      </c>
      <c r="V350" s="1">
        <v>0</v>
      </c>
      <c r="X350">
        <v>20260410</v>
      </c>
      <c r="Z350" t="s">
        <v>72</v>
      </c>
      <c r="AA350">
        <v>3974527</v>
      </c>
      <c r="AB350" t="s">
        <v>84</v>
      </c>
      <c r="AE350" s="3">
        <v>0.8276041666666667</v>
      </c>
      <c r="AF350" t="s">
        <v>70</v>
      </c>
    </row>
    <row r="351" spans="1:32">
      <c r="A351">
        <v>1023366</v>
      </c>
      <c r="B351" t="s">
        <v>75</v>
      </c>
      <c r="C351" t="s">
        <v>62</v>
      </c>
      <c r="D351" s="2">
        <v>46121</v>
      </c>
      <c r="E351" s="2">
        <v>46121</v>
      </c>
      <c r="G351">
        <v>356</v>
      </c>
      <c r="H351">
        <v>65656565</v>
      </c>
      <c r="I351">
        <v>7362</v>
      </c>
      <c r="J351">
        <v>512996</v>
      </c>
      <c r="L351" t="s">
        <v>452</v>
      </c>
      <c r="M351" t="s">
        <v>65</v>
      </c>
      <c r="N351" t="s">
        <v>66</v>
      </c>
      <c r="O351" s="2">
        <v>46121</v>
      </c>
      <c r="P351" s="1">
        <v>49.9</v>
      </c>
      <c r="Q351" t="s">
        <v>67</v>
      </c>
      <c r="R351">
        <v>1.44</v>
      </c>
      <c r="S351">
        <v>0.64</v>
      </c>
      <c r="T351">
        <v>0.12</v>
      </c>
      <c r="U351">
        <v>48.34</v>
      </c>
      <c r="V351" s="1">
        <v>0</v>
      </c>
      <c r="X351">
        <v>20260410</v>
      </c>
      <c r="Z351" t="s">
        <v>68</v>
      </c>
      <c r="AA351">
        <v>3974527</v>
      </c>
      <c r="AB351" t="s">
        <v>81</v>
      </c>
      <c r="AD351" t="s">
        <v>88</v>
      </c>
      <c r="AE351" s="3">
        <v>0.83434027777777775</v>
      </c>
      <c r="AF351" t="s">
        <v>70</v>
      </c>
    </row>
    <row r="352" spans="1:32">
      <c r="A352">
        <v>1023366</v>
      </c>
      <c r="B352" t="s">
        <v>75</v>
      </c>
      <c r="C352" t="s">
        <v>62</v>
      </c>
      <c r="D352" s="2">
        <v>46121</v>
      </c>
      <c r="E352" s="2">
        <v>46121</v>
      </c>
      <c r="G352">
        <v>356</v>
      </c>
      <c r="H352" t="s">
        <v>63</v>
      </c>
      <c r="I352">
        <v>7366</v>
      </c>
      <c r="J352">
        <v>980606</v>
      </c>
      <c r="L352" t="s">
        <v>453</v>
      </c>
      <c r="M352" t="s">
        <v>65</v>
      </c>
      <c r="N352" t="s">
        <v>66</v>
      </c>
      <c r="O352" s="2">
        <v>46121</v>
      </c>
      <c r="P352" s="1">
        <v>89.9</v>
      </c>
      <c r="Q352" t="s">
        <v>67</v>
      </c>
      <c r="R352">
        <v>2.6</v>
      </c>
      <c r="S352">
        <v>1.1599999999999999</v>
      </c>
      <c r="T352">
        <v>0.21</v>
      </c>
      <c r="U352">
        <v>87.09</v>
      </c>
      <c r="V352" s="1">
        <v>0</v>
      </c>
      <c r="X352">
        <v>20260410</v>
      </c>
      <c r="Z352" t="s">
        <v>68</v>
      </c>
      <c r="AA352">
        <v>3974527</v>
      </c>
      <c r="AB352" t="s">
        <v>81</v>
      </c>
      <c r="AE352" s="3">
        <v>0.85234953703703709</v>
      </c>
      <c r="AF352" t="s">
        <v>70</v>
      </c>
    </row>
    <row r="353" spans="1:42">
      <c r="A353">
        <v>1023366</v>
      </c>
      <c r="B353" t="s">
        <v>75</v>
      </c>
      <c r="C353" t="s">
        <v>62</v>
      </c>
      <c r="D353" s="2">
        <v>46121</v>
      </c>
      <c r="P353" s="1">
        <v>0</v>
      </c>
      <c r="R353">
        <v>0</v>
      </c>
      <c r="S353">
        <v>0</v>
      </c>
      <c r="T353">
        <v>0</v>
      </c>
      <c r="U353">
        <v>-53.36</v>
      </c>
      <c r="V353" s="1">
        <v>10082.89</v>
      </c>
      <c r="W353" s="2">
        <v>46122</v>
      </c>
      <c r="X353">
        <v>20260410</v>
      </c>
      <c r="Y353" t="s">
        <v>454</v>
      </c>
      <c r="AF353" t="s">
        <v>70</v>
      </c>
      <c r="AL353">
        <v>104107</v>
      </c>
      <c r="AM353" s="30">
        <f>+V353</f>
        <v>10082.89</v>
      </c>
      <c r="AN353" t="str">
        <f>_xlfn.XLOOKUP(V353,Bancos!H:H,Bancos!C:C)</f>
        <v>8012515</v>
      </c>
      <c r="AO353" t="str">
        <f>_xlfn.XLOOKUP(AN353,Bancos!C:C,Bancos!A:A)</f>
        <v>10/04/2026</v>
      </c>
      <c r="AP353" s="12">
        <f>+AO353-W353</f>
        <v>0</v>
      </c>
    </row>
    <row r="354" spans="1:42">
      <c r="A354">
        <v>1023366</v>
      </c>
      <c r="B354" t="s">
        <v>75</v>
      </c>
      <c r="C354" t="s">
        <v>715</v>
      </c>
      <c r="D354" s="2">
        <v>46121</v>
      </c>
      <c r="E354" s="2">
        <v>46121</v>
      </c>
      <c r="G354">
        <v>356</v>
      </c>
      <c r="H354" t="s">
        <v>63</v>
      </c>
      <c r="I354">
        <v>1209</v>
      </c>
      <c r="J354">
        <v>856106</v>
      </c>
      <c r="L354" t="s">
        <v>426</v>
      </c>
      <c r="M354" t="s">
        <v>65</v>
      </c>
      <c r="N354" t="s">
        <v>427</v>
      </c>
      <c r="O354" s="2">
        <v>46121</v>
      </c>
      <c r="P354" s="1">
        <v>-55</v>
      </c>
      <c r="Q354" t="s">
        <v>428</v>
      </c>
      <c r="R354">
        <v>-1.59</v>
      </c>
      <c r="S354">
        <v>-0.27</v>
      </c>
      <c r="T354">
        <v>-0.05</v>
      </c>
      <c r="U354">
        <v>-53.36</v>
      </c>
      <c r="V354" s="1">
        <v>0</v>
      </c>
      <c r="X354">
        <v>20260410</v>
      </c>
      <c r="Y354" t="s">
        <v>716</v>
      </c>
      <c r="Z354" t="s">
        <v>68</v>
      </c>
      <c r="AA354">
        <v>3974527</v>
      </c>
      <c r="AB354" t="s">
        <v>79</v>
      </c>
      <c r="AE354" s="3">
        <v>0.43312499999999998</v>
      </c>
      <c r="AF354" t="s">
        <v>70</v>
      </c>
    </row>
    <row r="355" spans="1:42">
      <c r="A355">
        <v>1023366</v>
      </c>
      <c r="B355" t="s">
        <v>61</v>
      </c>
      <c r="C355" t="s">
        <v>62</v>
      </c>
      <c r="D355">
        <v>46122</v>
      </c>
      <c r="E355">
        <v>46122</v>
      </c>
      <c r="G355">
        <v>357</v>
      </c>
      <c r="H355" t="s">
        <v>63</v>
      </c>
      <c r="I355">
        <v>7387</v>
      </c>
      <c r="J355">
        <v>393070</v>
      </c>
      <c r="K355">
        <v>2</v>
      </c>
      <c r="L355" t="s">
        <v>717</v>
      </c>
      <c r="M355" t="s">
        <v>65</v>
      </c>
      <c r="N355" t="s">
        <v>66</v>
      </c>
      <c r="O355" s="2">
        <v>46122</v>
      </c>
      <c r="P355" s="1">
        <v>269</v>
      </c>
      <c r="Q355" t="s">
        <v>67</v>
      </c>
      <c r="R355">
        <v>7.77</v>
      </c>
      <c r="S355">
        <v>2.12</v>
      </c>
      <c r="T355">
        <v>0.38</v>
      </c>
      <c r="U355">
        <v>260.85000000000002</v>
      </c>
      <c r="V355" s="1">
        <v>0</v>
      </c>
      <c r="X355">
        <v>20260413</v>
      </c>
      <c r="Z355" t="s">
        <v>72</v>
      </c>
      <c r="AA355">
        <v>3974527</v>
      </c>
      <c r="AB355" t="s">
        <v>73</v>
      </c>
      <c r="AC355" t="s">
        <v>74</v>
      </c>
      <c r="AE355">
        <v>0.51037037037037036</v>
      </c>
      <c r="AF355" t="s">
        <v>70</v>
      </c>
    </row>
    <row r="356" spans="1:42">
      <c r="A356">
        <v>1023366</v>
      </c>
      <c r="B356" t="s">
        <v>61</v>
      </c>
      <c r="C356" t="s">
        <v>62</v>
      </c>
      <c r="D356">
        <v>46122</v>
      </c>
      <c r="E356">
        <v>46122</v>
      </c>
      <c r="G356">
        <v>357</v>
      </c>
      <c r="H356" t="s">
        <v>63</v>
      </c>
      <c r="I356">
        <v>7415</v>
      </c>
      <c r="J356">
        <v>70624</v>
      </c>
      <c r="L356" t="s">
        <v>718</v>
      </c>
      <c r="M356" t="s">
        <v>96</v>
      </c>
      <c r="N356" t="s">
        <v>66</v>
      </c>
      <c r="O356" s="2">
        <v>46122</v>
      </c>
      <c r="P356" s="1">
        <v>89.9</v>
      </c>
      <c r="Q356" t="s">
        <v>67</v>
      </c>
      <c r="R356">
        <v>3.51</v>
      </c>
      <c r="S356">
        <v>1.73</v>
      </c>
      <c r="T356">
        <v>0.31</v>
      </c>
      <c r="U356">
        <v>86.08</v>
      </c>
      <c r="V356" s="1">
        <v>0</v>
      </c>
      <c r="X356">
        <v>20260413</v>
      </c>
      <c r="Z356" t="s">
        <v>72</v>
      </c>
      <c r="AA356">
        <v>3974527</v>
      </c>
      <c r="AB356" t="s">
        <v>234</v>
      </c>
      <c r="AE356">
        <v>0.74672453703703701</v>
      </c>
      <c r="AF356" t="s">
        <v>70</v>
      </c>
    </row>
    <row r="357" spans="1:42">
      <c r="A357">
        <v>1023366</v>
      </c>
      <c r="B357" t="s">
        <v>61</v>
      </c>
      <c r="C357" t="s">
        <v>62</v>
      </c>
      <c r="D357">
        <v>46122</v>
      </c>
      <c r="E357">
        <v>46122</v>
      </c>
      <c r="G357">
        <v>357</v>
      </c>
      <c r="H357" t="s">
        <v>63</v>
      </c>
      <c r="I357">
        <v>7421</v>
      </c>
      <c r="J357">
        <v>183035</v>
      </c>
      <c r="L357" t="s">
        <v>719</v>
      </c>
      <c r="M357" t="s">
        <v>96</v>
      </c>
      <c r="N357" t="s">
        <v>66</v>
      </c>
      <c r="O357" s="2">
        <v>46122</v>
      </c>
      <c r="P357" s="1">
        <v>17.899999999999999</v>
      </c>
      <c r="Q357" t="s">
        <v>67</v>
      </c>
      <c r="R357">
        <v>0.7</v>
      </c>
      <c r="S357">
        <v>0.41</v>
      </c>
      <c r="T357">
        <v>7.0000000000000007E-2</v>
      </c>
      <c r="U357">
        <v>17.13</v>
      </c>
      <c r="V357" s="1">
        <v>364.06</v>
      </c>
      <c r="W357">
        <v>46125</v>
      </c>
      <c r="X357">
        <v>20260413</v>
      </c>
      <c r="Z357" t="s">
        <v>72</v>
      </c>
      <c r="AA357">
        <v>3974527</v>
      </c>
      <c r="AB357" t="s">
        <v>234</v>
      </c>
      <c r="AE357">
        <v>0.7712268518518518</v>
      </c>
      <c r="AF357" t="s">
        <v>70</v>
      </c>
    </row>
    <row r="358" spans="1:42">
      <c r="A358">
        <v>1023366</v>
      </c>
      <c r="B358" t="s">
        <v>75</v>
      </c>
      <c r="C358" t="s">
        <v>425</v>
      </c>
      <c r="D358">
        <v>46122</v>
      </c>
      <c r="E358">
        <v>46122</v>
      </c>
      <c r="G358">
        <v>349</v>
      </c>
      <c r="H358" t="s">
        <v>63</v>
      </c>
      <c r="I358">
        <v>6655</v>
      </c>
      <c r="J358">
        <v>8454</v>
      </c>
      <c r="L358" t="s">
        <v>195</v>
      </c>
      <c r="M358" t="s">
        <v>65</v>
      </c>
      <c r="N358" t="s">
        <v>427</v>
      </c>
      <c r="O358" s="2">
        <v>46122</v>
      </c>
      <c r="P358" s="1">
        <v>-189</v>
      </c>
      <c r="Q358" t="s">
        <v>428</v>
      </c>
      <c r="R358">
        <v>-5.46</v>
      </c>
      <c r="S358">
        <v>-1.1100000000000001</v>
      </c>
      <c r="T358">
        <v>-0.2</v>
      </c>
      <c r="U358">
        <v>-183.34</v>
      </c>
      <c r="V358" s="1">
        <v>0</v>
      </c>
      <c r="Y358" t="s">
        <v>429</v>
      </c>
      <c r="Z358" t="s">
        <v>72</v>
      </c>
      <c r="AA358">
        <v>3974527</v>
      </c>
      <c r="AB358" t="s">
        <v>79</v>
      </c>
      <c r="AE358">
        <v>0.83964120370370365</v>
      </c>
      <c r="AF358" t="s">
        <v>70</v>
      </c>
    </row>
    <row r="359" spans="1:42">
      <c r="A359">
        <v>1023366</v>
      </c>
      <c r="B359" t="s">
        <v>75</v>
      </c>
      <c r="C359" t="s">
        <v>62</v>
      </c>
      <c r="D359">
        <v>46122</v>
      </c>
      <c r="E359">
        <v>46122</v>
      </c>
      <c r="G359">
        <v>662</v>
      </c>
      <c r="H359" t="s">
        <v>720</v>
      </c>
      <c r="I359">
        <v>9153</v>
      </c>
      <c r="J359">
        <v>427441</v>
      </c>
      <c r="L359" t="s">
        <v>721</v>
      </c>
      <c r="M359" t="s">
        <v>65</v>
      </c>
      <c r="N359" t="s">
        <v>66</v>
      </c>
      <c r="O359" s="2">
        <v>46122</v>
      </c>
      <c r="P359" s="1">
        <v>1399</v>
      </c>
      <c r="Q359" t="s">
        <v>67</v>
      </c>
      <c r="R359">
        <v>40.43</v>
      </c>
      <c r="S359">
        <v>8.25</v>
      </c>
      <c r="T359">
        <v>1.49</v>
      </c>
      <c r="U359">
        <v>1357.08</v>
      </c>
      <c r="V359" s="1">
        <v>0</v>
      </c>
      <c r="X359" s="31">
        <v>20260413</v>
      </c>
      <c r="Z359" t="s">
        <v>72</v>
      </c>
      <c r="AA359" t="s">
        <v>350</v>
      </c>
      <c r="AB359" t="s">
        <v>106</v>
      </c>
      <c r="AE359">
        <v>0.79364583333333338</v>
      </c>
      <c r="AF359" t="s">
        <v>70</v>
      </c>
    </row>
    <row r="360" spans="1:42">
      <c r="A360">
        <v>1023366</v>
      </c>
      <c r="B360" t="s">
        <v>75</v>
      </c>
      <c r="C360" t="s">
        <v>62</v>
      </c>
      <c r="D360">
        <v>46122</v>
      </c>
      <c r="E360">
        <v>46122</v>
      </c>
      <c r="G360">
        <v>357</v>
      </c>
      <c r="H360" t="s">
        <v>63</v>
      </c>
      <c r="I360">
        <v>7381</v>
      </c>
      <c r="J360">
        <v>174879</v>
      </c>
      <c r="L360" t="s">
        <v>722</v>
      </c>
      <c r="M360" t="s">
        <v>65</v>
      </c>
      <c r="N360" t="s">
        <v>66</v>
      </c>
      <c r="O360" s="2">
        <v>46122</v>
      </c>
      <c r="P360" s="1">
        <v>2998</v>
      </c>
      <c r="Q360" t="s">
        <v>67</v>
      </c>
      <c r="R360">
        <v>86.64</v>
      </c>
      <c r="S360">
        <v>17.690000000000001</v>
      </c>
      <c r="T360">
        <v>3.18</v>
      </c>
      <c r="U360">
        <v>2908.18</v>
      </c>
      <c r="V360" s="1">
        <v>0</v>
      </c>
      <c r="X360">
        <v>20260413</v>
      </c>
      <c r="Z360" t="s">
        <v>72</v>
      </c>
      <c r="AA360">
        <v>3974527</v>
      </c>
      <c r="AB360" t="s">
        <v>93</v>
      </c>
      <c r="AE360">
        <v>0.45740740740740743</v>
      </c>
      <c r="AF360" t="s">
        <v>70</v>
      </c>
    </row>
    <row r="361" spans="1:42">
      <c r="A361">
        <v>1023366</v>
      </c>
      <c r="B361" t="s">
        <v>75</v>
      </c>
      <c r="C361" t="s">
        <v>62</v>
      </c>
      <c r="D361">
        <v>46122</v>
      </c>
      <c r="E361">
        <v>46122</v>
      </c>
      <c r="G361">
        <v>357</v>
      </c>
      <c r="H361" t="s">
        <v>63</v>
      </c>
      <c r="I361">
        <v>7383</v>
      </c>
      <c r="J361">
        <v>341124</v>
      </c>
      <c r="L361" t="s">
        <v>723</v>
      </c>
      <c r="M361" t="s">
        <v>65</v>
      </c>
      <c r="N361" t="s">
        <v>66</v>
      </c>
      <c r="O361" s="2">
        <v>46122</v>
      </c>
      <c r="P361" s="1">
        <v>189</v>
      </c>
      <c r="Q361" t="s">
        <v>67</v>
      </c>
      <c r="R361">
        <v>5.46</v>
      </c>
      <c r="S361">
        <v>2.44</v>
      </c>
      <c r="T361">
        <v>0.44</v>
      </c>
      <c r="U361">
        <v>183.1</v>
      </c>
      <c r="V361" s="1">
        <v>0</v>
      </c>
      <c r="X361">
        <v>20260413</v>
      </c>
      <c r="Z361" t="s">
        <v>68</v>
      </c>
      <c r="AA361">
        <v>3974527</v>
      </c>
      <c r="AB361" t="s">
        <v>93</v>
      </c>
      <c r="AE361">
        <v>0.49479166666666669</v>
      </c>
      <c r="AF361" t="s">
        <v>70</v>
      </c>
    </row>
    <row r="362" spans="1:42">
      <c r="A362">
        <v>1023366</v>
      </c>
      <c r="B362" t="s">
        <v>75</v>
      </c>
      <c r="C362" t="s">
        <v>62</v>
      </c>
      <c r="D362">
        <v>46122</v>
      </c>
      <c r="E362">
        <v>46122</v>
      </c>
      <c r="G362">
        <v>357</v>
      </c>
      <c r="H362" t="s">
        <v>63</v>
      </c>
      <c r="I362">
        <v>7385</v>
      </c>
      <c r="J362">
        <v>589837</v>
      </c>
      <c r="L362" t="s">
        <v>724</v>
      </c>
      <c r="M362" t="s">
        <v>65</v>
      </c>
      <c r="N362" t="s">
        <v>66</v>
      </c>
      <c r="O362" s="2">
        <v>46122</v>
      </c>
      <c r="P362" s="1">
        <v>2267.9</v>
      </c>
      <c r="Q362" t="s">
        <v>67</v>
      </c>
      <c r="R362">
        <v>65.540000000000006</v>
      </c>
      <c r="S362">
        <v>29.25</v>
      </c>
      <c r="T362">
        <v>5.27</v>
      </c>
      <c r="U362">
        <v>2197.09</v>
      </c>
      <c r="V362" s="1">
        <v>0</v>
      </c>
      <c r="X362">
        <v>20260413</v>
      </c>
      <c r="Z362" t="s">
        <v>68</v>
      </c>
      <c r="AA362">
        <v>3974527</v>
      </c>
      <c r="AB362" t="s">
        <v>79</v>
      </c>
      <c r="AE362">
        <v>0.5012847222222222</v>
      </c>
      <c r="AF362" t="s">
        <v>70</v>
      </c>
    </row>
    <row r="363" spans="1:42">
      <c r="A363">
        <v>1023366</v>
      </c>
      <c r="B363" t="s">
        <v>75</v>
      </c>
      <c r="C363" t="s">
        <v>62</v>
      </c>
      <c r="D363">
        <v>46122</v>
      </c>
      <c r="E363">
        <v>46122</v>
      </c>
      <c r="G363">
        <v>357</v>
      </c>
      <c r="H363" t="s">
        <v>63</v>
      </c>
      <c r="I363">
        <v>7389</v>
      </c>
      <c r="J363">
        <v>4316</v>
      </c>
      <c r="L363" t="s">
        <v>725</v>
      </c>
      <c r="M363" t="s">
        <v>65</v>
      </c>
      <c r="N363" t="s">
        <v>66</v>
      </c>
      <c r="O363" s="2">
        <v>46122</v>
      </c>
      <c r="P363" s="1">
        <v>79</v>
      </c>
      <c r="Q363" t="s">
        <v>67</v>
      </c>
      <c r="R363">
        <v>2.2799999999999998</v>
      </c>
      <c r="S363">
        <v>0.3</v>
      </c>
      <c r="T363">
        <v>0.05</v>
      </c>
      <c r="U363">
        <v>76.67</v>
      </c>
      <c r="V363" s="1">
        <v>0</v>
      </c>
      <c r="X363">
        <v>20260413</v>
      </c>
      <c r="Z363" t="s">
        <v>72</v>
      </c>
      <c r="AA363">
        <v>3974527</v>
      </c>
      <c r="AB363" t="s">
        <v>79</v>
      </c>
      <c r="AE363">
        <v>0.52431712962962962</v>
      </c>
      <c r="AF363" t="s">
        <v>70</v>
      </c>
    </row>
    <row r="364" spans="1:42">
      <c r="A364">
        <v>1023366</v>
      </c>
      <c r="B364" t="s">
        <v>75</v>
      </c>
      <c r="C364" t="s">
        <v>62</v>
      </c>
      <c r="D364">
        <v>46122</v>
      </c>
      <c r="E364">
        <v>46122</v>
      </c>
      <c r="G364">
        <v>357</v>
      </c>
      <c r="H364" t="s">
        <v>63</v>
      </c>
      <c r="I364">
        <v>7391</v>
      </c>
      <c r="J364">
        <v>376909</v>
      </c>
      <c r="L364" t="s">
        <v>726</v>
      </c>
      <c r="M364" t="s">
        <v>65</v>
      </c>
      <c r="N364" t="s">
        <v>66</v>
      </c>
      <c r="O364" s="2">
        <v>46122</v>
      </c>
      <c r="P364" s="1">
        <v>35</v>
      </c>
      <c r="Q364" t="s">
        <v>67</v>
      </c>
      <c r="R364">
        <v>1.01</v>
      </c>
      <c r="S364">
        <v>0.45</v>
      </c>
      <c r="T364">
        <v>0.08</v>
      </c>
      <c r="U364">
        <v>33.909999999999997</v>
      </c>
      <c r="V364" s="1">
        <v>0</v>
      </c>
      <c r="X364">
        <v>20260413</v>
      </c>
      <c r="Z364" t="s">
        <v>68</v>
      </c>
      <c r="AA364">
        <v>3974527</v>
      </c>
      <c r="AB364" t="s">
        <v>79</v>
      </c>
      <c r="AE364">
        <v>0.54835648148148153</v>
      </c>
      <c r="AF364" t="s">
        <v>70</v>
      </c>
    </row>
    <row r="365" spans="1:42">
      <c r="A365">
        <v>1023366</v>
      </c>
      <c r="B365" t="s">
        <v>75</v>
      </c>
      <c r="C365" t="s">
        <v>62</v>
      </c>
      <c r="D365">
        <v>46122</v>
      </c>
      <c r="E365">
        <v>46122</v>
      </c>
      <c r="G365">
        <v>357</v>
      </c>
      <c r="H365" t="s">
        <v>63</v>
      </c>
      <c r="I365">
        <v>7393</v>
      </c>
      <c r="J365">
        <v>251394</v>
      </c>
      <c r="L365" t="s">
        <v>727</v>
      </c>
      <c r="M365" t="s">
        <v>65</v>
      </c>
      <c r="N365" t="s">
        <v>66</v>
      </c>
      <c r="O365" s="2">
        <v>46122</v>
      </c>
      <c r="P365" s="1">
        <v>34.9</v>
      </c>
      <c r="Q365" t="s">
        <v>67</v>
      </c>
      <c r="R365">
        <v>1.01</v>
      </c>
      <c r="S365">
        <v>0.28000000000000003</v>
      </c>
      <c r="T365">
        <v>0.05</v>
      </c>
      <c r="U365">
        <v>33.840000000000003</v>
      </c>
      <c r="V365" s="1">
        <v>0</v>
      </c>
      <c r="X365">
        <v>20260413</v>
      </c>
      <c r="Z365" t="s">
        <v>68</v>
      </c>
      <c r="AA365">
        <v>3974527</v>
      </c>
      <c r="AB365" t="s">
        <v>728</v>
      </c>
      <c r="AE365">
        <v>0.54997685185185186</v>
      </c>
      <c r="AF365" t="s">
        <v>70</v>
      </c>
    </row>
    <row r="366" spans="1:42">
      <c r="A366">
        <v>1023366</v>
      </c>
      <c r="B366" t="s">
        <v>75</v>
      </c>
      <c r="C366" t="s">
        <v>62</v>
      </c>
      <c r="D366">
        <v>46122</v>
      </c>
      <c r="E366">
        <v>46122</v>
      </c>
      <c r="G366">
        <v>357</v>
      </c>
      <c r="H366" t="s">
        <v>63</v>
      </c>
      <c r="I366">
        <v>7395</v>
      </c>
      <c r="J366">
        <v>152069</v>
      </c>
      <c r="L366" t="s">
        <v>729</v>
      </c>
      <c r="M366" t="s">
        <v>65</v>
      </c>
      <c r="N366" t="s">
        <v>66</v>
      </c>
      <c r="O366" s="2">
        <v>46122</v>
      </c>
      <c r="P366" s="1">
        <v>89.9</v>
      </c>
      <c r="Q366" t="s">
        <v>67</v>
      </c>
      <c r="R366">
        <v>2.6</v>
      </c>
      <c r="S366">
        <v>0.71</v>
      </c>
      <c r="T366">
        <v>0.13</v>
      </c>
      <c r="U366">
        <v>87.17</v>
      </c>
      <c r="V366" s="1">
        <v>0</v>
      </c>
      <c r="X366">
        <v>20260413</v>
      </c>
      <c r="Z366" t="s">
        <v>72</v>
      </c>
      <c r="AA366">
        <v>3974527</v>
      </c>
      <c r="AB366" t="s">
        <v>77</v>
      </c>
      <c r="AE366">
        <v>0.5521759259259259</v>
      </c>
      <c r="AF366" t="s">
        <v>70</v>
      </c>
    </row>
    <row r="367" spans="1:42">
      <c r="A367">
        <v>1023366</v>
      </c>
      <c r="B367" t="s">
        <v>75</v>
      </c>
      <c r="C367" t="s">
        <v>62</v>
      </c>
      <c r="D367">
        <v>46122</v>
      </c>
      <c r="E367">
        <v>46122</v>
      </c>
      <c r="G367">
        <v>357</v>
      </c>
      <c r="H367" t="s">
        <v>63</v>
      </c>
      <c r="I367">
        <v>7397</v>
      </c>
      <c r="J367">
        <v>108234</v>
      </c>
      <c r="L367" t="s">
        <v>730</v>
      </c>
      <c r="M367" t="s">
        <v>65</v>
      </c>
      <c r="N367" t="s">
        <v>66</v>
      </c>
      <c r="O367" s="2">
        <v>46122</v>
      </c>
      <c r="P367" s="1">
        <v>55</v>
      </c>
      <c r="Q367" t="s">
        <v>67</v>
      </c>
      <c r="R367">
        <v>1.59</v>
      </c>
      <c r="S367">
        <v>0.71</v>
      </c>
      <c r="T367">
        <v>0.13</v>
      </c>
      <c r="U367">
        <v>53.28</v>
      </c>
      <c r="V367" s="1">
        <v>0</v>
      </c>
      <c r="X367">
        <v>20260413</v>
      </c>
      <c r="Z367" t="s">
        <v>68</v>
      </c>
      <c r="AA367">
        <v>3974527</v>
      </c>
      <c r="AB367" t="s">
        <v>77</v>
      </c>
      <c r="AE367">
        <v>0.57946759259259262</v>
      </c>
      <c r="AF367" t="s">
        <v>70</v>
      </c>
    </row>
    <row r="368" spans="1:42">
      <c r="A368">
        <v>1023366</v>
      </c>
      <c r="B368" t="s">
        <v>75</v>
      </c>
      <c r="C368" t="s">
        <v>62</v>
      </c>
      <c r="D368">
        <v>46122</v>
      </c>
      <c r="E368">
        <v>46122</v>
      </c>
      <c r="G368">
        <v>357</v>
      </c>
      <c r="H368" t="s">
        <v>63</v>
      </c>
      <c r="I368">
        <v>7399</v>
      </c>
      <c r="J368">
        <v>60750</v>
      </c>
      <c r="L368" t="s">
        <v>731</v>
      </c>
      <c r="M368" t="s">
        <v>65</v>
      </c>
      <c r="N368" t="s">
        <v>66</v>
      </c>
      <c r="O368" s="2">
        <v>46122</v>
      </c>
      <c r="P368" s="1">
        <v>89.9</v>
      </c>
      <c r="Q368" t="s">
        <v>67</v>
      </c>
      <c r="R368">
        <v>2.6</v>
      </c>
      <c r="S368">
        <v>0.53</v>
      </c>
      <c r="T368">
        <v>0.1</v>
      </c>
      <c r="U368">
        <v>87.2</v>
      </c>
      <c r="V368" s="1">
        <v>0</v>
      </c>
      <c r="X368">
        <v>20260413</v>
      </c>
      <c r="Z368" t="s">
        <v>72</v>
      </c>
      <c r="AA368">
        <v>3974527</v>
      </c>
      <c r="AB368" t="s">
        <v>77</v>
      </c>
      <c r="AE368">
        <v>0.58748842592592587</v>
      </c>
      <c r="AF368" t="s">
        <v>70</v>
      </c>
    </row>
    <row r="369" spans="1:32">
      <c r="A369">
        <v>1023366</v>
      </c>
      <c r="B369" t="s">
        <v>75</v>
      </c>
      <c r="C369" t="s">
        <v>62</v>
      </c>
      <c r="D369">
        <v>46122</v>
      </c>
      <c r="E369">
        <v>46122</v>
      </c>
      <c r="G369">
        <v>357</v>
      </c>
      <c r="H369" t="s">
        <v>63</v>
      </c>
      <c r="I369">
        <v>7401</v>
      </c>
      <c r="J369">
        <v>890189</v>
      </c>
      <c r="L369" t="s">
        <v>732</v>
      </c>
      <c r="M369" t="s">
        <v>65</v>
      </c>
      <c r="N369" t="s">
        <v>66</v>
      </c>
      <c r="O369" s="2">
        <v>46122</v>
      </c>
      <c r="P369" s="1">
        <v>105</v>
      </c>
      <c r="Q369" t="s">
        <v>67</v>
      </c>
      <c r="R369">
        <v>3.03</v>
      </c>
      <c r="S369">
        <v>1.35</v>
      </c>
      <c r="T369">
        <v>0.24</v>
      </c>
      <c r="U369">
        <v>101.73</v>
      </c>
      <c r="V369" s="1">
        <v>0</v>
      </c>
      <c r="X369">
        <v>20260413</v>
      </c>
      <c r="Z369" t="s">
        <v>68</v>
      </c>
      <c r="AA369">
        <v>3974527</v>
      </c>
      <c r="AB369" t="s">
        <v>79</v>
      </c>
      <c r="AE369">
        <v>0.62035879629629631</v>
      </c>
      <c r="AF369" t="s">
        <v>70</v>
      </c>
    </row>
    <row r="370" spans="1:32">
      <c r="A370">
        <v>1023366</v>
      </c>
      <c r="B370" t="s">
        <v>75</v>
      </c>
      <c r="C370" t="s">
        <v>62</v>
      </c>
      <c r="D370">
        <v>46122</v>
      </c>
      <c r="E370">
        <v>46122</v>
      </c>
      <c r="G370">
        <v>357</v>
      </c>
      <c r="H370" t="s">
        <v>63</v>
      </c>
      <c r="I370">
        <v>7403</v>
      </c>
      <c r="J370">
        <v>994206</v>
      </c>
      <c r="K370">
        <v>3</v>
      </c>
      <c r="L370" t="s">
        <v>733</v>
      </c>
      <c r="M370" t="s">
        <v>65</v>
      </c>
      <c r="N370" t="s">
        <v>66</v>
      </c>
      <c r="O370" s="2">
        <v>46122</v>
      </c>
      <c r="P370" s="1">
        <v>269</v>
      </c>
      <c r="Q370" t="s">
        <v>67</v>
      </c>
      <c r="R370">
        <v>12.48</v>
      </c>
      <c r="S370">
        <v>1.58</v>
      </c>
      <c r="T370">
        <v>0.28000000000000003</v>
      </c>
      <c r="U370">
        <v>256.24</v>
      </c>
      <c r="V370" s="1">
        <v>0</v>
      </c>
      <c r="X370">
        <v>20260413</v>
      </c>
      <c r="Z370" t="s">
        <v>72</v>
      </c>
      <c r="AA370">
        <v>3974527</v>
      </c>
      <c r="AB370" t="s">
        <v>93</v>
      </c>
      <c r="AC370" t="s">
        <v>120</v>
      </c>
      <c r="AE370">
        <v>0.6283333333333333</v>
      </c>
      <c r="AF370" t="s">
        <v>70</v>
      </c>
    </row>
    <row r="371" spans="1:32">
      <c r="A371">
        <v>1023366</v>
      </c>
      <c r="B371" t="s">
        <v>75</v>
      </c>
      <c r="C371" t="s">
        <v>62</v>
      </c>
      <c r="D371">
        <v>46122</v>
      </c>
      <c r="E371">
        <v>46122</v>
      </c>
      <c r="G371">
        <v>357</v>
      </c>
      <c r="H371" t="s">
        <v>63</v>
      </c>
      <c r="I371">
        <v>7406</v>
      </c>
      <c r="J371">
        <v>681142</v>
      </c>
      <c r="L371" t="s">
        <v>734</v>
      </c>
      <c r="M371" t="s">
        <v>65</v>
      </c>
      <c r="N371" t="s">
        <v>66</v>
      </c>
      <c r="O371" s="2">
        <v>46122</v>
      </c>
      <c r="P371" s="1">
        <v>159</v>
      </c>
      <c r="Q371" t="s">
        <v>67</v>
      </c>
      <c r="R371">
        <v>4.5999999999999996</v>
      </c>
      <c r="S371">
        <v>2.06</v>
      </c>
      <c r="T371">
        <v>0.37</v>
      </c>
      <c r="U371">
        <v>154.03</v>
      </c>
      <c r="V371" s="1">
        <v>0</v>
      </c>
      <c r="X371">
        <v>20260413</v>
      </c>
      <c r="Z371" t="s">
        <v>68</v>
      </c>
      <c r="AA371">
        <v>3974527</v>
      </c>
      <c r="AB371" t="s">
        <v>81</v>
      </c>
      <c r="AE371">
        <v>0.67598379629629635</v>
      </c>
      <c r="AF371" t="s">
        <v>70</v>
      </c>
    </row>
    <row r="372" spans="1:32">
      <c r="A372">
        <v>1023366</v>
      </c>
      <c r="B372" t="s">
        <v>75</v>
      </c>
      <c r="C372" t="s">
        <v>62</v>
      </c>
      <c r="D372">
        <v>46122</v>
      </c>
      <c r="E372">
        <v>46122</v>
      </c>
      <c r="G372">
        <v>357</v>
      </c>
      <c r="H372" t="s">
        <v>63</v>
      </c>
      <c r="I372">
        <v>7408</v>
      </c>
      <c r="J372">
        <v>8020</v>
      </c>
      <c r="L372" t="s">
        <v>735</v>
      </c>
      <c r="M372" t="s">
        <v>65</v>
      </c>
      <c r="N372" t="s">
        <v>66</v>
      </c>
      <c r="O372" s="2">
        <v>46122</v>
      </c>
      <c r="P372" s="1">
        <v>349</v>
      </c>
      <c r="Q372" t="s">
        <v>67</v>
      </c>
      <c r="R372">
        <v>10.09</v>
      </c>
      <c r="S372">
        <v>2.06</v>
      </c>
      <c r="T372">
        <v>0.37</v>
      </c>
      <c r="U372">
        <v>338.54</v>
      </c>
      <c r="V372" s="1">
        <v>0</v>
      </c>
      <c r="X372">
        <v>20260413</v>
      </c>
      <c r="Z372" t="s">
        <v>72</v>
      </c>
      <c r="AA372">
        <v>3974527</v>
      </c>
      <c r="AB372" t="s">
        <v>79</v>
      </c>
      <c r="AE372">
        <v>0.67783564814814812</v>
      </c>
      <c r="AF372" t="s">
        <v>70</v>
      </c>
    </row>
    <row r="373" spans="1:32">
      <c r="A373">
        <v>1023366</v>
      </c>
      <c r="B373" t="s">
        <v>75</v>
      </c>
      <c r="C373" t="s">
        <v>62</v>
      </c>
      <c r="D373">
        <v>46122</v>
      </c>
      <c r="E373">
        <v>46122</v>
      </c>
      <c r="G373">
        <v>357</v>
      </c>
      <c r="H373" t="s">
        <v>63</v>
      </c>
      <c r="I373">
        <v>7410</v>
      </c>
      <c r="J373">
        <v>753966</v>
      </c>
      <c r="L373" t="s">
        <v>736</v>
      </c>
      <c r="M373" t="s">
        <v>65</v>
      </c>
      <c r="N373" t="s">
        <v>66</v>
      </c>
      <c r="O373" s="2">
        <v>46122</v>
      </c>
      <c r="P373" s="1">
        <v>387.9</v>
      </c>
      <c r="Q373" t="s">
        <v>67</v>
      </c>
      <c r="R373">
        <v>11.21</v>
      </c>
      <c r="S373">
        <v>5</v>
      </c>
      <c r="T373">
        <v>0.9</v>
      </c>
      <c r="U373">
        <v>375.79</v>
      </c>
      <c r="V373" s="1">
        <v>0</v>
      </c>
      <c r="X373">
        <v>20260413</v>
      </c>
      <c r="Z373" t="s">
        <v>68</v>
      </c>
      <c r="AA373">
        <v>3974527</v>
      </c>
      <c r="AB373" t="s">
        <v>79</v>
      </c>
      <c r="AE373">
        <v>0.69392361111111112</v>
      </c>
      <c r="AF373" t="s">
        <v>70</v>
      </c>
    </row>
    <row r="374" spans="1:32">
      <c r="A374">
        <v>1023366</v>
      </c>
      <c r="B374" t="s">
        <v>75</v>
      </c>
      <c r="C374" t="s">
        <v>62</v>
      </c>
      <c r="D374">
        <v>46122</v>
      </c>
      <c r="E374">
        <v>46122</v>
      </c>
      <c r="G374">
        <v>357</v>
      </c>
      <c r="H374" t="s">
        <v>63</v>
      </c>
      <c r="I374">
        <v>7412</v>
      </c>
      <c r="J374">
        <v>2430</v>
      </c>
      <c r="L374" t="s">
        <v>737</v>
      </c>
      <c r="M374" t="s">
        <v>65</v>
      </c>
      <c r="N374" t="s">
        <v>66</v>
      </c>
      <c r="O374" s="2">
        <v>46122</v>
      </c>
      <c r="P374" s="1">
        <v>89.9</v>
      </c>
      <c r="Q374" t="s">
        <v>67</v>
      </c>
      <c r="R374">
        <v>2.6</v>
      </c>
      <c r="S374">
        <v>0.71</v>
      </c>
      <c r="T374">
        <v>0.13</v>
      </c>
      <c r="U374">
        <v>87.17</v>
      </c>
      <c r="V374" s="1">
        <v>0</v>
      </c>
      <c r="X374">
        <v>20260413</v>
      </c>
      <c r="Z374" t="s">
        <v>72</v>
      </c>
      <c r="AA374">
        <v>3974527</v>
      </c>
      <c r="AB374" t="s">
        <v>79</v>
      </c>
      <c r="AE374">
        <v>0.72856481481481483</v>
      </c>
      <c r="AF374" t="s">
        <v>70</v>
      </c>
    </row>
    <row r="375" spans="1:32">
      <c r="A375">
        <v>1023366</v>
      </c>
      <c r="B375" t="s">
        <v>75</v>
      </c>
      <c r="C375" t="s">
        <v>62</v>
      </c>
      <c r="D375">
        <v>46122</v>
      </c>
      <c r="E375">
        <v>46122</v>
      </c>
      <c r="G375">
        <v>357</v>
      </c>
      <c r="H375" t="s">
        <v>63</v>
      </c>
      <c r="I375">
        <v>7418</v>
      </c>
      <c r="J375">
        <v>206447</v>
      </c>
      <c r="L375" t="s">
        <v>738</v>
      </c>
      <c r="M375" t="s">
        <v>96</v>
      </c>
      <c r="N375" t="s">
        <v>66</v>
      </c>
      <c r="O375" s="2">
        <v>46122</v>
      </c>
      <c r="P375" s="1">
        <v>55</v>
      </c>
      <c r="Q375" t="s">
        <v>67</v>
      </c>
      <c r="R375">
        <v>2.15</v>
      </c>
      <c r="S375">
        <v>1.1399999999999999</v>
      </c>
      <c r="T375">
        <v>0.21</v>
      </c>
      <c r="U375">
        <v>52.64</v>
      </c>
      <c r="V375" s="1">
        <v>0</v>
      </c>
      <c r="X375">
        <v>20260413</v>
      </c>
      <c r="Z375" t="s">
        <v>68</v>
      </c>
      <c r="AA375">
        <v>3974527</v>
      </c>
      <c r="AB375" t="s">
        <v>97</v>
      </c>
      <c r="AE375">
        <v>0.75031250000000005</v>
      </c>
      <c r="AF375" t="s">
        <v>70</v>
      </c>
    </row>
    <row r="376" spans="1:32">
      <c r="A376">
        <v>1023366</v>
      </c>
      <c r="B376" t="s">
        <v>75</v>
      </c>
      <c r="C376" t="s">
        <v>62</v>
      </c>
      <c r="D376">
        <v>46122</v>
      </c>
      <c r="E376">
        <v>46122</v>
      </c>
      <c r="G376">
        <v>357</v>
      </c>
      <c r="H376" t="s">
        <v>63</v>
      </c>
      <c r="I376">
        <v>7423</v>
      </c>
      <c r="J376">
        <v>781127</v>
      </c>
      <c r="K376">
        <v>3</v>
      </c>
      <c r="L376" t="s">
        <v>739</v>
      </c>
      <c r="M376" t="s">
        <v>65</v>
      </c>
      <c r="N376" t="s">
        <v>66</v>
      </c>
      <c r="O376" s="2">
        <v>46122</v>
      </c>
      <c r="P376" s="1">
        <v>589</v>
      </c>
      <c r="Q376" t="s">
        <v>67</v>
      </c>
      <c r="R376">
        <v>27.33</v>
      </c>
      <c r="S376">
        <v>3.47</v>
      </c>
      <c r="T376">
        <v>0.62</v>
      </c>
      <c r="U376">
        <v>561.04999999999995</v>
      </c>
      <c r="V376" s="1">
        <v>0</v>
      </c>
      <c r="X376">
        <v>20260413</v>
      </c>
      <c r="Z376" t="s">
        <v>72</v>
      </c>
      <c r="AA376">
        <v>3974527</v>
      </c>
      <c r="AB376" t="s">
        <v>93</v>
      </c>
      <c r="AC376" t="s">
        <v>120</v>
      </c>
      <c r="AE376">
        <v>0.7914930555555556</v>
      </c>
      <c r="AF376" t="s">
        <v>70</v>
      </c>
    </row>
    <row r="377" spans="1:32">
      <c r="A377">
        <v>1023366</v>
      </c>
      <c r="B377" t="s">
        <v>75</v>
      </c>
      <c r="C377" t="s">
        <v>62</v>
      </c>
      <c r="D377">
        <v>46122</v>
      </c>
      <c r="E377">
        <v>46122</v>
      </c>
      <c r="G377">
        <v>357</v>
      </c>
      <c r="H377" t="s">
        <v>63</v>
      </c>
      <c r="I377">
        <v>7425</v>
      </c>
      <c r="J377">
        <v>804053</v>
      </c>
      <c r="L377" t="s">
        <v>740</v>
      </c>
      <c r="M377" t="s">
        <v>65</v>
      </c>
      <c r="N377" t="s">
        <v>66</v>
      </c>
      <c r="O377" s="2">
        <v>46122</v>
      </c>
      <c r="P377" s="1">
        <v>1057</v>
      </c>
      <c r="Q377" t="s">
        <v>67</v>
      </c>
      <c r="R377">
        <v>30.55</v>
      </c>
      <c r="S377">
        <v>6.24</v>
      </c>
      <c r="T377">
        <v>1.1200000000000001</v>
      </c>
      <c r="U377">
        <v>1025.33</v>
      </c>
      <c r="V377" s="1">
        <v>0</v>
      </c>
      <c r="X377">
        <v>20260413</v>
      </c>
      <c r="Z377" t="s">
        <v>72</v>
      </c>
      <c r="AA377">
        <v>3974527</v>
      </c>
      <c r="AB377" t="s">
        <v>93</v>
      </c>
      <c r="AE377">
        <v>0.79556712962962961</v>
      </c>
      <c r="AF377" t="s">
        <v>70</v>
      </c>
    </row>
    <row r="378" spans="1:32">
      <c r="A378">
        <v>1023366</v>
      </c>
      <c r="B378" t="s">
        <v>75</v>
      </c>
      <c r="C378" t="s">
        <v>62</v>
      </c>
      <c r="D378">
        <v>46122</v>
      </c>
      <c r="E378">
        <v>46122</v>
      </c>
      <c r="G378">
        <v>357</v>
      </c>
      <c r="H378">
        <v>65656565</v>
      </c>
      <c r="I378">
        <v>7427</v>
      </c>
      <c r="J378">
        <v>28204</v>
      </c>
      <c r="L378" t="s">
        <v>741</v>
      </c>
      <c r="M378" t="s">
        <v>65</v>
      </c>
      <c r="N378" t="s">
        <v>66</v>
      </c>
      <c r="O378" s="2">
        <v>46122</v>
      </c>
      <c r="P378" s="1">
        <v>89.9</v>
      </c>
      <c r="Q378" t="s">
        <v>67</v>
      </c>
      <c r="R378">
        <v>2.59</v>
      </c>
      <c r="S378">
        <v>1.1499999999999999</v>
      </c>
      <c r="T378">
        <v>0.21</v>
      </c>
      <c r="U378">
        <v>87.1</v>
      </c>
      <c r="V378" s="1">
        <v>0</v>
      </c>
      <c r="X378">
        <v>20260413</v>
      </c>
      <c r="Z378" t="s">
        <v>68</v>
      </c>
      <c r="AA378">
        <v>3974527</v>
      </c>
      <c r="AB378" t="s">
        <v>79</v>
      </c>
      <c r="AD378" t="s">
        <v>88</v>
      </c>
      <c r="AE378">
        <v>0.80839120370370365</v>
      </c>
      <c r="AF378" t="s">
        <v>70</v>
      </c>
    </row>
    <row r="379" spans="1:32">
      <c r="A379">
        <v>1023366</v>
      </c>
      <c r="B379" t="s">
        <v>75</v>
      </c>
      <c r="C379" t="s">
        <v>62</v>
      </c>
      <c r="D379">
        <v>46122</v>
      </c>
      <c r="E379">
        <v>46122</v>
      </c>
      <c r="G379">
        <v>357</v>
      </c>
      <c r="H379" t="s">
        <v>63</v>
      </c>
      <c r="I379">
        <v>7432</v>
      </c>
      <c r="J379">
        <v>945520</v>
      </c>
      <c r="L379" t="s">
        <v>742</v>
      </c>
      <c r="M379" t="s">
        <v>65</v>
      </c>
      <c r="N379" t="s">
        <v>66</v>
      </c>
      <c r="O379" s="2">
        <v>46122</v>
      </c>
      <c r="P379" s="1">
        <v>1199</v>
      </c>
      <c r="Q379" t="s">
        <v>67</v>
      </c>
      <c r="R379">
        <v>34.65</v>
      </c>
      <c r="S379">
        <v>7.07</v>
      </c>
      <c r="T379">
        <v>1.27</v>
      </c>
      <c r="U379">
        <v>1163.08</v>
      </c>
      <c r="V379" s="1">
        <v>0</v>
      </c>
      <c r="X379">
        <v>20260413</v>
      </c>
      <c r="Z379" t="s">
        <v>72</v>
      </c>
      <c r="AA379">
        <v>3974527</v>
      </c>
      <c r="AB379" t="s">
        <v>93</v>
      </c>
      <c r="AE379">
        <v>0.82012731481481482</v>
      </c>
      <c r="AF379" t="s">
        <v>70</v>
      </c>
    </row>
    <row r="380" spans="1:32">
      <c r="A380">
        <v>1023366</v>
      </c>
      <c r="B380" t="s">
        <v>75</v>
      </c>
      <c r="C380" t="s">
        <v>62</v>
      </c>
      <c r="D380">
        <v>46122</v>
      </c>
      <c r="E380">
        <v>46122</v>
      </c>
      <c r="G380">
        <v>357</v>
      </c>
      <c r="H380" t="s">
        <v>63</v>
      </c>
      <c r="I380">
        <v>7437</v>
      </c>
      <c r="J380" t="s">
        <v>743</v>
      </c>
      <c r="L380" t="s">
        <v>306</v>
      </c>
      <c r="M380" t="s">
        <v>96</v>
      </c>
      <c r="N380" t="s">
        <v>66</v>
      </c>
      <c r="O380" s="2">
        <v>46122</v>
      </c>
      <c r="P380" s="1">
        <v>278</v>
      </c>
      <c r="Q380" t="s">
        <v>67</v>
      </c>
      <c r="R380">
        <v>10.84</v>
      </c>
      <c r="S380">
        <v>5.28</v>
      </c>
      <c r="T380">
        <v>0.95</v>
      </c>
      <c r="U380">
        <v>266.20999999999998</v>
      </c>
      <c r="V380" s="1">
        <v>0</v>
      </c>
      <c r="X380">
        <v>20260413</v>
      </c>
      <c r="Z380" t="s">
        <v>68</v>
      </c>
      <c r="AA380">
        <v>3974527</v>
      </c>
      <c r="AB380" t="s">
        <v>97</v>
      </c>
      <c r="AE380">
        <v>0.82886574074074071</v>
      </c>
      <c r="AF380" t="s">
        <v>70</v>
      </c>
    </row>
    <row r="381" spans="1:32">
      <c r="A381">
        <v>1023366</v>
      </c>
      <c r="B381" t="s">
        <v>75</v>
      </c>
      <c r="C381" t="s">
        <v>62</v>
      </c>
      <c r="D381">
        <v>46122</v>
      </c>
      <c r="P381" s="1">
        <v>0</v>
      </c>
      <c r="R381">
        <v>0</v>
      </c>
      <c r="S381">
        <v>0</v>
      </c>
      <c r="T381">
        <v>0</v>
      </c>
      <c r="U381">
        <v>-183.34</v>
      </c>
      <c r="V381" s="1">
        <v>11303.09</v>
      </c>
      <c r="W381">
        <v>46125</v>
      </c>
      <c r="X381">
        <v>20260413</v>
      </c>
      <c r="Y381" t="s">
        <v>454</v>
      </c>
      <c r="AF381" t="s">
        <v>70</v>
      </c>
    </row>
    <row r="382" spans="1:32">
      <c r="A382">
        <v>1023366</v>
      </c>
      <c r="B382" t="s">
        <v>75</v>
      </c>
      <c r="C382" t="s">
        <v>715</v>
      </c>
      <c r="D382">
        <v>46122</v>
      </c>
      <c r="E382">
        <v>46122</v>
      </c>
      <c r="G382">
        <v>662</v>
      </c>
      <c r="H382" t="s">
        <v>720</v>
      </c>
      <c r="I382">
        <v>6655</v>
      </c>
      <c r="J382">
        <v>8454</v>
      </c>
      <c r="L382" t="s">
        <v>195</v>
      </c>
      <c r="M382" t="s">
        <v>65</v>
      </c>
      <c r="N382" t="s">
        <v>427</v>
      </c>
      <c r="O382" s="2">
        <v>46122</v>
      </c>
      <c r="P382" s="1">
        <v>-189</v>
      </c>
      <c r="Q382" t="s">
        <v>428</v>
      </c>
      <c r="R382">
        <v>-5.46</v>
      </c>
      <c r="S382">
        <v>-1.1100000000000001</v>
      </c>
      <c r="T382">
        <v>-0.2</v>
      </c>
      <c r="U382">
        <v>-183.34</v>
      </c>
      <c r="V382" s="1">
        <v>0</v>
      </c>
      <c r="X382">
        <v>20260413</v>
      </c>
      <c r="Y382" t="s">
        <v>716</v>
      </c>
      <c r="Z382" t="s">
        <v>72</v>
      </c>
      <c r="AA382">
        <v>3974527</v>
      </c>
      <c r="AB382" t="s">
        <v>106</v>
      </c>
      <c r="AE382">
        <v>0.79364583333333338</v>
      </c>
      <c r="AF382" t="s">
        <v>70</v>
      </c>
    </row>
    <row r="383" spans="1:32">
      <c r="A383">
        <v>1023366</v>
      </c>
      <c r="B383" t="s">
        <v>201</v>
      </c>
      <c r="C383" t="s">
        <v>62</v>
      </c>
      <c r="D383">
        <v>46122</v>
      </c>
      <c r="E383">
        <v>46122</v>
      </c>
      <c r="G383">
        <v>357</v>
      </c>
      <c r="H383" t="s">
        <v>63</v>
      </c>
      <c r="I383">
        <v>7430</v>
      </c>
      <c r="J383">
        <v>96181</v>
      </c>
      <c r="L383" t="s">
        <v>744</v>
      </c>
      <c r="M383" t="s">
        <v>65</v>
      </c>
      <c r="N383" t="s">
        <v>66</v>
      </c>
      <c r="O383" s="2">
        <v>46122</v>
      </c>
      <c r="P383" s="1">
        <v>149</v>
      </c>
      <c r="Q383" t="s">
        <v>67</v>
      </c>
      <c r="R383">
        <v>4.3099999999999996</v>
      </c>
      <c r="S383">
        <v>1.18</v>
      </c>
      <c r="T383">
        <v>0.21</v>
      </c>
      <c r="U383">
        <v>144.47999999999999</v>
      </c>
      <c r="V383" s="1">
        <v>144.47999999999999</v>
      </c>
      <c r="W383">
        <v>46125</v>
      </c>
      <c r="X383">
        <v>20260413</v>
      </c>
      <c r="Z383" t="s">
        <v>72</v>
      </c>
      <c r="AA383">
        <v>3974527</v>
      </c>
      <c r="AB383" t="s">
        <v>203</v>
      </c>
      <c r="AE383">
        <v>0.81376157407407412</v>
      </c>
      <c r="AF383" t="s">
        <v>70</v>
      </c>
    </row>
    <row r="384" spans="1:32">
      <c r="A384">
        <v>1023366</v>
      </c>
      <c r="B384" t="s">
        <v>61</v>
      </c>
      <c r="C384" t="s">
        <v>62</v>
      </c>
      <c r="D384">
        <v>46123</v>
      </c>
      <c r="E384">
        <v>46123</v>
      </c>
      <c r="G384">
        <v>358</v>
      </c>
      <c r="H384" t="s">
        <v>63</v>
      </c>
      <c r="I384">
        <v>7480</v>
      </c>
      <c r="J384">
        <v>843152</v>
      </c>
      <c r="K384">
        <v>3</v>
      </c>
      <c r="L384" t="s">
        <v>745</v>
      </c>
      <c r="M384" t="s">
        <v>65</v>
      </c>
      <c r="N384" t="s">
        <v>66</v>
      </c>
      <c r="O384" s="2">
        <v>46123</v>
      </c>
      <c r="P384" s="1">
        <v>2499</v>
      </c>
      <c r="Q384" t="s">
        <v>67</v>
      </c>
      <c r="R384">
        <v>115.95</v>
      </c>
      <c r="S384">
        <v>8.5</v>
      </c>
      <c r="T384">
        <v>1.53</v>
      </c>
      <c r="U384">
        <v>2381.52</v>
      </c>
      <c r="V384" s="1">
        <v>0</v>
      </c>
      <c r="X384">
        <v>20260413</v>
      </c>
      <c r="Z384" t="s">
        <v>72</v>
      </c>
      <c r="AA384">
        <v>3974527</v>
      </c>
      <c r="AB384" t="s">
        <v>93</v>
      </c>
      <c r="AC384" t="s">
        <v>120</v>
      </c>
      <c r="AE384">
        <v>0.52653935185185186</v>
      </c>
      <c r="AF384" t="s">
        <v>70</v>
      </c>
    </row>
    <row r="385" spans="1:32">
      <c r="A385">
        <v>1023366</v>
      </c>
      <c r="B385" t="s">
        <v>61</v>
      </c>
      <c r="C385" t="s">
        <v>62</v>
      </c>
      <c r="D385">
        <v>46123</v>
      </c>
      <c r="E385">
        <v>46123</v>
      </c>
      <c r="G385">
        <v>358</v>
      </c>
      <c r="H385" t="s">
        <v>63</v>
      </c>
      <c r="I385">
        <v>7498</v>
      </c>
      <c r="J385">
        <v>56770</v>
      </c>
      <c r="L385" t="s">
        <v>746</v>
      </c>
      <c r="M385" t="s">
        <v>65</v>
      </c>
      <c r="N385" t="s">
        <v>66</v>
      </c>
      <c r="O385" s="2">
        <v>46123</v>
      </c>
      <c r="P385" s="1">
        <v>99.9</v>
      </c>
      <c r="Q385" t="s">
        <v>67</v>
      </c>
      <c r="R385">
        <v>2.89</v>
      </c>
      <c r="S385">
        <v>0.79</v>
      </c>
      <c r="T385">
        <v>0.14000000000000001</v>
      </c>
      <c r="U385">
        <v>96.87</v>
      </c>
      <c r="V385" s="1">
        <v>0</v>
      </c>
      <c r="X385">
        <v>20260413</v>
      </c>
      <c r="Z385" t="s">
        <v>72</v>
      </c>
      <c r="AA385">
        <v>3974527</v>
      </c>
      <c r="AB385" t="s">
        <v>73</v>
      </c>
      <c r="AE385">
        <v>0.59471064814814811</v>
      </c>
      <c r="AF385" t="s">
        <v>70</v>
      </c>
    </row>
    <row r="386" spans="1:32">
      <c r="A386">
        <v>1023366</v>
      </c>
      <c r="B386" t="s">
        <v>61</v>
      </c>
      <c r="C386" t="s">
        <v>62</v>
      </c>
      <c r="D386">
        <v>46123</v>
      </c>
      <c r="E386">
        <v>46123</v>
      </c>
      <c r="G386">
        <v>358</v>
      </c>
      <c r="H386" t="s">
        <v>63</v>
      </c>
      <c r="I386">
        <v>7511</v>
      </c>
      <c r="J386">
        <v>96921</v>
      </c>
      <c r="L386" t="s">
        <v>747</v>
      </c>
      <c r="M386" t="s">
        <v>96</v>
      </c>
      <c r="N386" t="s">
        <v>66</v>
      </c>
      <c r="O386" s="2">
        <v>46123</v>
      </c>
      <c r="P386" s="1">
        <v>169.9</v>
      </c>
      <c r="Q386" t="s">
        <v>67</v>
      </c>
      <c r="R386">
        <v>6.63</v>
      </c>
      <c r="S386">
        <v>3.23</v>
      </c>
      <c r="T386">
        <v>0.57999999999999996</v>
      </c>
      <c r="U386">
        <v>162.69</v>
      </c>
      <c r="V386" s="1">
        <v>0</v>
      </c>
      <c r="X386">
        <v>20260413</v>
      </c>
      <c r="Z386" t="s">
        <v>72</v>
      </c>
      <c r="AA386">
        <v>3974527</v>
      </c>
      <c r="AB386" t="s">
        <v>234</v>
      </c>
      <c r="AE386">
        <v>0.65468749999999998</v>
      </c>
      <c r="AF386" t="s">
        <v>70</v>
      </c>
    </row>
    <row r="387" spans="1:32">
      <c r="A387">
        <v>1023366</v>
      </c>
      <c r="B387" t="s">
        <v>61</v>
      </c>
      <c r="C387" t="s">
        <v>62</v>
      </c>
      <c r="D387">
        <v>46123</v>
      </c>
      <c r="E387">
        <v>46123</v>
      </c>
      <c r="G387">
        <v>358</v>
      </c>
      <c r="H387" t="s">
        <v>63</v>
      </c>
      <c r="I387">
        <v>7531</v>
      </c>
      <c r="J387" t="s">
        <v>748</v>
      </c>
      <c r="L387" t="s">
        <v>749</v>
      </c>
      <c r="M387" t="s">
        <v>65</v>
      </c>
      <c r="N387" t="s">
        <v>66</v>
      </c>
      <c r="O387" s="2">
        <v>46123</v>
      </c>
      <c r="P387" s="1">
        <v>288</v>
      </c>
      <c r="Q387" t="s">
        <v>67</v>
      </c>
      <c r="R387">
        <v>8.32</v>
      </c>
      <c r="S387">
        <v>0.98</v>
      </c>
      <c r="T387">
        <v>0.18</v>
      </c>
      <c r="U387">
        <v>279.5</v>
      </c>
      <c r="V387" s="1">
        <v>0</v>
      </c>
      <c r="X387">
        <v>20260413</v>
      </c>
      <c r="Z387" t="s">
        <v>72</v>
      </c>
      <c r="AA387">
        <v>3974527</v>
      </c>
      <c r="AB387" t="s">
        <v>139</v>
      </c>
      <c r="AE387">
        <v>0.75027777777777782</v>
      </c>
      <c r="AF387" t="s">
        <v>70</v>
      </c>
    </row>
    <row r="388" spans="1:32">
      <c r="A388">
        <v>1023366</v>
      </c>
      <c r="B388" t="s">
        <v>61</v>
      </c>
      <c r="C388" t="s">
        <v>62</v>
      </c>
      <c r="D388">
        <v>46123</v>
      </c>
      <c r="E388">
        <v>46123</v>
      </c>
      <c r="G388">
        <v>358</v>
      </c>
      <c r="H388" t="s">
        <v>63</v>
      </c>
      <c r="I388">
        <v>7545</v>
      </c>
      <c r="J388">
        <v>259349</v>
      </c>
      <c r="L388" t="s">
        <v>750</v>
      </c>
      <c r="M388" t="s">
        <v>65</v>
      </c>
      <c r="N388" t="s">
        <v>66</v>
      </c>
      <c r="O388" s="2">
        <v>46123</v>
      </c>
      <c r="P388" s="1">
        <v>229</v>
      </c>
      <c r="Q388" t="s">
        <v>67</v>
      </c>
      <c r="R388">
        <v>6.62</v>
      </c>
      <c r="S388">
        <v>0.78</v>
      </c>
      <c r="T388">
        <v>0.14000000000000001</v>
      </c>
      <c r="U388">
        <v>222.24</v>
      </c>
      <c r="V388" s="1">
        <v>3142.82</v>
      </c>
      <c r="W388">
        <v>46125</v>
      </c>
      <c r="X388">
        <v>20260413</v>
      </c>
      <c r="Z388" t="s">
        <v>72</v>
      </c>
      <c r="AA388">
        <v>3974527</v>
      </c>
      <c r="AB388" t="s">
        <v>93</v>
      </c>
      <c r="AE388">
        <v>0.7908101851851852</v>
      </c>
      <c r="AF388" t="s">
        <v>70</v>
      </c>
    </row>
    <row r="389" spans="1:32">
      <c r="A389">
        <v>1023366</v>
      </c>
      <c r="B389" t="s">
        <v>75</v>
      </c>
      <c r="C389" t="s">
        <v>62</v>
      </c>
      <c r="D389">
        <v>46123</v>
      </c>
      <c r="E389">
        <v>46123</v>
      </c>
      <c r="G389">
        <v>663</v>
      </c>
      <c r="H389" t="s">
        <v>720</v>
      </c>
      <c r="I389">
        <v>9159</v>
      </c>
      <c r="J389">
        <v>813294</v>
      </c>
      <c r="L389" t="s">
        <v>751</v>
      </c>
      <c r="M389" t="s">
        <v>65</v>
      </c>
      <c r="N389" t="s">
        <v>66</v>
      </c>
      <c r="O389" s="2">
        <v>46123</v>
      </c>
      <c r="P389" s="1">
        <v>1099</v>
      </c>
      <c r="Q389" t="s">
        <v>67</v>
      </c>
      <c r="R389">
        <v>31.76</v>
      </c>
      <c r="S389">
        <v>6.48</v>
      </c>
      <c r="T389">
        <v>1.17</v>
      </c>
      <c r="U389">
        <v>1066.07</v>
      </c>
      <c r="V389" s="1">
        <v>0</v>
      </c>
      <c r="X389">
        <v>20260413</v>
      </c>
      <c r="Z389" t="s">
        <v>72</v>
      </c>
      <c r="AA389" t="s">
        <v>350</v>
      </c>
      <c r="AB389" t="s">
        <v>81</v>
      </c>
      <c r="AE389">
        <v>0.52149305555555558</v>
      </c>
      <c r="AF389" t="s">
        <v>70</v>
      </c>
    </row>
    <row r="390" spans="1:32">
      <c r="A390">
        <v>1023366</v>
      </c>
      <c r="B390" t="s">
        <v>75</v>
      </c>
      <c r="C390" t="s">
        <v>62</v>
      </c>
      <c r="D390">
        <v>46123</v>
      </c>
      <c r="E390">
        <v>46123</v>
      </c>
      <c r="G390">
        <v>663</v>
      </c>
      <c r="H390" t="s">
        <v>720</v>
      </c>
      <c r="I390">
        <v>9161</v>
      </c>
      <c r="J390">
        <v>4914</v>
      </c>
      <c r="L390" t="s">
        <v>752</v>
      </c>
      <c r="M390" t="s">
        <v>65</v>
      </c>
      <c r="N390" t="s">
        <v>66</v>
      </c>
      <c r="O390" s="2">
        <v>46123</v>
      </c>
      <c r="P390" s="1">
        <v>249</v>
      </c>
      <c r="Q390" t="s">
        <v>67</v>
      </c>
      <c r="R390">
        <v>7.2</v>
      </c>
      <c r="S390">
        <v>1.97</v>
      </c>
      <c r="T390">
        <v>0.35</v>
      </c>
      <c r="U390">
        <v>241.45</v>
      </c>
      <c r="V390" s="1">
        <v>0</v>
      </c>
      <c r="X390">
        <v>20260413</v>
      </c>
      <c r="Z390" t="s">
        <v>72</v>
      </c>
      <c r="AA390" t="s">
        <v>350</v>
      </c>
      <c r="AB390" t="s">
        <v>79</v>
      </c>
      <c r="AE390">
        <v>0.59887731481481477</v>
      </c>
      <c r="AF390" t="s">
        <v>70</v>
      </c>
    </row>
    <row r="391" spans="1:32">
      <c r="A391">
        <v>1023366</v>
      </c>
      <c r="B391" t="s">
        <v>75</v>
      </c>
      <c r="C391" t="s">
        <v>62</v>
      </c>
      <c r="D391">
        <v>46123</v>
      </c>
      <c r="E391">
        <v>46123</v>
      </c>
      <c r="G391">
        <v>358</v>
      </c>
      <c r="H391" t="s">
        <v>63</v>
      </c>
      <c r="I391">
        <v>7456</v>
      </c>
      <c r="J391">
        <v>114751</v>
      </c>
      <c r="L391" t="s">
        <v>753</v>
      </c>
      <c r="M391" t="s">
        <v>65</v>
      </c>
      <c r="N391" t="s">
        <v>66</v>
      </c>
      <c r="O391" s="2">
        <v>46123</v>
      </c>
      <c r="P391" s="1">
        <v>3998</v>
      </c>
      <c r="Q391" t="s">
        <v>67</v>
      </c>
      <c r="R391">
        <v>115.54</v>
      </c>
      <c r="S391">
        <v>51.57</v>
      </c>
      <c r="T391">
        <v>9.2799999999999994</v>
      </c>
      <c r="U391">
        <v>3873.18</v>
      </c>
      <c r="V391" s="1">
        <v>0</v>
      </c>
      <c r="X391">
        <v>20260413</v>
      </c>
      <c r="Z391" t="s">
        <v>68</v>
      </c>
      <c r="AA391">
        <v>3974527</v>
      </c>
      <c r="AB391" t="s">
        <v>79</v>
      </c>
      <c r="AE391">
        <v>0.42519675925925926</v>
      </c>
      <c r="AF391" t="s">
        <v>70</v>
      </c>
    </row>
    <row r="392" spans="1:32">
      <c r="A392">
        <v>1023366</v>
      </c>
      <c r="B392" t="s">
        <v>75</v>
      </c>
      <c r="C392" t="s">
        <v>62</v>
      </c>
      <c r="D392">
        <v>46123</v>
      </c>
      <c r="E392">
        <v>46123</v>
      </c>
      <c r="G392">
        <v>358</v>
      </c>
      <c r="H392" t="s">
        <v>63</v>
      </c>
      <c r="I392">
        <v>7458</v>
      </c>
      <c r="J392">
        <v>2077</v>
      </c>
      <c r="L392" t="s">
        <v>754</v>
      </c>
      <c r="M392" t="s">
        <v>65</v>
      </c>
      <c r="N392" t="s">
        <v>66</v>
      </c>
      <c r="O392" s="2">
        <v>46123</v>
      </c>
      <c r="P392" s="1">
        <v>149</v>
      </c>
      <c r="Q392" t="s">
        <v>67</v>
      </c>
      <c r="R392">
        <v>4.3099999999999996</v>
      </c>
      <c r="S392">
        <v>0.88</v>
      </c>
      <c r="T392">
        <v>0.16</v>
      </c>
      <c r="U392">
        <v>144.53</v>
      </c>
      <c r="V392" s="1">
        <v>0</v>
      </c>
      <c r="X392">
        <v>20260413</v>
      </c>
      <c r="Z392" t="s">
        <v>72</v>
      </c>
      <c r="AA392">
        <v>3974527</v>
      </c>
      <c r="AB392" t="s">
        <v>79</v>
      </c>
      <c r="AE392">
        <v>0.43635416666666665</v>
      </c>
      <c r="AF392" t="s">
        <v>70</v>
      </c>
    </row>
    <row r="393" spans="1:32">
      <c r="A393">
        <v>1023366</v>
      </c>
      <c r="B393" t="s">
        <v>75</v>
      </c>
      <c r="C393" t="s">
        <v>62</v>
      </c>
      <c r="D393">
        <v>46123</v>
      </c>
      <c r="E393">
        <v>46123</v>
      </c>
      <c r="G393">
        <v>358</v>
      </c>
      <c r="H393" t="s">
        <v>63</v>
      </c>
      <c r="I393">
        <v>7461</v>
      </c>
      <c r="J393">
        <v>812810</v>
      </c>
      <c r="L393" t="s">
        <v>755</v>
      </c>
      <c r="M393" t="s">
        <v>65</v>
      </c>
      <c r="N393" t="s">
        <v>66</v>
      </c>
      <c r="O393" s="2">
        <v>46123</v>
      </c>
      <c r="P393" s="1">
        <v>179</v>
      </c>
      <c r="Q393" t="s">
        <v>67</v>
      </c>
      <c r="R393">
        <v>5.17</v>
      </c>
      <c r="S393">
        <v>2.31</v>
      </c>
      <c r="T393">
        <v>0.42</v>
      </c>
      <c r="U393">
        <v>173.41</v>
      </c>
      <c r="V393" s="1">
        <v>0</v>
      </c>
      <c r="X393">
        <v>20260413</v>
      </c>
      <c r="Z393" t="s">
        <v>68</v>
      </c>
      <c r="AA393">
        <v>3974527</v>
      </c>
      <c r="AB393" t="s">
        <v>81</v>
      </c>
      <c r="AE393">
        <v>0.43890046296296298</v>
      </c>
      <c r="AF393" t="s">
        <v>70</v>
      </c>
    </row>
    <row r="394" spans="1:32">
      <c r="A394">
        <v>1023366</v>
      </c>
      <c r="B394" t="s">
        <v>75</v>
      </c>
      <c r="C394" t="s">
        <v>62</v>
      </c>
      <c r="D394">
        <v>46123</v>
      </c>
      <c r="E394">
        <v>46123</v>
      </c>
      <c r="G394">
        <v>358</v>
      </c>
      <c r="H394" t="s">
        <v>63</v>
      </c>
      <c r="I394">
        <v>7463</v>
      </c>
      <c r="J394">
        <v>9356</v>
      </c>
      <c r="L394" t="s">
        <v>756</v>
      </c>
      <c r="M394" t="s">
        <v>65</v>
      </c>
      <c r="N394" t="s">
        <v>66</v>
      </c>
      <c r="O394" s="2">
        <v>46123</v>
      </c>
      <c r="P394" s="1">
        <v>1499</v>
      </c>
      <c r="Q394" t="s">
        <v>67</v>
      </c>
      <c r="R394">
        <v>43.32</v>
      </c>
      <c r="S394">
        <v>5.84</v>
      </c>
      <c r="T394">
        <v>1.05</v>
      </c>
      <c r="U394">
        <v>1454.63</v>
      </c>
      <c r="V394" s="1">
        <v>0</v>
      </c>
      <c r="X394">
        <v>20260413</v>
      </c>
      <c r="Z394" t="s">
        <v>72</v>
      </c>
      <c r="AA394">
        <v>3974527</v>
      </c>
      <c r="AB394" t="s">
        <v>79</v>
      </c>
      <c r="AE394">
        <v>0.46809027777777779</v>
      </c>
      <c r="AF394" t="s">
        <v>70</v>
      </c>
    </row>
    <row r="395" spans="1:32">
      <c r="A395">
        <v>1023366</v>
      </c>
      <c r="B395" t="s">
        <v>75</v>
      </c>
      <c r="C395" t="s">
        <v>62</v>
      </c>
      <c r="D395">
        <v>46123</v>
      </c>
      <c r="E395">
        <v>46123</v>
      </c>
      <c r="G395">
        <v>358</v>
      </c>
      <c r="H395" t="s">
        <v>63</v>
      </c>
      <c r="I395">
        <v>7465</v>
      </c>
      <c r="J395">
        <v>525785</v>
      </c>
      <c r="L395" t="s">
        <v>757</v>
      </c>
      <c r="M395" t="s">
        <v>65</v>
      </c>
      <c r="N395" t="s">
        <v>66</v>
      </c>
      <c r="O395" s="2">
        <v>46123</v>
      </c>
      <c r="P395" s="1">
        <v>149</v>
      </c>
      <c r="Q395" t="s">
        <v>67</v>
      </c>
      <c r="R395">
        <v>4.3099999999999996</v>
      </c>
      <c r="S395">
        <v>0.88</v>
      </c>
      <c r="T395">
        <v>0.16</v>
      </c>
      <c r="U395">
        <v>144.53</v>
      </c>
      <c r="V395" s="1">
        <v>0</v>
      </c>
      <c r="X395">
        <v>20260413</v>
      </c>
      <c r="Z395" t="s">
        <v>72</v>
      </c>
      <c r="AA395">
        <v>3974527</v>
      </c>
      <c r="AB395" t="s">
        <v>93</v>
      </c>
      <c r="AE395">
        <v>0.46962962962962962</v>
      </c>
      <c r="AF395" t="s">
        <v>70</v>
      </c>
    </row>
    <row r="396" spans="1:32">
      <c r="A396">
        <v>1023366</v>
      </c>
      <c r="B396" t="s">
        <v>75</v>
      </c>
      <c r="C396" t="s">
        <v>62</v>
      </c>
      <c r="D396">
        <v>46123</v>
      </c>
      <c r="E396">
        <v>46123</v>
      </c>
      <c r="G396">
        <v>358</v>
      </c>
      <c r="H396">
        <v>65656565</v>
      </c>
      <c r="I396">
        <v>7467</v>
      </c>
      <c r="J396">
        <v>795703</v>
      </c>
      <c r="L396" t="s">
        <v>758</v>
      </c>
      <c r="M396" t="s">
        <v>65</v>
      </c>
      <c r="N396" t="s">
        <v>66</v>
      </c>
      <c r="O396" s="2">
        <v>46123</v>
      </c>
      <c r="P396" s="1">
        <v>99</v>
      </c>
      <c r="Q396" t="s">
        <v>67</v>
      </c>
      <c r="R396">
        <v>2.86</v>
      </c>
      <c r="S396">
        <v>1.28</v>
      </c>
      <c r="T396">
        <v>0.23</v>
      </c>
      <c r="U396">
        <v>95.91</v>
      </c>
      <c r="V396" s="1">
        <v>0</v>
      </c>
      <c r="X396">
        <v>20260413</v>
      </c>
      <c r="Z396" t="s">
        <v>68</v>
      </c>
      <c r="AA396">
        <v>3974527</v>
      </c>
      <c r="AB396" t="s">
        <v>79</v>
      </c>
      <c r="AD396" t="s">
        <v>88</v>
      </c>
      <c r="AE396">
        <v>0.47243055555555558</v>
      </c>
      <c r="AF396" t="s">
        <v>70</v>
      </c>
    </row>
    <row r="397" spans="1:32">
      <c r="A397">
        <v>1023366</v>
      </c>
      <c r="B397" t="s">
        <v>75</v>
      </c>
      <c r="C397" t="s">
        <v>62</v>
      </c>
      <c r="D397">
        <v>46123</v>
      </c>
      <c r="E397">
        <v>46123</v>
      </c>
      <c r="G397">
        <v>358</v>
      </c>
      <c r="H397" t="s">
        <v>63</v>
      </c>
      <c r="I397">
        <v>7471</v>
      </c>
      <c r="J397">
        <v>586829</v>
      </c>
      <c r="L397" t="s">
        <v>759</v>
      </c>
      <c r="M397" t="s">
        <v>65</v>
      </c>
      <c r="N397" t="s">
        <v>66</v>
      </c>
      <c r="O397" s="2">
        <v>46123</v>
      </c>
      <c r="P397" s="1">
        <v>1299</v>
      </c>
      <c r="Q397" t="s">
        <v>67</v>
      </c>
      <c r="R397">
        <v>37.54</v>
      </c>
      <c r="S397">
        <v>16.760000000000002</v>
      </c>
      <c r="T397">
        <v>3.02</v>
      </c>
      <c r="U397">
        <v>1258.44</v>
      </c>
      <c r="V397" s="1">
        <v>0</v>
      </c>
      <c r="X397">
        <v>20260413</v>
      </c>
      <c r="Z397" t="s">
        <v>68</v>
      </c>
      <c r="AA397">
        <v>3974527</v>
      </c>
      <c r="AB397" t="s">
        <v>81</v>
      </c>
      <c r="AE397">
        <v>0.48105324074074074</v>
      </c>
      <c r="AF397" t="s">
        <v>70</v>
      </c>
    </row>
    <row r="398" spans="1:32">
      <c r="A398">
        <v>1023366</v>
      </c>
      <c r="B398" t="s">
        <v>75</v>
      </c>
      <c r="C398" t="s">
        <v>62</v>
      </c>
      <c r="D398">
        <v>46123</v>
      </c>
      <c r="E398">
        <v>46123</v>
      </c>
      <c r="G398">
        <v>358</v>
      </c>
      <c r="H398" t="s">
        <v>63</v>
      </c>
      <c r="I398">
        <v>7473</v>
      </c>
      <c r="J398">
        <v>827382</v>
      </c>
      <c r="L398" t="s">
        <v>760</v>
      </c>
      <c r="M398" t="s">
        <v>65</v>
      </c>
      <c r="N398" t="s">
        <v>66</v>
      </c>
      <c r="O398" s="2">
        <v>46123</v>
      </c>
      <c r="P398" s="1">
        <v>109</v>
      </c>
      <c r="Q398" t="s">
        <v>67</v>
      </c>
      <c r="R398">
        <v>3.15</v>
      </c>
      <c r="S398">
        <v>1.41</v>
      </c>
      <c r="T398">
        <v>0.25</v>
      </c>
      <c r="U398">
        <v>105.6</v>
      </c>
      <c r="V398" s="1">
        <v>0</v>
      </c>
      <c r="X398">
        <v>20260413</v>
      </c>
      <c r="Z398" t="s">
        <v>68</v>
      </c>
      <c r="AA398">
        <v>3974527</v>
      </c>
      <c r="AB398" t="s">
        <v>79</v>
      </c>
      <c r="AE398">
        <v>0.4854398148148148</v>
      </c>
      <c r="AF398" t="s">
        <v>70</v>
      </c>
    </row>
    <row r="399" spans="1:32">
      <c r="A399">
        <v>1023366</v>
      </c>
      <c r="B399" t="s">
        <v>75</v>
      </c>
      <c r="C399" t="s">
        <v>62</v>
      </c>
      <c r="D399">
        <v>46123</v>
      </c>
      <c r="E399">
        <v>46123</v>
      </c>
      <c r="G399">
        <v>358</v>
      </c>
      <c r="H399" t="s">
        <v>63</v>
      </c>
      <c r="I399">
        <v>7475</v>
      </c>
      <c r="J399">
        <v>616200</v>
      </c>
      <c r="L399" t="s">
        <v>761</v>
      </c>
      <c r="M399" t="s">
        <v>65</v>
      </c>
      <c r="N399" t="s">
        <v>66</v>
      </c>
      <c r="O399" s="2">
        <v>46123</v>
      </c>
      <c r="P399" s="1">
        <v>49</v>
      </c>
      <c r="Q399" t="s">
        <v>67</v>
      </c>
      <c r="R399">
        <v>1.42</v>
      </c>
      <c r="S399">
        <v>0.39</v>
      </c>
      <c r="T399">
        <v>7.0000000000000007E-2</v>
      </c>
      <c r="U399">
        <v>47.51</v>
      </c>
      <c r="V399" s="1">
        <v>0</v>
      </c>
      <c r="X399">
        <v>20260413</v>
      </c>
      <c r="Z399" t="s">
        <v>72</v>
      </c>
      <c r="AA399">
        <v>3974527</v>
      </c>
      <c r="AB399" t="s">
        <v>106</v>
      </c>
      <c r="AE399">
        <v>0.51607638888888885</v>
      </c>
      <c r="AF399" t="s">
        <v>70</v>
      </c>
    </row>
    <row r="400" spans="1:32">
      <c r="A400">
        <v>1023366</v>
      </c>
      <c r="B400" t="s">
        <v>75</v>
      </c>
      <c r="C400" t="s">
        <v>62</v>
      </c>
      <c r="D400">
        <v>46123</v>
      </c>
      <c r="E400">
        <v>46123</v>
      </c>
      <c r="G400">
        <v>358</v>
      </c>
      <c r="H400" t="s">
        <v>63</v>
      </c>
      <c r="I400">
        <v>7478</v>
      </c>
      <c r="J400" t="s">
        <v>762</v>
      </c>
      <c r="L400" t="s">
        <v>763</v>
      </c>
      <c r="M400" t="s">
        <v>96</v>
      </c>
      <c r="N400" t="s">
        <v>66</v>
      </c>
      <c r="O400" s="2">
        <v>46123</v>
      </c>
      <c r="P400" s="1">
        <v>2199</v>
      </c>
      <c r="Q400" t="s">
        <v>67</v>
      </c>
      <c r="R400">
        <v>85.76</v>
      </c>
      <c r="S400">
        <v>42.22</v>
      </c>
      <c r="T400">
        <v>7.6</v>
      </c>
      <c r="U400">
        <v>2105.64</v>
      </c>
      <c r="V400" s="1">
        <v>0</v>
      </c>
      <c r="X400">
        <v>20260413</v>
      </c>
      <c r="Z400" t="s">
        <v>68</v>
      </c>
      <c r="AA400">
        <v>3974527</v>
      </c>
      <c r="AB400" t="s">
        <v>97</v>
      </c>
      <c r="AE400">
        <v>0.52495370370370376</v>
      </c>
      <c r="AF400" t="s">
        <v>70</v>
      </c>
    </row>
    <row r="401" spans="1:32">
      <c r="A401">
        <v>1023366</v>
      </c>
      <c r="B401" t="s">
        <v>75</v>
      </c>
      <c r="C401" t="s">
        <v>62</v>
      </c>
      <c r="D401">
        <v>46123</v>
      </c>
      <c r="E401">
        <v>46123</v>
      </c>
      <c r="G401">
        <v>358</v>
      </c>
      <c r="H401" t="s">
        <v>63</v>
      </c>
      <c r="I401">
        <v>7482</v>
      </c>
      <c r="J401">
        <v>414460</v>
      </c>
      <c r="L401" t="s">
        <v>764</v>
      </c>
      <c r="M401" t="s">
        <v>65</v>
      </c>
      <c r="N401" t="s">
        <v>66</v>
      </c>
      <c r="O401" s="2">
        <v>46123</v>
      </c>
      <c r="P401" s="1">
        <v>89.9</v>
      </c>
      <c r="Q401" t="s">
        <v>67</v>
      </c>
      <c r="R401">
        <v>2.6</v>
      </c>
      <c r="S401">
        <v>0.71</v>
      </c>
      <c r="T401">
        <v>0.13</v>
      </c>
      <c r="U401">
        <v>87.17</v>
      </c>
      <c r="V401" s="1">
        <v>0</v>
      </c>
      <c r="X401">
        <v>20260413</v>
      </c>
      <c r="Z401" t="s">
        <v>72</v>
      </c>
      <c r="AA401">
        <v>3974527</v>
      </c>
      <c r="AB401" t="s">
        <v>77</v>
      </c>
      <c r="AE401">
        <v>0.52888888888888885</v>
      </c>
      <c r="AF401" t="s">
        <v>70</v>
      </c>
    </row>
    <row r="402" spans="1:32">
      <c r="A402">
        <v>1023366</v>
      </c>
      <c r="B402" t="s">
        <v>75</v>
      </c>
      <c r="C402" t="s">
        <v>62</v>
      </c>
      <c r="D402">
        <v>46123</v>
      </c>
      <c r="E402">
        <v>46123</v>
      </c>
      <c r="G402">
        <v>358</v>
      </c>
      <c r="H402" t="s">
        <v>63</v>
      </c>
      <c r="I402">
        <v>7484</v>
      </c>
      <c r="J402">
        <v>3879</v>
      </c>
      <c r="L402" t="s">
        <v>765</v>
      </c>
      <c r="M402" t="s">
        <v>65</v>
      </c>
      <c r="N402" t="s">
        <v>66</v>
      </c>
      <c r="O402" s="2">
        <v>46123</v>
      </c>
      <c r="P402" s="1">
        <v>105</v>
      </c>
      <c r="Q402" t="s">
        <v>67</v>
      </c>
      <c r="R402">
        <v>3.03</v>
      </c>
      <c r="S402">
        <v>0.4</v>
      </c>
      <c r="T402">
        <v>7.0000000000000007E-2</v>
      </c>
      <c r="U402">
        <v>101.9</v>
      </c>
      <c r="V402" s="1">
        <v>0</v>
      </c>
      <c r="X402">
        <v>20260413</v>
      </c>
      <c r="Z402" t="s">
        <v>72</v>
      </c>
      <c r="AA402">
        <v>3974527</v>
      </c>
      <c r="AB402" t="s">
        <v>79</v>
      </c>
      <c r="AE402">
        <v>0.54100694444444442</v>
      </c>
      <c r="AF402" t="s">
        <v>70</v>
      </c>
    </row>
    <row r="403" spans="1:32">
      <c r="A403">
        <v>1023366</v>
      </c>
      <c r="B403" t="s">
        <v>75</v>
      </c>
      <c r="C403" t="s">
        <v>62</v>
      </c>
      <c r="D403">
        <v>46123</v>
      </c>
      <c r="E403">
        <v>46123</v>
      </c>
      <c r="G403">
        <v>358</v>
      </c>
      <c r="H403" t="s">
        <v>63</v>
      </c>
      <c r="I403">
        <v>7486</v>
      </c>
      <c r="J403">
        <v>46933</v>
      </c>
      <c r="L403" t="s">
        <v>766</v>
      </c>
      <c r="M403" t="s">
        <v>65</v>
      </c>
      <c r="N403" t="s">
        <v>66</v>
      </c>
      <c r="O403" s="2">
        <v>46123</v>
      </c>
      <c r="P403" s="1">
        <v>269</v>
      </c>
      <c r="Q403" t="s">
        <v>67</v>
      </c>
      <c r="R403">
        <v>7.77</v>
      </c>
      <c r="S403">
        <v>3.47</v>
      </c>
      <c r="T403">
        <v>0.62</v>
      </c>
      <c r="U403">
        <v>260.61</v>
      </c>
      <c r="V403" s="1">
        <v>0</v>
      </c>
      <c r="X403">
        <v>20260413</v>
      </c>
      <c r="Z403" t="s">
        <v>68</v>
      </c>
      <c r="AA403">
        <v>3974527</v>
      </c>
      <c r="AB403" t="s">
        <v>77</v>
      </c>
      <c r="AE403">
        <v>0.55151620370370369</v>
      </c>
      <c r="AF403" t="s">
        <v>70</v>
      </c>
    </row>
    <row r="404" spans="1:32">
      <c r="A404">
        <v>1023366</v>
      </c>
      <c r="B404" t="s">
        <v>75</v>
      </c>
      <c r="C404" t="s">
        <v>62</v>
      </c>
      <c r="D404">
        <v>46123</v>
      </c>
      <c r="E404">
        <v>46123</v>
      </c>
      <c r="G404">
        <v>358</v>
      </c>
      <c r="H404" t="s">
        <v>63</v>
      </c>
      <c r="I404">
        <v>7488</v>
      </c>
      <c r="J404">
        <v>94893</v>
      </c>
      <c r="L404" t="s">
        <v>767</v>
      </c>
      <c r="M404" t="s">
        <v>65</v>
      </c>
      <c r="N404" t="s">
        <v>66</v>
      </c>
      <c r="O404" s="2">
        <v>46123</v>
      </c>
      <c r="P404" s="1">
        <v>55</v>
      </c>
      <c r="Q404" t="s">
        <v>67</v>
      </c>
      <c r="R404">
        <v>1.59</v>
      </c>
      <c r="S404">
        <v>0.71</v>
      </c>
      <c r="T404">
        <v>0.13</v>
      </c>
      <c r="U404">
        <v>53.28</v>
      </c>
      <c r="V404" s="1">
        <v>0</v>
      </c>
      <c r="X404">
        <v>20260413</v>
      </c>
      <c r="Z404" t="s">
        <v>68</v>
      </c>
      <c r="AA404">
        <v>3974527</v>
      </c>
      <c r="AB404" t="s">
        <v>79</v>
      </c>
      <c r="AE404">
        <v>0.55344907407407407</v>
      </c>
      <c r="AF404" t="s">
        <v>70</v>
      </c>
    </row>
    <row r="405" spans="1:32">
      <c r="A405">
        <v>1023366</v>
      </c>
      <c r="B405" t="s">
        <v>75</v>
      </c>
      <c r="C405" t="s">
        <v>62</v>
      </c>
      <c r="D405">
        <v>46123</v>
      </c>
      <c r="E405">
        <v>46123</v>
      </c>
      <c r="G405">
        <v>358</v>
      </c>
      <c r="H405" t="s">
        <v>63</v>
      </c>
      <c r="I405">
        <v>7490</v>
      </c>
      <c r="J405">
        <v>30756</v>
      </c>
      <c r="L405" t="s">
        <v>768</v>
      </c>
      <c r="M405" t="s">
        <v>65</v>
      </c>
      <c r="N405" t="s">
        <v>66</v>
      </c>
      <c r="O405" s="2">
        <v>46123</v>
      </c>
      <c r="P405" s="1">
        <v>229</v>
      </c>
      <c r="Q405" t="s">
        <v>67</v>
      </c>
      <c r="R405">
        <v>6.62</v>
      </c>
      <c r="S405">
        <v>1.35</v>
      </c>
      <c r="T405">
        <v>0.24</v>
      </c>
      <c r="U405">
        <v>222.14</v>
      </c>
      <c r="V405" s="1">
        <v>0</v>
      </c>
      <c r="X405">
        <v>20260413</v>
      </c>
      <c r="Z405" t="s">
        <v>72</v>
      </c>
      <c r="AA405">
        <v>3974527</v>
      </c>
      <c r="AB405" t="s">
        <v>93</v>
      </c>
      <c r="AE405">
        <v>0.55797453703703703</v>
      </c>
      <c r="AF405" t="s">
        <v>70</v>
      </c>
    </row>
    <row r="406" spans="1:32">
      <c r="A406">
        <v>1023366</v>
      </c>
      <c r="B406" t="s">
        <v>75</v>
      </c>
      <c r="C406" t="s">
        <v>62</v>
      </c>
      <c r="D406">
        <v>46123</v>
      </c>
      <c r="E406">
        <v>46123</v>
      </c>
      <c r="G406">
        <v>358</v>
      </c>
      <c r="H406" t="s">
        <v>63</v>
      </c>
      <c r="I406">
        <v>7492</v>
      </c>
      <c r="J406">
        <v>46243</v>
      </c>
      <c r="K406">
        <v>3</v>
      </c>
      <c r="L406" t="s">
        <v>769</v>
      </c>
      <c r="M406" t="s">
        <v>65</v>
      </c>
      <c r="N406" t="s">
        <v>66</v>
      </c>
      <c r="O406" s="2">
        <v>46123</v>
      </c>
      <c r="P406" s="1">
        <v>269</v>
      </c>
      <c r="Q406" t="s">
        <v>67</v>
      </c>
      <c r="R406">
        <v>12.48</v>
      </c>
      <c r="S406">
        <v>1.58</v>
      </c>
      <c r="T406">
        <v>0.28000000000000003</v>
      </c>
      <c r="U406">
        <v>256.24</v>
      </c>
      <c r="V406" s="1">
        <v>0</v>
      </c>
      <c r="X406">
        <v>20260413</v>
      </c>
      <c r="Z406" t="s">
        <v>72</v>
      </c>
      <c r="AA406">
        <v>3974527</v>
      </c>
      <c r="AB406" t="s">
        <v>93</v>
      </c>
      <c r="AC406" t="s">
        <v>120</v>
      </c>
      <c r="AE406">
        <v>0.56049768518518517</v>
      </c>
      <c r="AF406" t="s">
        <v>70</v>
      </c>
    </row>
    <row r="407" spans="1:32">
      <c r="A407">
        <v>1023366</v>
      </c>
      <c r="B407" t="s">
        <v>75</v>
      </c>
      <c r="C407" t="s">
        <v>62</v>
      </c>
      <c r="D407">
        <v>46123</v>
      </c>
      <c r="E407">
        <v>46123</v>
      </c>
      <c r="G407">
        <v>358</v>
      </c>
      <c r="H407" t="s">
        <v>63</v>
      </c>
      <c r="I407">
        <v>7494</v>
      </c>
      <c r="J407">
        <v>111371</v>
      </c>
      <c r="K407">
        <v>3</v>
      </c>
      <c r="L407" t="s">
        <v>770</v>
      </c>
      <c r="M407" t="s">
        <v>65</v>
      </c>
      <c r="N407" t="s">
        <v>66</v>
      </c>
      <c r="O407" s="2">
        <v>46123</v>
      </c>
      <c r="P407" s="1">
        <v>1499</v>
      </c>
      <c r="Q407" t="s">
        <v>67</v>
      </c>
      <c r="R407">
        <v>69.55</v>
      </c>
      <c r="S407">
        <v>8.84</v>
      </c>
      <c r="T407">
        <v>1.59</v>
      </c>
      <c r="U407">
        <v>1427.86</v>
      </c>
      <c r="V407" s="1">
        <v>0</v>
      </c>
      <c r="X407">
        <v>20260413</v>
      </c>
      <c r="Z407" t="s">
        <v>72</v>
      </c>
      <c r="AA407">
        <v>3974527</v>
      </c>
      <c r="AB407" t="s">
        <v>93</v>
      </c>
      <c r="AC407" t="s">
        <v>120</v>
      </c>
      <c r="AE407">
        <v>0.57131944444444449</v>
      </c>
      <c r="AF407" t="s">
        <v>70</v>
      </c>
    </row>
    <row r="408" spans="1:32">
      <c r="A408">
        <v>1023366</v>
      </c>
      <c r="B408" t="s">
        <v>75</v>
      </c>
      <c r="C408" t="s">
        <v>62</v>
      </c>
      <c r="D408">
        <v>46123</v>
      </c>
      <c r="E408">
        <v>46123</v>
      </c>
      <c r="G408">
        <v>358</v>
      </c>
      <c r="H408" t="s">
        <v>63</v>
      </c>
      <c r="I408">
        <v>7496</v>
      </c>
      <c r="J408">
        <v>237523</v>
      </c>
      <c r="K408">
        <v>3</v>
      </c>
      <c r="L408" t="s">
        <v>771</v>
      </c>
      <c r="M408" t="s">
        <v>65</v>
      </c>
      <c r="N408" t="s">
        <v>66</v>
      </c>
      <c r="O408" s="2">
        <v>46123</v>
      </c>
      <c r="P408" s="1">
        <v>350</v>
      </c>
      <c r="Q408" t="s">
        <v>67</v>
      </c>
      <c r="R408">
        <v>16.25</v>
      </c>
      <c r="S408">
        <v>2.0699999999999998</v>
      </c>
      <c r="T408">
        <v>0.37</v>
      </c>
      <c r="U408">
        <v>333.38</v>
      </c>
      <c r="V408" s="1">
        <v>0</v>
      </c>
      <c r="X408">
        <v>20260413</v>
      </c>
      <c r="Z408" t="s">
        <v>72</v>
      </c>
      <c r="AA408">
        <v>3974527</v>
      </c>
      <c r="AB408" t="s">
        <v>93</v>
      </c>
      <c r="AC408" t="s">
        <v>120</v>
      </c>
      <c r="AE408">
        <v>0.59303240740740737</v>
      </c>
      <c r="AF408" t="s">
        <v>70</v>
      </c>
    </row>
    <row r="409" spans="1:32">
      <c r="A409">
        <v>1023366</v>
      </c>
      <c r="B409" t="s">
        <v>75</v>
      </c>
      <c r="C409" t="s">
        <v>62</v>
      </c>
      <c r="D409">
        <v>46123</v>
      </c>
      <c r="E409">
        <v>46123</v>
      </c>
      <c r="G409">
        <v>358</v>
      </c>
      <c r="H409" t="s">
        <v>63</v>
      </c>
      <c r="I409">
        <v>7500</v>
      </c>
      <c r="J409">
        <v>254959</v>
      </c>
      <c r="L409" t="s">
        <v>772</v>
      </c>
      <c r="M409" t="s">
        <v>65</v>
      </c>
      <c r="N409" t="s">
        <v>66</v>
      </c>
      <c r="O409" s="2">
        <v>46123</v>
      </c>
      <c r="P409" s="1">
        <v>98</v>
      </c>
      <c r="Q409" t="s">
        <v>67</v>
      </c>
      <c r="R409">
        <v>2.83</v>
      </c>
      <c r="S409">
        <v>0.77</v>
      </c>
      <c r="T409">
        <v>0.14000000000000001</v>
      </c>
      <c r="U409">
        <v>95.03</v>
      </c>
      <c r="V409" s="1">
        <v>0</v>
      </c>
      <c r="X409">
        <v>20260413</v>
      </c>
      <c r="Z409" t="s">
        <v>72</v>
      </c>
      <c r="AA409">
        <v>3974527</v>
      </c>
      <c r="AB409" t="s">
        <v>93</v>
      </c>
      <c r="AE409">
        <v>0.59615740740740741</v>
      </c>
      <c r="AF409" t="s">
        <v>70</v>
      </c>
    </row>
    <row r="410" spans="1:32">
      <c r="A410">
        <v>1023366</v>
      </c>
      <c r="B410" t="s">
        <v>75</v>
      </c>
      <c r="C410" t="s">
        <v>62</v>
      </c>
      <c r="D410">
        <v>46123</v>
      </c>
      <c r="E410">
        <v>46123</v>
      </c>
      <c r="G410">
        <v>358</v>
      </c>
      <c r="H410" t="s">
        <v>63</v>
      </c>
      <c r="I410">
        <v>7502</v>
      </c>
      <c r="J410">
        <v>260688</v>
      </c>
      <c r="L410" t="s">
        <v>773</v>
      </c>
      <c r="M410" t="s">
        <v>65</v>
      </c>
      <c r="N410" t="s">
        <v>66</v>
      </c>
      <c r="O410" s="2">
        <v>46123</v>
      </c>
      <c r="P410" s="1">
        <v>349</v>
      </c>
      <c r="Q410" t="s">
        <v>67</v>
      </c>
      <c r="R410">
        <v>10.09</v>
      </c>
      <c r="S410">
        <v>4.51</v>
      </c>
      <c r="T410">
        <v>0.81</v>
      </c>
      <c r="U410">
        <v>338.1</v>
      </c>
      <c r="V410" s="1">
        <v>0</v>
      </c>
      <c r="X410">
        <v>20260413</v>
      </c>
      <c r="Z410" t="s">
        <v>68</v>
      </c>
      <c r="AA410">
        <v>3974527</v>
      </c>
      <c r="AB410" t="s">
        <v>93</v>
      </c>
      <c r="AE410">
        <v>0.59718749999999998</v>
      </c>
      <c r="AF410" t="s">
        <v>70</v>
      </c>
    </row>
    <row r="411" spans="1:32">
      <c r="A411">
        <v>1023366</v>
      </c>
      <c r="B411" t="s">
        <v>75</v>
      </c>
      <c r="C411" t="s">
        <v>62</v>
      </c>
      <c r="D411">
        <v>46123</v>
      </c>
      <c r="E411">
        <v>46123</v>
      </c>
      <c r="G411">
        <v>358</v>
      </c>
      <c r="H411" t="s">
        <v>63</v>
      </c>
      <c r="I411">
        <v>7504</v>
      </c>
      <c r="J411">
        <v>178684</v>
      </c>
      <c r="L411" t="s">
        <v>774</v>
      </c>
      <c r="M411" t="s">
        <v>65</v>
      </c>
      <c r="N411" t="s">
        <v>66</v>
      </c>
      <c r="O411" s="2">
        <v>46123</v>
      </c>
      <c r="P411" s="1">
        <v>64.7</v>
      </c>
      <c r="Q411" t="s">
        <v>67</v>
      </c>
      <c r="R411">
        <v>1.87</v>
      </c>
      <c r="S411">
        <v>0.83</v>
      </c>
      <c r="T411">
        <v>0.15</v>
      </c>
      <c r="U411">
        <v>62.68</v>
      </c>
      <c r="V411" s="1">
        <v>0</v>
      </c>
      <c r="X411">
        <v>20260413</v>
      </c>
      <c r="Z411" t="s">
        <v>68</v>
      </c>
      <c r="AA411">
        <v>3974527</v>
      </c>
      <c r="AB411" t="s">
        <v>79</v>
      </c>
      <c r="AE411">
        <v>0.60072916666666665</v>
      </c>
      <c r="AF411" t="s">
        <v>70</v>
      </c>
    </row>
    <row r="412" spans="1:32">
      <c r="A412">
        <v>1023366</v>
      </c>
      <c r="B412" t="s">
        <v>75</v>
      </c>
      <c r="C412" t="s">
        <v>62</v>
      </c>
      <c r="D412">
        <v>46123</v>
      </c>
      <c r="E412">
        <v>46123</v>
      </c>
      <c r="G412">
        <v>358</v>
      </c>
      <c r="H412" t="s">
        <v>63</v>
      </c>
      <c r="I412">
        <v>7506</v>
      </c>
      <c r="J412">
        <v>265061</v>
      </c>
      <c r="L412" t="s">
        <v>775</v>
      </c>
      <c r="M412" t="s">
        <v>65</v>
      </c>
      <c r="N412" t="s">
        <v>66</v>
      </c>
      <c r="O412" s="2">
        <v>46123</v>
      </c>
      <c r="P412" s="1">
        <v>699</v>
      </c>
      <c r="Q412" t="s">
        <v>67</v>
      </c>
      <c r="R412">
        <v>20.2</v>
      </c>
      <c r="S412">
        <v>9.02</v>
      </c>
      <c r="T412">
        <v>1.62</v>
      </c>
      <c r="U412">
        <v>677.18</v>
      </c>
      <c r="V412" s="1">
        <v>0</v>
      </c>
      <c r="X412">
        <v>20260413</v>
      </c>
      <c r="Z412" t="s">
        <v>68</v>
      </c>
      <c r="AA412">
        <v>3974527</v>
      </c>
      <c r="AB412" t="s">
        <v>79</v>
      </c>
      <c r="AE412">
        <v>0.61907407407407411</v>
      </c>
      <c r="AF412" t="s">
        <v>70</v>
      </c>
    </row>
    <row r="413" spans="1:32">
      <c r="A413">
        <v>1023366</v>
      </c>
      <c r="B413" t="s">
        <v>75</v>
      </c>
      <c r="C413" t="s">
        <v>62</v>
      </c>
      <c r="D413">
        <v>46123</v>
      </c>
      <c r="E413">
        <v>46123</v>
      </c>
      <c r="G413">
        <v>358</v>
      </c>
      <c r="H413" t="s">
        <v>63</v>
      </c>
      <c r="I413">
        <v>7508</v>
      </c>
      <c r="J413">
        <v>1487</v>
      </c>
      <c r="L413" t="s">
        <v>776</v>
      </c>
      <c r="M413" t="s">
        <v>65</v>
      </c>
      <c r="N413" t="s">
        <v>66</v>
      </c>
      <c r="O413" s="2">
        <v>46123</v>
      </c>
      <c r="P413" s="1">
        <v>99.9</v>
      </c>
      <c r="Q413" t="s">
        <v>67</v>
      </c>
      <c r="R413">
        <v>2.89</v>
      </c>
      <c r="S413">
        <v>0.79</v>
      </c>
      <c r="T413">
        <v>0.14000000000000001</v>
      </c>
      <c r="U413">
        <v>96.87</v>
      </c>
      <c r="V413" s="1">
        <v>0</v>
      </c>
      <c r="X413">
        <v>20260413</v>
      </c>
      <c r="Z413" t="s">
        <v>72</v>
      </c>
      <c r="AA413">
        <v>3974527</v>
      </c>
      <c r="AB413" t="s">
        <v>79</v>
      </c>
      <c r="AE413">
        <v>0.62526620370370367</v>
      </c>
      <c r="AF413" t="s">
        <v>70</v>
      </c>
    </row>
    <row r="414" spans="1:32">
      <c r="A414">
        <v>1023366</v>
      </c>
      <c r="B414" t="s">
        <v>75</v>
      </c>
      <c r="C414" t="s">
        <v>62</v>
      </c>
      <c r="D414">
        <v>46123</v>
      </c>
      <c r="E414">
        <v>46123</v>
      </c>
      <c r="G414">
        <v>358</v>
      </c>
      <c r="H414" t="s">
        <v>63</v>
      </c>
      <c r="I414">
        <v>7513</v>
      </c>
      <c r="J414">
        <v>291908</v>
      </c>
      <c r="L414" t="s">
        <v>777</v>
      </c>
      <c r="M414" t="s">
        <v>65</v>
      </c>
      <c r="N414" t="s">
        <v>66</v>
      </c>
      <c r="O414" s="2">
        <v>46123</v>
      </c>
      <c r="P414" s="1">
        <v>99</v>
      </c>
      <c r="Q414" t="s">
        <v>67</v>
      </c>
      <c r="R414">
        <v>2.86</v>
      </c>
      <c r="S414">
        <v>1.28</v>
      </c>
      <c r="T414">
        <v>0.23</v>
      </c>
      <c r="U414">
        <v>95.91</v>
      </c>
      <c r="V414" s="1">
        <v>0</v>
      </c>
      <c r="X414">
        <v>20260413</v>
      </c>
      <c r="Z414" t="s">
        <v>68</v>
      </c>
      <c r="AA414">
        <v>3974527</v>
      </c>
      <c r="AB414" t="s">
        <v>79</v>
      </c>
      <c r="AE414">
        <v>0.67009259259259257</v>
      </c>
      <c r="AF414" t="s">
        <v>70</v>
      </c>
    </row>
    <row r="415" spans="1:32">
      <c r="A415">
        <v>1023366</v>
      </c>
      <c r="B415" t="s">
        <v>75</v>
      </c>
      <c r="C415" t="s">
        <v>62</v>
      </c>
      <c r="D415">
        <v>46123</v>
      </c>
      <c r="E415">
        <v>46123</v>
      </c>
      <c r="G415">
        <v>358</v>
      </c>
      <c r="H415" t="s">
        <v>63</v>
      </c>
      <c r="I415">
        <v>7515</v>
      </c>
      <c r="J415">
        <v>125472</v>
      </c>
      <c r="L415" t="s">
        <v>778</v>
      </c>
      <c r="M415" t="s">
        <v>65</v>
      </c>
      <c r="N415" t="s">
        <v>66</v>
      </c>
      <c r="O415" s="2">
        <v>46123</v>
      </c>
      <c r="P415" s="1">
        <v>269</v>
      </c>
      <c r="Q415" t="s">
        <v>67</v>
      </c>
      <c r="R415">
        <v>7.77</v>
      </c>
      <c r="S415">
        <v>1.04</v>
      </c>
      <c r="T415">
        <v>0.19</v>
      </c>
      <c r="U415">
        <v>261.04000000000002</v>
      </c>
      <c r="V415" s="1">
        <v>0</v>
      </c>
      <c r="X415">
        <v>20260413</v>
      </c>
      <c r="Z415" t="s">
        <v>72</v>
      </c>
      <c r="AA415">
        <v>3974527</v>
      </c>
      <c r="AB415" t="s">
        <v>77</v>
      </c>
      <c r="AE415">
        <v>0.67553240740740739</v>
      </c>
      <c r="AF415" t="s">
        <v>70</v>
      </c>
    </row>
    <row r="416" spans="1:32">
      <c r="A416">
        <v>1023366</v>
      </c>
      <c r="B416" t="s">
        <v>75</v>
      </c>
      <c r="C416" t="s">
        <v>62</v>
      </c>
      <c r="D416">
        <v>46123</v>
      </c>
      <c r="E416">
        <v>46123</v>
      </c>
      <c r="G416">
        <v>358</v>
      </c>
      <c r="H416" t="s">
        <v>63</v>
      </c>
      <c r="I416">
        <v>7517</v>
      </c>
      <c r="J416">
        <v>321998</v>
      </c>
      <c r="L416" t="s">
        <v>779</v>
      </c>
      <c r="M416" t="s">
        <v>65</v>
      </c>
      <c r="N416" t="s">
        <v>66</v>
      </c>
      <c r="O416" s="2">
        <v>46123</v>
      </c>
      <c r="P416" s="1">
        <v>109</v>
      </c>
      <c r="Q416" t="s">
        <v>67</v>
      </c>
      <c r="R416">
        <v>3.15</v>
      </c>
      <c r="S416">
        <v>1.41</v>
      </c>
      <c r="T416">
        <v>0.25</v>
      </c>
      <c r="U416">
        <v>105.6</v>
      </c>
      <c r="V416" s="1">
        <v>0</v>
      </c>
      <c r="X416">
        <v>20260413</v>
      </c>
      <c r="Z416" t="s">
        <v>68</v>
      </c>
      <c r="AA416">
        <v>3974527</v>
      </c>
      <c r="AB416" t="s">
        <v>79</v>
      </c>
      <c r="AE416">
        <v>0.68256944444444445</v>
      </c>
      <c r="AF416" t="s">
        <v>70</v>
      </c>
    </row>
    <row r="417" spans="1:32">
      <c r="A417">
        <v>1023366</v>
      </c>
      <c r="B417" t="s">
        <v>75</v>
      </c>
      <c r="C417" t="s">
        <v>62</v>
      </c>
      <c r="D417">
        <v>46123</v>
      </c>
      <c r="E417">
        <v>46123</v>
      </c>
      <c r="G417">
        <v>358</v>
      </c>
      <c r="H417">
        <v>65656565</v>
      </c>
      <c r="I417">
        <v>7519</v>
      </c>
      <c r="J417">
        <v>719632</v>
      </c>
      <c r="L417" t="s">
        <v>780</v>
      </c>
      <c r="M417" t="s">
        <v>65</v>
      </c>
      <c r="N417" t="s">
        <v>66</v>
      </c>
      <c r="O417" s="2">
        <v>46123</v>
      </c>
      <c r="P417" s="1">
        <v>279</v>
      </c>
      <c r="Q417" t="s">
        <v>67</v>
      </c>
      <c r="R417">
        <v>8.06</v>
      </c>
      <c r="S417">
        <v>3.6</v>
      </c>
      <c r="T417">
        <v>0.65</v>
      </c>
      <c r="U417">
        <v>270.29000000000002</v>
      </c>
      <c r="V417" s="1">
        <v>0</v>
      </c>
      <c r="X417">
        <v>20260413</v>
      </c>
      <c r="Z417" t="s">
        <v>68</v>
      </c>
      <c r="AA417">
        <v>3974527</v>
      </c>
      <c r="AB417" t="s">
        <v>93</v>
      </c>
      <c r="AD417" t="s">
        <v>155</v>
      </c>
      <c r="AE417">
        <v>0.68745370370370373</v>
      </c>
      <c r="AF417" t="s">
        <v>70</v>
      </c>
    </row>
    <row r="418" spans="1:32">
      <c r="A418">
        <v>1023366</v>
      </c>
      <c r="B418" t="s">
        <v>75</v>
      </c>
      <c r="C418" t="s">
        <v>62</v>
      </c>
      <c r="D418">
        <v>46123</v>
      </c>
      <c r="E418">
        <v>46123</v>
      </c>
      <c r="G418">
        <v>358</v>
      </c>
      <c r="H418" t="s">
        <v>63</v>
      </c>
      <c r="I418">
        <v>7522</v>
      </c>
      <c r="J418">
        <v>404907</v>
      </c>
      <c r="L418" t="s">
        <v>781</v>
      </c>
      <c r="M418" t="s">
        <v>65</v>
      </c>
      <c r="N418" t="s">
        <v>66</v>
      </c>
      <c r="O418" s="2">
        <v>46123</v>
      </c>
      <c r="P418" s="1">
        <v>35</v>
      </c>
      <c r="Q418" t="s">
        <v>67</v>
      </c>
      <c r="R418">
        <v>1.01</v>
      </c>
      <c r="S418">
        <v>0.45</v>
      </c>
      <c r="T418">
        <v>0.08</v>
      </c>
      <c r="U418">
        <v>33.909999999999997</v>
      </c>
      <c r="V418" s="1">
        <v>0</v>
      </c>
      <c r="X418">
        <v>20260413</v>
      </c>
      <c r="Z418" t="s">
        <v>68</v>
      </c>
      <c r="AA418">
        <v>3974527</v>
      </c>
      <c r="AB418" t="s">
        <v>79</v>
      </c>
      <c r="AE418">
        <v>0.69478009259259255</v>
      </c>
      <c r="AF418" t="s">
        <v>70</v>
      </c>
    </row>
    <row r="419" spans="1:32">
      <c r="A419">
        <v>1023366</v>
      </c>
      <c r="B419" t="s">
        <v>75</v>
      </c>
      <c r="C419" t="s">
        <v>62</v>
      </c>
      <c r="D419">
        <v>46123</v>
      </c>
      <c r="E419">
        <v>46123</v>
      </c>
      <c r="G419">
        <v>358</v>
      </c>
      <c r="H419" t="s">
        <v>63</v>
      </c>
      <c r="I419">
        <v>7524</v>
      </c>
      <c r="J419">
        <v>818588</v>
      </c>
      <c r="L419" t="s">
        <v>782</v>
      </c>
      <c r="M419" t="s">
        <v>65</v>
      </c>
      <c r="N419" t="s">
        <v>66</v>
      </c>
      <c r="O419" s="2">
        <v>46123</v>
      </c>
      <c r="P419" s="1">
        <v>149</v>
      </c>
      <c r="Q419" t="s">
        <v>67</v>
      </c>
      <c r="R419">
        <v>4.3099999999999996</v>
      </c>
      <c r="S419">
        <v>1.18</v>
      </c>
      <c r="T419">
        <v>0.21</v>
      </c>
      <c r="U419">
        <v>144.47999999999999</v>
      </c>
      <c r="V419" s="1">
        <v>0</v>
      </c>
      <c r="X419">
        <v>20260413</v>
      </c>
      <c r="Z419" t="s">
        <v>72</v>
      </c>
      <c r="AA419">
        <v>3974527</v>
      </c>
      <c r="AB419" t="s">
        <v>93</v>
      </c>
      <c r="AE419">
        <v>0.70741898148148152</v>
      </c>
      <c r="AF419" t="s">
        <v>70</v>
      </c>
    </row>
    <row r="420" spans="1:32">
      <c r="A420">
        <v>1023366</v>
      </c>
      <c r="B420" t="s">
        <v>75</v>
      </c>
      <c r="C420" t="s">
        <v>62</v>
      </c>
      <c r="D420">
        <v>46123</v>
      </c>
      <c r="E420">
        <v>46123</v>
      </c>
      <c r="G420">
        <v>358</v>
      </c>
      <c r="H420" t="s">
        <v>63</v>
      </c>
      <c r="I420">
        <v>7526</v>
      </c>
      <c r="J420">
        <v>981947</v>
      </c>
      <c r="L420" t="s">
        <v>783</v>
      </c>
      <c r="M420" t="s">
        <v>65</v>
      </c>
      <c r="N420" t="s">
        <v>66</v>
      </c>
      <c r="O420" s="2">
        <v>46123</v>
      </c>
      <c r="P420" s="1">
        <v>69</v>
      </c>
      <c r="Q420" t="s">
        <v>67</v>
      </c>
      <c r="R420">
        <v>1.99</v>
      </c>
      <c r="S420">
        <v>0.4</v>
      </c>
      <c r="T420">
        <v>7.0000000000000007E-2</v>
      </c>
      <c r="U420">
        <v>66.94</v>
      </c>
      <c r="V420" s="1">
        <v>0</v>
      </c>
      <c r="X420">
        <v>20260413</v>
      </c>
      <c r="Z420" t="s">
        <v>72</v>
      </c>
      <c r="AA420">
        <v>3974527</v>
      </c>
      <c r="AB420" t="s">
        <v>93</v>
      </c>
      <c r="AE420">
        <v>0.73965277777777783</v>
      </c>
      <c r="AF420" t="s">
        <v>70</v>
      </c>
    </row>
    <row r="421" spans="1:32">
      <c r="A421">
        <v>1023366</v>
      </c>
      <c r="B421" t="s">
        <v>75</v>
      </c>
      <c r="C421" t="s">
        <v>62</v>
      </c>
      <c r="D421">
        <v>46123</v>
      </c>
      <c r="E421">
        <v>46123</v>
      </c>
      <c r="G421">
        <v>358</v>
      </c>
      <c r="H421" t="s">
        <v>63</v>
      </c>
      <c r="I421">
        <v>7528</v>
      </c>
      <c r="J421">
        <v>573241</v>
      </c>
      <c r="L421" t="s">
        <v>784</v>
      </c>
      <c r="M421" t="s">
        <v>65</v>
      </c>
      <c r="N421" t="s">
        <v>66</v>
      </c>
      <c r="O421" s="2">
        <v>46123</v>
      </c>
      <c r="P421" s="1">
        <v>209</v>
      </c>
      <c r="Q421" t="s">
        <v>67</v>
      </c>
      <c r="R421">
        <v>6.04</v>
      </c>
      <c r="S421">
        <v>2.7</v>
      </c>
      <c r="T421">
        <v>0.49</v>
      </c>
      <c r="U421">
        <v>202.47</v>
      </c>
      <c r="V421" s="1">
        <v>0</v>
      </c>
      <c r="X421">
        <v>20260413</v>
      </c>
      <c r="Z421" t="s">
        <v>68</v>
      </c>
      <c r="AA421">
        <v>3974527</v>
      </c>
      <c r="AB421" t="s">
        <v>79</v>
      </c>
      <c r="AE421">
        <v>0.74600694444444449</v>
      </c>
      <c r="AF421" t="s">
        <v>70</v>
      </c>
    </row>
    <row r="422" spans="1:32">
      <c r="A422">
        <v>1023366</v>
      </c>
      <c r="B422" t="s">
        <v>75</v>
      </c>
      <c r="C422" t="s">
        <v>62</v>
      </c>
      <c r="D422">
        <v>46123</v>
      </c>
      <c r="E422">
        <v>46123</v>
      </c>
      <c r="G422">
        <v>358</v>
      </c>
      <c r="H422" t="s">
        <v>63</v>
      </c>
      <c r="I422">
        <v>7536</v>
      </c>
      <c r="J422">
        <v>936752</v>
      </c>
      <c r="L422" t="s">
        <v>785</v>
      </c>
      <c r="M422" t="s">
        <v>65</v>
      </c>
      <c r="N422" t="s">
        <v>66</v>
      </c>
      <c r="O422" s="2">
        <v>46123</v>
      </c>
      <c r="P422" s="1">
        <v>69</v>
      </c>
      <c r="Q422" t="s">
        <v>67</v>
      </c>
      <c r="R422">
        <v>1.99</v>
      </c>
      <c r="S422">
        <v>0.89</v>
      </c>
      <c r="T422">
        <v>0.16</v>
      </c>
      <c r="U422">
        <v>66.849999999999994</v>
      </c>
      <c r="V422" s="1">
        <v>0</v>
      </c>
      <c r="X422">
        <v>20260413</v>
      </c>
      <c r="Z422" t="s">
        <v>68</v>
      </c>
      <c r="AA422">
        <v>3974527</v>
      </c>
      <c r="AB422" t="s">
        <v>81</v>
      </c>
      <c r="AE422">
        <v>0.75305555555555559</v>
      </c>
      <c r="AF422" t="s">
        <v>70</v>
      </c>
    </row>
    <row r="423" spans="1:32">
      <c r="A423">
        <v>1023366</v>
      </c>
      <c r="B423" t="s">
        <v>75</v>
      </c>
      <c r="C423" t="s">
        <v>62</v>
      </c>
      <c r="D423">
        <v>46123</v>
      </c>
      <c r="E423">
        <v>46123</v>
      </c>
      <c r="G423">
        <v>358</v>
      </c>
      <c r="H423" t="s">
        <v>63</v>
      </c>
      <c r="I423">
        <v>7538</v>
      </c>
      <c r="J423">
        <v>540400</v>
      </c>
      <c r="L423" t="s">
        <v>786</v>
      </c>
      <c r="M423" t="s">
        <v>65</v>
      </c>
      <c r="N423" t="s">
        <v>66</v>
      </c>
      <c r="O423" s="2">
        <v>46123</v>
      </c>
      <c r="P423" s="1">
        <v>79</v>
      </c>
      <c r="Q423" t="s">
        <v>67</v>
      </c>
      <c r="R423">
        <v>2.2799999999999998</v>
      </c>
      <c r="S423">
        <v>0.62</v>
      </c>
      <c r="T423">
        <v>0.11</v>
      </c>
      <c r="U423">
        <v>76.61</v>
      </c>
      <c r="V423" s="1">
        <v>0</v>
      </c>
      <c r="X423">
        <v>20260413</v>
      </c>
      <c r="Z423" t="s">
        <v>68</v>
      </c>
      <c r="AA423">
        <v>3974527</v>
      </c>
      <c r="AB423" t="s">
        <v>79</v>
      </c>
      <c r="AE423">
        <v>0.76973379629629635</v>
      </c>
      <c r="AF423" t="s">
        <v>70</v>
      </c>
    </row>
    <row r="424" spans="1:32">
      <c r="A424">
        <v>1023366</v>
      </c>
      <c r="B424" t="s">
        <v>75</v>
      </c>
      <c r="C424" t="s">
        <v>62</v>
      </c>
      <c r="D424">
        <v>46123</v>
      </c>
      <c r="E424">
        <v>46123</v>
      </c>
      <c r="G424">
        <v>358</v>
      </c>
      <c r="H424" t="s">
        <v>63</v>
      </c>
      <c r="I424">
        <v>7541</v>
      </c>
      <c r="J424">
        <v>40634</v>
      </c>
      <c r="L424" t="s">
        <v>787</v>
      </c>
      <c r="M424" t="s">
        <v>65</v>
      </c>
      <c r="N424" t="s">
        <v>66</v>
      </c>
      <c r="O424" s="2">
        <v>46123</v>
      </c>
      <c r="P424" s="1">
        <v>99</v>
      </c>
      <c r="Q424" t="s">
        <v>67</v>
      </c>
      <c r="R424">
        <v>2.86</v>
      </c>
      <c r="S424">
        <v>1.28</v>
      </c>
      <c r="T424">
        <v>0.23</v>
      </c>
      <c r="U424">
        <v>95.91</v>
      </c>
      <c r="V424" s="1">
        <v>0</v>
      </c>
      <c r="X424">
        <v>20260413</v>
      </c>
      <c r="Z424" t="s">
        <v>68</v>
      </c>
      <c r="AA424">
        <v>3974527</v>
      </c>
      <c r="AB424" t="s">
        <v>81</v>
      </c>
      <c r="AE424">
        <v>0.77105324074074078</v>
      </c>
      <c r="AF424" t="s">
        <v>70</v>
      </c>
    </row>
    <row r="425" spans="1:32">
      <c r="A425">
        <v>1023366</v>
      </c>
      <c r="B425" t="s">
        <v>75</v>
      </c>
      <c r="C425" t="s">
        <v>62</v>
      </c>
      <c r="D425">
        <v>46123</v>
      </c>
      <c r="E425">
        <v>46123</v>
      </c>
      <c r="G425">
        <v>358</v>
      </c>
      <c r="H425" t="s">
        <v>63</v>
      </c>
      <c r="I425">
        <v>7543</v>
      </c>
      <c r="J425">
        <v>116325</v>
      </c>
      <c r="L425" t="s">
        <v>788</v>
      </c>
      <c r="M425" t="s">
        <v>65</v>
      </c>
      <c r="N425" t="s">
        <v>66</v>
      </c>
      <c r="O425" s="2">
        <v>46123</v>
      </c>
      <c r="P425" s="1">
        <v>55</v>
      </c>
      <c r="Q425" t="s">
        <v>67</v>
      </c>
      <c r="R425">
        <v>1.59</v>
      </c>
      <c r="S425">
        <v>0.71</v>
      </c>
      <c r="T425">
        <v>0.13</v>
      </c>
      <c r="U425">
        <v>53.28</v>
      </c>
      <c r="V425" s="1">
        <v>0</v>
      </c>
      <c r="X425">
        <v>20260413</v>
      </c>
      <c r="Z425" t="s">
        <v>68</v>
      </c>
      <c r="AA425">
        <v>3974527</v>
      </c>
      <c r="AB425" t="s">
        <v>77</v>
      </c>
      <c r="AE425">
        <v>0.77995370370370365</v>
      </c>
      <c r="AF425" t="s">
        <v>70</v>
      </c>
    </row>
    <row r="426" spans="1:32">
      <c r="A426">
        <v>1023366</v>
      </c>
      <c r="B426" t="s">
        <v>75</v>
      </c>
      <c r="C426" t="s">
        <v>62</v>
      </c>
      <c r="D426">
        <v>46123</v>
      </c>
      <c r="E426">
        <v>46123</v>
      </c>
      <c r="G426">
        <v>358</v>
      </c>
      <c r="H426" t="s">
        <v>63</v>
      </c>
      <c r="I426">
        <v>7547</v>
      </c>
      <c r="J426">
        <v>8143</v>
      </c>
      <c r="L426" t="s">
        <v>789</v>
      </c>
      <c r="M426" t="s">
        <v>65</v>
      </c>
      <c r="N426" t="s">
        <v>66</v>
      </c>
      <c r="O426" s="2">
        <v>46123</v>
      </c>
      <c r="P426" s="1">
        <v>1124.0999999999999</v>
      </c>
      <c r="Q426" t="s">
        <v>67</v>
      </c>
      <c r="R426">
        <v>32.49</v>
      </c>
      <c r="S426">
        <v>6.64</v>
      </c>
      <c r="T426">
        <v>1.2</v>
      </c>
      <c r="U426">
        <v>1090.4100000000001</v>
      </c>
      <c r="V426" s="1">
        <v>0</v>
      </c>
      <c r="X426">
        <v>20260413</v>
      </c>
      <c r="Z426" t="s">
        <v>72</v>
      </c>
      <c r="AA426">
        <v>3974527</v>
      </c>
      <c r="AB426" t="s">
        <v>79</v>
      </c>
      <c r="AE426">
        <v>0.79623842592592597</v>
      </c>
      <c r="AF426" t="s">
        <v>70</v>
      </c>
    </row>
    <row r="427" spans="1:32">
      <c r="A427">
        <v>1023366</v>
      </c>
      <c r="B427" t="s">
        <v>75</v>
      </c>
      <c r="C427" t="s">
        <v>62</v>
      </c>
      <c r="D427">
        <v>46123</v>
      </c>
      <c r="E427">
        <v>46123</v>
      </c>
      <c r="G427">
        <v>358</v>
      </c>
      <c r="H427">
        <v>65656565</v>
      </c>
      <c r="I427">
        <v>7549</v>
      </c>
      <c r="J427">
        <v>634727</v>
      </c>
      <c r="L427" t="s">
        <v>790</v>
      </c>
      <c r="M427" t="s">
        <v>65</v>
      </c>
      <c r="N427" t="s">
        <v>66</v>
      </c>
      <c r="O427" s="2">
        <v>46123</v>
      </c>
      <c r="P427" s="1">
        <v>159</v>
      </c>
      <c r="Q427" t="s">
        <v>67</v>
      </c>
      <c r="R427">
        <v>4.59</v>
      </c>
      <c r="S427">
        <v>2.0499999999999998</v>
      </c>
      <c r="T427">
        <v>0.37</v>
      </c>
      <c r="U427">
        <v>154.04</v>
      </c>
      <c r="V427" s="1">
        <v>0</v>
      </c>
      <c r="X427">
        <v>20260413</v>
      </c>
      <c r="Z427" t="s">
        <v>68</v>
      </c>
      <c r="AA427">
        <v>3974527</v>
      </c>
      <c r="AB427" t="s">
        <v>81</v>
      </c>
      <c r="AD427" t="s">
        <v>88</v>
      </c>
      <c r="AE427">
        <v>0.80387731481481484</v>
      </c>
      <c r="AF427" t="s">
        <v>70</v>
      </c>
    </row>
    <row r="428" spans="1:32">
      <c r="A428">
        <v>1023366</v>
      </c>
      <c r="B428" t="s">
        <v>75</v>
      </c>
      <c r="C428" t="s">
        <v>62</v>
      </c>
      <c r="D428">
        <v>46123</v>
      </c>
      <c r="E428">
        <v>46123</v>
      </c>
      <c r="G428">
        <v>358</v>
      </c>
      <c r="H428" t="s">
        <v>63</v>
      </c>
      <c r="I428">
        <v>7552</v>
      </c>
      <c r="J428">
        <v>7395</v>
      </c>
      <c r="K428">
        <v>7</v>
      </c>
      <c r="L428" t="s">
        <v>791</v>
      </c>
      <c r="M428" t="s">
        <v>65</v>
      </c>
      <c r="N428" t="s">
        <v>66</v>
      </c>
      <c r="O428" s="2">
        <v>46123</v>
      </c>
      <c r="P428" s="1">
        <v>2199</v>
      </c>
      <c r="Q428" t="s">
        <v>67</v>
      </c>
      <c r="R428">
        <v>63.55</v>
      </c>
      <c r="S428">
        <v>17.37</v>
      </c>
      <c r="T428">
        <v>3.13</v>
      </c>
      <c r="U428">
        <v>2132.3200000000002</v>
      </c>
      <c r="V428" s="1">
        <v>0</v>
      </c>
      <c r="X428">
        <v>20260413</v>
      </c>
      <c r="Z428" t="s">
        <v>72</v>
      </c>
      <c r="AA428">
        <v>3974527</v>
      </c>
      <c r="AB428" t="s">
        <v>79</v>
      </c>
      <c r="AC428" t="s">
        <v>74</v>
      </c>
      <c r="AE428">
        <v>0.80554398148148143</v>
      </c>
      <c r="AF428" t="s">
        <v>70</v>
      </c>
    </row>
    <row r="429" spans="1:32">
      <c r="A429">
        <v>1023366</v>
      </c>
      <c r="B429" t="s">
        <v>75</v>
      </c>
      <c r="C429" t="s">
        <v>62</v>
      </c>
      <c r="D429">
        <v>46123</v>
      </c>
      <c r="E429">
        <v>46123</v>
      </c>
      <c r="G429">
        <v>358</v>
      </c>
      <c r="H429" t="s">
        <v>63</v>
      </c>
      <c r="I429">
        <v>7554</v>
      </c>
      <c r="J429">
        <v>378590</v>
      </c>
      <c r="L429" t="s">
        <v>792</v>
      </c>
      <c r="M429" t="s">
        <v>65</v>
      </c>
      <c r="N429" t="s">
        <v>66</v>
      </c>
      <c r="O429" s="2">
        <v>46123</v>
      </c>
      <c r="P429" s="1">
        <v>149</v>
      </c>
      <c r="Q429" t="s">
        <v>67</v>
      </c>
      <c r="R429">
        <v>4.3099999999999996</v>
      </c>
      <c r="S429">
        <v>1.93</v>
      </c>
      <c r="T429">
        <v>0.35</v>
      </c>
      <c r="U429">
        <v>144.34</v>
      </c>
      <c r="V429" s="1">
        <v>0</v>
      </c>
      <c r="X429">
        <v>20260413</v>
      </c>
      <c r="Z429" t="s">
        <v>68</v>
      </c>
      <c r="AA429">
        <v>3974527</v>
      </c>
      <c r="AB429" t="s">
        <v>93</v>
      </c>
      <c r="AE429">
        <v>0.81208333333333338</v>
      </c>
      <c r="AF429" t="s">
        <v>70</v>
      </c>
    </row>
    <row r="430" spans="1:32">
      <c r="A430">
        <v>1023366</v>
      </c>
      <c r="B430" t="s">
        <v>75</v>
      </c>
      <c r="C430" t="s">
        <v>62</v>
      </c>
      <c r="D430">
        <v>46123</v>
      </c>
      <c r="E430">
        <v>46123</v>
      </c>
      <c r="G430">
        <v>358</v>
      </c>
      <c r="H430" t="s">
        <v>63</v>
      </c>
      <c r="I430">
        <v>7556</v>
      </c>
      <c r="J430">
        <v>8486</v>
      </c>
      <c r="L430" t="s">
        <v>793</v>
      </c>
      <c r="M430" t="s">
        <v>65</v>
      </c>
      <c r="N430" t="s">
        <v>66</v>
      </c>
      <c r="O430" s="2">
        <v>46123</v>
      </c>
      <c r="P430" s="1">
        <v>149</v>
      </c>
      <c r="Q430" t="s">
        <v>67</v>
      </c>
      <c r="R430">
        <v>4.3099999999999996</v>
      </c>
      <c r="S430">
        <v>0.57999999999999996</v>
      </c>
      <c r="T430">
        <v>0.1</v>
      </c>
      <c r="U430">
        <v>144.59</v>
      </c>
      <c r="V430" s="1">
        <v>0</v>
      </c>
      <c r="X430">
        <v>20260413</v>
      </c>
      <c r="Z430" t="s">
        <v>72</v>
      </c>
      <c r="AA430">
        <v>3974527</v>
      </c>
      <c r="AB430" t="s">
        <v>79</v>
      </c>
      <c r="AE430">
        <v>0.81663194444444442</v>
      </c>
      <c r="AF430" t="s">
        <v>70</v>
      </c>
    </row>
    <row r="431" spans="1:32">
      <c r="A431">
        <v>1023366</v>
      </c>
      <c r="B431" t="s">
        <v>75</v>
      </c>
      <c r="C431" t="s">
        <v>62</v>
      </c>
      <c r="D431">
        <v>46123</v>
      </c>
      <c r="E431">
        <v>46123</v>
      </c>
      <c r="G431">
        <v>358</v>
      </c>
      <c r="H431" t="s">
        <v>63</v>
      </c>
      <c r="I431">
        <v>7558</v>
      </c>
      <c r="J431">
        <v>3905</v>
      </c>
      <c r="L431" t="s">
        <v>794</v>
      </c>
      <c r="M431" t="s">
        <v>65</v>
      </c>
      <c r="N431" t="s">
        <v>66</v>
      </c>
      <c r="O431" s="2">
        <v>46123</v>
      </c>
      <c r="P431" s="1">
        <v>69</v>
      </c>
      <c r="Q431" t="s">
        <v>67</v>
      </c>
      <c r="R431">
        <v>1.99</v>
      </c>
      <c r="S431">
        <v>0.54</v>
      </c>
      <c r="T431">
        <v>0.1</v>
      </c>
      <c r="U431">
        <v>66.91</v>
      </c>
      <c r="V431" s="1">
        <v>0</v>
      </c>
      <c r="X431">
        <v>20260413</v>
      </c>
      <c r="Z431" t="s">
        <v>72</v>
      </c>
      <c r="AA431">
        <v>3974527</v>
      </c>
      <c r="AB431" t="s">
        <v>79</v>
      </c>
      <c r="AE431">
        <v>0.82192129629629629</v>
      </c>
      <c r="AF431" t="s">
        <v>70</v>
      </c>
    </row>
    <row r="432" spans="1:32">
      <c r="A432">
        <v>1023366</v>
      </c>
      <c r="B432" t="s">
        <v>75</v>
      </c>
      <c r="C432" t="s">
        <v>62</v>
      </c>
      <c r="D432">
        <v>46123</v>
      </c>
      <c r="E432">
        <v>46123</v>
      </c>
      <c r="G432">
        <v>358</v>
      </c>
      <c r="H432" t="s">
        <v>63</v>
      </c>
      <c r="I432">
        <v>7561</v>
      </c>
      <c r="J432">
        <v>440349</v>
      </c>
      <c r="L432" t="s">
        <v>795</v>
      </c>
      <c r="M432" t="s">
        <v>65</v>
      </c>
      <c r="N432" t="s">
        <v>66</v>
      </c>
      <c r="O432" s="2">
        <v>46123</v>
      </c>
      <c r="P432" s="1">
        <v>89.9</v>
      </c>
      <c r="Q432" t="s">
        <v>67</v>
      </c>
      <c r="R432">
        <v>2.6</v>
      </c>
      <c r="S432">
        <v>0.53</v>
      </c>
      <c r="T432">
        <v>0.1</v>
      </c>
      <c r="U432">
        <v>87.2</v>
      </c>
      <c r="V432" s="1">
        <v>0</v>
      </c>
      <c r="X432">
        <v>20260413</v>
      </c>
      <c r="Z432" t="s">
        <v>72</v>
      </c>
      <c r="AA432">
        <v>3974527</v>
      </c>
      <c r="AB432" t="s">
        <v>81</v>
      </c>
      <c r="AE432">
        <v>0.82314814814814818</v>
      </c>
      <c r="AF432" t="s">
        <v>70</v>
      </c>
    </row>
    <row r="433" spans="1:32">
      <c r="A433">
        <v>1023366</v>
      </c>
      <c r="B433" t="s">
        <v>75</v>
      </c>
      <c r="C433" t="s">
        <v>62</v>
      </c>
      <c r="D433">
        <v>46123</v>
      </c>
      <c r="E433">
        <v>46123</v>
      </c>
      <c r="G433">
        <v>358</v>
      </c>
      <c r="H433" t="s">
        <v>63</v>
      </c>
      <c r="I433">
        <v>7563</v>
      </c>
      <c r="J433">
        <v>822782</v>
      </c>
      <c r="L433" t="s">
        <v>796</v>
      </c>
      <c r="M433" t="s">
        <v>65</v>
      </c>
      <c r="N433" t="s">
        <v>66</v>
      </c>
      <c r="O433" s="2">
        <v>46123</v>
      </c>
      <c r="P433" s="1">
        <v>849</v>
      </c>
      <c r="Q433" t="s">
        <v>67</v>
      </c>
      <c r="R433">
        <v>24.54</v>
      </c>
      <c r="S433">
        <v>10.96</v>
      </c>
      <c r="T433">
        <v>1.97</v>
      </c>
      <c r="U433">
        <v>822.49</v>
      </c>
      <c r="V433" s="1">
        <v>0</v>
      </c>
      <c r="X433">
        <v>20260413</v>
      </c>
      <c r="Z433" t="s">
        <v>68</v>
      </c>
      <c r="AA433">
        <v>3974527</v>
      </c>
      <c r="AB433" t="s">
        <v>79</v>
      </c>
      <c r="AE433">
        <v>0.8371643518518519</v>
      </c>
      <c r="AF433" t="s">
        <v>70</v>
      </c>
    </row>
    <row r="434" spans="1:32">
      <c r="A434">
        <v>1023366</v>
      </c>
      <c r="B434" t="s">
        <v>75</v>
      </c>
      <c r="C434" t="s">
        <v>62</v>
      </c>
      <c r="D434">
        <v>46123</v>
      </c>
      <c r="E434">
        <v>46123</v>
      </c>
      <c r="G434">
        <v>358</v>
      </c>
      <c r="H434" t="s">
        <v>63</v>
      </c>
      <c r="I434">
        <v>7567</v>
      </c>
      <c r="J434">
        <v>536973</v>
      </c>
      <c r="L434" t="s">
        <v>797</v>
      </c>
      <c r="M434" t="s">
        <v>65</v>
      </c>
      <c r="N434" t="s">
        <v>66</v>
      </c>
      <c r="O434" s="2">
        <v>46123</v>
      </c>
      <c r="P434" s="1">
        <v>349</v>
      </c>
      <c r="Q434" t="s">
        <v>67</v>
      </c>
      <c r="R434">
        <v>10.09</v>
      </c>
      <c r="S434">
        <v>2.06</v>
      </c>
      <c r="T434">
        <v>0.37</v>
      </c>
      <c r="U434">
        <v>338.54</v>
      </c>
      <c r="V434" s="1">
        <v>0</v>
      </c>
      <c r="X434">
        <v>20260413</v>
      </c>
      <c r="Z434" t="s">
        <v>72</v>
      </c>
      <c r="AA434">
        <v>3974527</v>
      </c>
      <c r="AB434" t="s">
        <v>81</v>
      </c>
      <c r="AE434">
        <v>0.84090277777777778</v>
      </c>
      <c r="AF434" t="s">
        <v>70</v>
      </c>
    </row>
    <row r="435" spans="1:32">
      <c r="A435">
        <v>1023366</v>
      </c>
      <c r="B435" t="s">
        <v>75</v>
      </c>
      <c r="C435" t="s">
        <v>62</v>
      </c>
      <c r="D435">
        <v>46123</v>
      </c>
      <c r="E435">
        <v>46123</v>
      </c>
      <c r="G435">
        <v>358</v>
      </c>
      <c r="H435" t="s">
        <v>63</v>
      </c>
      <c r="I435">
        <v>7573</v>
      </c>
      <c r="J435">
        <v>688</v>
      </c>
      <c r="L435" t="s">
        <v>798</v>
      </c>
      <c r="M435" t="s">
        <v>65</v>
      </c>
      <c r="N435" t="s">
        <v>66</v>
      </c>
      <c r="O435" s="2">
        <v>46123</v>
      </c>
      <c r="P435" s="1">
        <v>349</v>
      </c>
      <c r="Q435" t="s">
        <v>67</v>
      </c>
      <c r="R435">
        <v>10.09</v>
      </c>
      <c r="S435">
        <v>1.36</v>
      </c>
      <c r="T435">
        <v>0.24</v>
      </c>
      <c r="U435">
        <v>338.67</v>
      </c>
      <c r="V435" s="1">
        <v>0</v>
      </c>
      <c r="X435">
        <v>20260413</v>
      </c>
      <c r="Z435" t="s">
        <v>72</v>
      </c>
      <c r="AA435">
        <v>3974527</v>
      </c>
      <c r="AB435" t="s">
        <v>79</v>
      </c>
      <c r="AE435">
        <v>0.85927083333333332</v>
      </c>
      <c r="AF435" t="s">
        <v>70</v>
      </c>
    </row>
    <row r="436" spans="1:32">
      <c r="A436">
        <v>1023366</v>
      </c>
      <c r="B436" t="s">
        <v>75</v>
      </c>
      <c r="C436" t="s">
        <v>62</v>
      </c>
      <c r="D436">
        <v>46123</v>
      </c>
      <c r="E436">
        <v>46123</v>
      </c>
      <c r="G436">
        <v>358</v>
      </c>
      <c r="H436" t="s">
        <v>63</v>
      </c>
      <c r="I436">
        <v>7579</v>
      </c>
      <c r="J436">
        <v>53652</v>
      </c>
      <c r="L436" t="s">
        <v>799</v>
      </c>
      <c r="M436" t="s">
        <v>65</v>
      </c>
      <c r="N436" t="s">
        <v>66</v>
      </c>
      <c r="O436" s="2">
        <v>46123</v>
      </c>
      <c r="P436" s="1">
        <v>66</v>
      </c>
      <c r="Q436" t="s">
        <v>67</v>
      </c>
      <c r="R436">
        <v>1.91</v>
      </c>
      <c r="S436">
        <v>0.26</v>
      </c>
      <c r="T436">
        <v>0.05</v>
      </c>
      <c r="U436">
        <v>64.040000000000006</v>
      </c>
      <c r="V436" s="1">
        <v>21580.18</v>
      </c>
      <c r="W436">
        <v>46125</v>
      </c>
      <c r="X436">
        <v>20260413</v>
      </c>
      <c r="Z436" t="s">
        <v>72</v>
      </c>
      <c r="AA436">
        <v>3974527</v>
      </c>
      <c r="AB436" t="s">
        <v>77</v>
      </c>
      <c r="AE436">
        <v>0.8787962962962963</v>
      </c>
      <c r="AF436" t="s">
        <v>70</v>
      </c>
    </row>
    <row r="437" spans="1:32">
      <c r="A437">
        <v>1023366</v>
      </c>
      <c r="B437" t="s">
        <v>61</v>
      </c>
      <c r="C437" t="s">
        <v>62</v>
      </c>
      <c r="D437">
        <v>46124</v>
      </c>
      <c r="E437">
        <v>46124</v>
      </c>
      <c r="G437">
        <v>359</v>
      </c>
      <c r="H437" t="s">
        <v>63</v>
      </c>
      <c r="I437">
        <v>7606</v>
      </c>
      <c r="J437">
        <v>55869</v>
      </c>
      <c r="L437" t="s">
        <v>800</v>
      </c>
      <c r="M437" t="s">
        <v>65</v>
      </c>
      <c r="N437" t="s">
        <v>66</v>
      </c>
      <c r="O437" s="2">
        <v>46124</v>
      </c>
      <c r="P437" s="1">
        <v>1800</v>
      </c>
      <c r="Q437" t="s">
        <v>67</v>
      </c>
      <c r="R437">
        <v>52.02</v>
      </c>
      <c r="S437">
        <v>20.52</v>
      </c>
      <c r="T437">
        <v>3.69</v>
      </c>
      <c r="U437">
        <v>1744.29</v>
      </c>
      <c r="V437" s="1">
        <v>0</v>
      </c>
      <c r="X437">
        <v>20260413</v>
      </c>
      <c r="Z437" t="s">
        <v>68</v>
      </c>
      <c r="AA437">
        <v>3974527</v>
      </c>
      <c r="AB437" t="s">
        <v>69</v>
      </c>
      <c r="AE437">
        <v>0.60339120370370369</v>
      </c>
      <c r="AF437" t="s">
        <v>70</v>
      </c>
    </row>
    <row r="438" spans="1:32">
      <c r="A438">
        <v>1023366</v>
      </c>
      <c r="B438" t="s">
        <v>61</v>
      </c>
      <c r="C438" t="s">
        <v>62</v>
      </c>
      <c r="D438">
        <v>46124</v>
      </c>
      <c r="E438">
        <v>46124</v>
      </c>
      <c r="G438">
        <v>359</v>
      </c>
      <c r="H438" t="s">
        <v>63</v>
      </c>
      <c r="I438">
        <v>7627</v>
      </c>
      <c r="J438">
        <v>723808</v>
      </c>
      <c r="K438">
        <v>3</v>
      </c>
      <c r="L438" t="s">
        <v>801</v>
      </c>
      <c r="M438" t="s">
        <v>65</v>
      </c>
      <c r="N438" t="s">
        <v>66</v>
      </c>
      <c r="O438" s="2">
        <v>46124</v>
      </c>
      <c r="P438" s="1">
        <v>3899</v>
      </c>
      <c r="Q438" t="s">
        <v>67</v>
      </c>
      <c r="R438">
        <v>180.91</v>
      </c>
      <c r="S438">
        <v>13.26</v>
      </c>
      <c r="T438">
        <v>2.39</v>
      </c>
      <c r="U438">
        <v>3715.7</v>
      </c>
      <c r="V438" s="1">
        <v>5459.99</v>
      </c>
      <c r="W438">
        <v>46125</v>
      </c>
      <c r="X438">
        <v>20260413</v>
      </c>
      <c r="Z438" t="s">
        <v>72</v>
      </c>
      <c r="AA438">
        <v>3974527</v>
      </c>
      <c r="AB438" t="s">
        <v>93</v>
      </c>
      <c r="AC438" t="s">
        <v>120</v>
      </c>
      <c r="AE438">
        <v>0.66843750000000002</v>
      </c>
      <c r="AF438" t="s">
        <v>70</v>
      </c>
    </row>
    <row r="439" spans="1:32">
      <c r="A439">
        <v>1023366</v>
      </c>
      <c r="B439" t="s">
        <v>75</v>
      </c>
      <c r="C439" t="s">
        <v>62</v>
      </c>
      <c r="D439">
        <v>46124</v>
      </c>
      <c r="E439">
        <v>46124</v>
      </c>
      <c r="G439">
        <v>359</v>
      </c>
      <c r="H439" t="s">
        <v>63</v>
      </c>
      <c r="I439">
        <v>7595</v>
      </c>
      <c r="J439">
        <v>24579</v>
      </c>
      <c r="L439" t="s">
        <v>802</v>
      </c>
      <c r="M439" t="s">
        <v>65</v>
      </c>
      <c r="N439" t="s">
        <v>66</v>
      </c>
      <c r="O439" s="2">
        <v>46124</v>
      </c>
      <c r="P439" s="1">
        <v>89.9</v>
      </c>
      <c r="Q439" t="s">
        <v>67</v>
      </c>
      <c r="R439">
        <v>2.6</v>
      </c>
      <c r="S439">
        <v>1.1599999999999999</v>
      </c>
      <c r="T439">
        <v>0.21</v>
      </c>
      <c r="U439">
        <v>87.09</v>
      </c>
      <c r="V439" s="1">
        <v>0</v>
      </c>
      <c r="X439">
        <v>20260413</v>
      </c>
      <c r="Z439" t="s">
        <v>68</v>
      </c>
      <c r="AA439">
        <v>3974527</v>
      </c>
      <c r="AB439" t="s">
        <v>84</v>
      </c>
      <c r="AE439">
        <v>0.47194444444444444</v>
      </c>
      <c r="AF439" t="s">
        <v>70</v>
      </c>
    </row>
    <row r="440" spans="1:32">
      <c r="A440">
        <v>1023366</v>
      </c>
      <c r="B440" t="s">
        <v>75</v>
      </c>
      <c r="C440" t="s">
        <v>62</v>
      </c>
      <c r="D440">
        <v>46124</v>
      </c>
      <c r="E440">
        <v>46124</v>
      </c>
      <c r="G440">
        <v>359</v>
      </c>
      <c r="H440" t="s">
        <v>63</v>
      </c>
      <c r="I440">
        <v>7597</v>
      </c>
      <c r="J440">
        <v>531014</v>
      </c>
      <c r="L440" t="s">
        <v>803</v>
      </c>
      <c r="M440" t="s">
        <v>65</v>
      </c>
      <c r="N440" t="s">
        <v>66</v>
      </c>
      <c r="O440" s="2">
        <v>46124</v>
      </c>
      <c r="P440" s="1">
        <v>269</v>
      </c>
      <c r="Q440" t="s">
        <v>67</v>
      </c>
      <c r="R440">
        <v>7.77</v>
      </c>
      <c r="S440">
        <v>3.47</v>
      </c>
      <c r="T440">
        <v>0.62</v>
      </c>
      <c r="U440">
        <v>260.61</v>
      </c>
      <c r="V440" s="1">
        <v>0</v>
      </c>
      <c r="X440">
        <v>20260413</v>
      </c>
      <c r="Z440" t="s">
        <v>68</v>
      </c>
      <c r="AA440">
        <v>3974527</v>
      </c>
      <c r="AB440" t="s">
        <v>79</v>
      </c>
      <c r="AE440">
        <v>0.49413194444444447</v>
      </c>
      <c r="AF440" t="s">
        <v>70</v>
      </c>
    </row>
    <row r="441" spans="1:32">
      <c r="A441">
        <v>1023366</v>
      </c>
      <c r="B441" t="s">
        <v>75</v>
      </c>
      <c r="C441" t="s">
        <v>62</v>
      </c>
      <c r="D441">
        <v>46124</v>
      </c>
      <c r="E441">
        <v>46124</v>
      </c>
      <c r="G441">
        <v>359</v>
      </c>
      <c r="H441" t="s">
        <v>63</v>
      </c>
      <c r="I441">
        <v>7599</v>
      </c>
      <c r="J441">
        <v>574757</v>
      </c>
      <c r="L441" t="s">
        <v>804</v>
      </c>
      <c r="M441" t="s">
        <v>65</v>
      </c>
      <c r="N441" t="s">
        <v>66</v>
      </c>
      <c r="O441" s="2">
        <v>46124</v>
      </c>
      <c r="P441" s="1">
        <v>149</v>
      </c>
      <c r="Q441" t="s">
        <v>67</v>
      </c>
      <c r="R441">
        <v>4.3099999999999996</v>
      </c>
      <c r="S441">
        <v>1.93</v>
      </c>
      <c r="T441">
        <v>0.35</v>
      </c>
      <c r="U441">
        <v>144.34</v>
      </c>
      <c r="V441" s="1">
        <v>0</v>
      </c>
      <c r="X441">
        <v>20260413</v>
      </c>
      <c r="Z441" t="s">
        <v>68</v>
      </c>
      <c r="AA441">
        <v>3974527</v>
      </c>
      <c r="AB441" t="s">
        <v>79</v>
      </c>
      <c r="AE441">
        <v>0.51416666666666666</v>
      </c>
      <c r="AF441" t="s">
        <v>70</v>
      </c>
    </row>
    <row r="442" spans="1:32">
      <c r="A442">
        <v>1023366</v>
      </c>
      <c r="B442" t="s">
        <v>75</v>
      </c>
      <c r="C442" t="s">
        <v>62</v>
      </c>
      <c r="D442">
        <v>46124</v>
      </c>
      <c r="E442">
        <v>46124</v>
      </c>
      <c r="G442">
        <v>359</v>
      </c>
      <c r="H442">
        <v>65656565</v>
      </c>
      <c r="I442">
        <v>7601</v>
      </c>
      <c r="J442">
        <v>521216</v>
      </c>
      <c r="L442" t="s">
        <v>805</v>
      </c>
      <c r="M442" t="s">
        <v>65</v>
      </c>
      <c r="N442" t="s">
        <v>66</v>
      </c>
      <c r="O442" s="2">
        <v>46124</v>
      </c>
      <c r="P442" s="1">
        <v>14.9</v>
      </c>
      <c r="Q442" t="s">
        <v>67</v>
      </c>
      <c r="R442">
        <v>0.43</v>
      </c>
      <c r="S442">
        <v>0.19</v>
      </c>
      <c r="T442">
        <v>0.03</v>
      </c>
      <c r="U442">
        <v>14.44</v>
      </c>
      <c r="V442" s="1">
        <v>0</v>
      </c>
      <c r="X442">
        <v>20260413</v>
      </c>
      <c r="Z442" t="s">
        <v>68</v>
      </c>
      <c r="AA442">
        <v>3974527</v>
      </c>
      <c r="AB442" t="s">
        <v>79</v>
      </c>
      <c r="AD442" t="s">
        <v>88</v>
      </c>
      <c r="AE442">
        <v>0.53311342592592592</v>
      </c>
      <c r="AF442" t="s">
        <v>70</v>
      </c>
    </row>
    <row r="443" spans="1:32">
      <c r="A443">
        <v>1023366</v>
      </c>
      <c r="B443" t="s">
        <v>75</v>
      </c>
      <c r="C443" t="s">
        <v>62</v>
      </c>
      <c r="D443">
        <v>46124</v>
      </c>
      <c r="E443">
        <v>46124</v>
      </c>
      <c r="G443">
        <v>359</v>
      </c>
      <c r="H443" t="s">
        <v>63</v>
      </c>
      <c r="I443">
        <v>7604</v>
      </c>
      <c r="J443">
        <v>317145</v>
      </c>
      <c r="L443" t="s">
        <v>806</v>
      </c>
      <c r="M443" t="s">
        <v>65</v>
      </c>
      <c r="N443" t="s">
        <v>66</v>
      </c>
      <c r="O443" s="2">
        <v>46124</v>
      </c>
      <c r="P443" s="1">
        <v>6098</v>
      </c>
      <c r="Q443" t="s">
        <v>67</v>
      </c>
      <c r="R443">
        <v>176.23</v>
      </c>
      <c r="S443">
        <v>78.66</v>
      </c>
      <c r="T443">
        <v>14.16</v>
      </c>
      <c r="U443">
        <v>5907.61</v>
      </c>
      <c r="V443" s="1">
        <v>0</v>
      </c>
      <c r="X443">
        <v>20260413</v>
      </c>
      <c r="Z443" t="s">
        <v>68</v>
      </c>
      <c r="AA443">
        <v>3974527</v>
      </c>
      <c r="AB443" t="s">
        <v>93</v>
      </c>
      <c r="AE443">
        <v>0.58030092592592597</v>
      </c>
      <c r="AF443" t="s">
        <v>70</v>
      </c>
    </row>
    <row r="444" spans="1:32">
      <c r="A444">
        <v>1023366</v>
      </c>
      <c r="B444" t="s">
        <v>75</v>
      </c>
      <c r="C444" t="s">
        <v>62</v>
      </c>
      <c r="D444">
        <v>46124</v>
      </c>
      <c r="E444">
        <v>46124</v>
      </c>
      <c r="G444">
        <v>359</v>
      </c>
      <c r="H444">
        <v>65656565</v>
      </c>
      <c r="I444">
        <v>7608</v>
      </c>
      <c r="J444">
        <v>689377</v>
      </c>
      <c r="L444" t="s">
        <v>807</v>
      </c>
      <c r="M444" t="s">
        <v>65</v>
      </c>
      <c r="N444" t="s">
        <v>66</v>
      </c>
      <c r="O444" s="2">
        <v>46124</v>
      </c>
      <c r="P444" s="1">
        <v>99</v>
      </c>
      <c r="Q444" t="s">
        <v>67</v>
      </c>
      <c r="R444">
        <v>2.86</v>
      </c>
      <c r="S444">
        <v>1.28</v>
      </c>
      <c r="T444">
        <v>0.23</v>
      </c>
      <c r="U444">
        <v>95.91</v>
      </c>
      <c r="V444" s="1">
        <v>0</v>
      </c>
      <c r="X444">
        <v>20260413</v>
      </c>
      <c r="Z444" t="s">
        <v>68</v>
      </c>
      <c r="AA444">
        <v>3974527</v>
      </c>
      <c r="AB444" t="s">
        <v>79</v>
      </c>
      <c r="AD444" t="s">
        <v>88</v>
      </c>
      <c r="AE444">
        <v>0.60417824074074078</v>
      </c>
      <c r="AF444" t="s">
        <v>70</v>
      </c>
    </row>
    <row r="445" spans="1:32">
      <c r="A445">
        <v>1023366</v>
      </c>
      <c r="B445" t="s">
        <v>75</v>
      </c>
      <c r="C445" t="s">
        <v>62</v>
      </c>
      <c r="D445">
        <v>46124</v>
      </c>
      <c r="E445">
        <v>46124</v>
      </c>
      <c r="G445">
        <v>359</v>
      </c>
      <c r="H445" t="s">
        <v>63</v>
      </c>
      <c r="I445">
        <v>7611</v>
      </c>
      <c r="J445">
        <v>764741</v>
      </c>
      <c r="L445" t="s">
        <v>808</v>
      </c>
      <c r="M445" t="s">
        <v>65</v>
      </c>
      <c r="N445" t="s">
        <v>66</v>
      </c>
      <c r="O445" s="2">
        <v>46124</v>
      </c>
      <c r="P445" s="1">
        <v>55</v>
      </c>
      <c r="Q445" t="s">
        <v>67</v>
      </c>
      <c r="R445">
        <v>1.59</v>
      </c>
      <c r="S445">
        <v>0.71</v>
      </c>
      <c r="T445">
        <v>0.13</v>
      </c>
      <c r="U445">
        <v>53.28</v>
      </c>
      <c r="V445" s="1">
        <v>0</v>
      </c>
      <c r="X445">
        <v>20260413</v>
      </c>
      <c r="Z445" t="s">
        <v>68</v>
      </c>
      <c r="AA445">
        <v>3974527</v>
      </c>
      <c r="AB445" t="s">
        <v>79</v>
      </c>
      <c r="AE445">
        <v>0.61251157407407408</v>
      </c>
      <c r="AF445" t="s">
        <v>70</v>
      </c>
    </row>
    <row r="446" spans="1:32">
      <c r="A446">
        <v>1023366</v>
      </c>
      <c r="B446" t="s">
        <v>75</v>
      </c>
      <c r="C446" t="s">
        <v>62</v>
      </c>
      <c r="D446">
        <v>46124</v>
      </c>
      <c r="E446">
        <v>46124</v>
      </c>
      <c r="G446">
        <v>359</v>
      </c>
      <c r="H446" t="s">
        <v>63</v>
      </c>
      <c r="I446">
        <v>7613</v>
      </c>
      <c r="J446">
        <v>488789</v>
      </c>
      <c r="K446">
        <v>3</v>
      </c>
      <c r="L446" t="s">
        <v>809</v>
      </c>
      <c r="M446" t="s">
        <v>65</v>
      </c>
      <c r="N446" t="s">
        <v>66</v>
      </c>
      <c r="O446" s="2">
        <v>46124</v>
      </c>
      <c r="P446" s="1">
        <v>746</v>
      </c>
      <c r="Q446" t="s">
        <v>67</v>
      </c>
      <c r="R446">
        <v>34.619999999999997</v>
      </c>
      <c r="S446">
        <v>2.91</v>
      </c>
      <c r="T446">
        <v>0.52</v>
      </c>
      <c r="U446">
        <v>710.86</v>
      </c>
      <c r="V446" s="1">
        <v>0</v>
      </c>
      <c r="X446">
        <v>20260413</v>
      </c>
      <c r="Z446" t="s">
        <v>72</v>
      </c>
      <c r="AA446">
        <v>3974527</v>
      </c>
      <c r="AB446" t="s">
        <v>93</v>
      </c>
      <c r="AC446" t="s">
        <v>120</v>
      </c>
      <c r="AE446">
        <v>0.61597222222222225</v>
      </c>
      <c r="AF446" t="s">
        <v>70</v>
      </c>
    </row>
    <row r="447" spans="1:32">
      <c r="A447">
        <v>1023366</v>
      </c>
      <c r="B447" t="s">
        <v>75</v>
      </c>
      <c r="C447" t="s">
        <v>62</v>
      </c>
      <c r="D447">
        <v>46124</v>
      </c>
      <c r="E447">
        <v>46124</v>
      </c>
      <c r="G447">
        <v>359</v>
      </c>
      <c r="H447" t="s">
        <v>63</v>
      </c>
      <c r="I447">
        <v>7616</v>
      </c>
      <c r="J447">
        <v>376366</v>
      </c>
      <c r="L447" t="s">
        <v>810</v>
      </c>
      <c r="M447" t="s">
        <v>96</v>
      </c>
      <c r="N447" t="s">
        <v>66</v>
      </c>
      <c r="O447" s="2">
        <v>46124</v>
      </c>
      <c r="P447" s="1">
        <v>99</v>
      </c>
      <c r="Q447" t="s">
        <v>67</v>
      </c>
      <c r="R447">
        <v>3.86</v>
      </c>
      <c r="S447">
        <v>1.9</v>
      </c>
      <c r="T447">
        <v>0.34</v>
      </c>
      <c r="U447">
        <v>94.8</v>
      </c>
      <c r="V447" s="1">
        <v>0</v>
      </c>
      <c r="X447">
        <v>20260413</v>
      </c>
      <c r="Z447" t="s">
        <v>68</v>
      </c>
      <c r="AA447">
        <v>3974527</v>
      </c>
      <c r="AB447" t="s">
        <v>97</v>
      </c>
      <c r="AE447">
        <v>0.62317129629629631</v>
      </c>
      <c r="AF447" t="s">
        <v>70</v>
      </c>
    </row>
    <row r="448" spans="1:32">
      <c r="A448">
        <v>1023366</v>
      </c>
      <c r="B448" t="s">
        <v>75</v>
      </c>
      <c r="C448" t="s">
        <v>62</v>
      </c>
      <c r="D448">
        <v>46124</v>
      </c>
      <c r="E448">
        <v>46124</v>
      </c>
      <c r="G448">
        <v>359</v>
      </c>
      <c r="H448" t="s">
        <v>63</v>
      </c>
      <c r="I448">
        <v>7619</v>
      </c>
      <c r="J448">
        <v>534132</v>
      </c>
      <c r="K448">
        <v>3</v>
      </c>
      <c r="L448" t="s">
        <v>811</v>
      </c>
      <c r="M448" t="s">
        <v>65</v>
      </c>
      <c r="N448" t="s">
        <v>66</v>
      </c>
      <c r="O448" s="2">
        <v>46124</v>
      </c>
      <c r="P448" s="1">
        <v>179</v>
      </c>
      <c r="Q448" t="s">
        <v>67</v>
      </c>
      <c r="R448">
        <v>8.3000000000000007</v>
      </c>
      <c r="S448">
        <v>1.05</v>
      </c>
      <c r="T448">
        <v>0.19</v>
      </c>
      <c r="U448">
        <v>170.51</v>
      </c>
      <c r="V448" s="1">
        <v>0</v>
      </c>
      <c r="X448">
        <v>20260413</v>
      </c>
      <c r="Z448" t="s">
        <v>72</v>
      </c>
      <c r="AA448">
        <v>3974527</v>
      </c>
      <c r="AB448" t="s">
        <v>93</v>
      </c>
      <c r="AC448" t="s">
        <v>120</v>
      </c>
      <c r="AE448">
        <v>0.62578703703703709</v>
      </c>
      <c r="AF448" t="s">
        <v>70</v>
      </c>
    </row>
    <row r="449" spans="1:32">
      <c r="A449">
        <v>1023366</v>
      </c>
      <c r="B449" t="s">
        <v>75</v>
      </c>
      <c r="C449" t="s">
        <v>62</v>
      </c>
      <c r="D449">
        <v>46124</v>
      </c>
      <c r="E449">
        <v>46124</v>
      </c>
      <c r="G449">
        <v>359</v>
      </c>
      <c r="H449" t="s">
        <v>63</v>
      </c>
      <c r="I449">
        <v>7621</v>
      </c>
      <c r="J449">
        <v>425</v>
      </c>
      <c r="L449" t="s">
        <v>812</v>
      </c>
      <c r="M449" t="s">
        <v>65</v>
      </c>
      <c r="N449" t="s">
        <v>66</v>
      </c>
      <c r="O449" s="2">
        <v>46124</v>
      </c>
      <c r="P449" s="1">
        <v>89</v>
      </c>
      <c r="Q449" t="s">
        <v>67</v>
      </c>
      <c r="R449">
        <v>2.57</v>
      </c>
      <c r="S449">
        <v>0.34</v>
      </c>
      <c r="T449">
        <v>0.06</v>
      </c>
      <c r="U449">
        <v>86.37</v>
      </c>
      <c r="V449" s="1">
        <v>0</v>
      </c>
      <c r="X449">
        <v>20260413</v>
      </c>
      <c r="Z449" t="s">
        <v>72</v>
      </c>
      <c r="AA449">
        <v>3974527</v>
      </c>
      <c r="AB449" t="s">
        <v>79</v>
      </c>
      <c r="AE449">
        <v>0.64969907407407412</v>
      </c>
      <c r="AF449" t="s">
        <v>70</v>
      </c>
    </row>
    <row r="450" spans="1:32">
      <c r="A450">
        <v>1023366</v>
      </c>
      <c r="B450" t="s">
        <v>75</v>
      </c>
      <c r="C450" t="s">
        <v>62</v>
      </c>
      <c r="D450">
        <v>46124</v>
      </c>
      <c r="E450">
        <v>46124</v>
      </c>
      <c r="G450">
        <v>359</v>
      </c>
      <c r="H450" t="s">
        <v>63</v>
      </c>
      <c r="I450">
        <v>7623</v>
      </c>
      <c r="J450">
        <v>898678</v>
      </c>
      <c r="L450" t="s">
        <v>813</v>
      </c>
      <c r="M450" t="s">
        <v>65</v>
      </c>
      <c r="N450" t="s">
        <v>66</v>
      </c>
      <c r="O450" s="2">
        <v>46124</v>
      </c>
      <c r="P450" s="1">
        <v>629</v>
      </c>
      <c r="Q450" t="s">
        <v>67</v>
      </c>
      <c r="R450">
        <v>18.18</v>
      </c>
      <c r="S450">
        <v>8.1199999999999992</v>
      </c>
      <c r="T450">
        <v>1.46</v>
      </c>
      <c r="U450">
        <v>609.36</v>
      </c>
      <c r="V450" s="1">
        <v>0</v>
      </c>
      <c r="X450">
        <v>20260413</v>
      </c>
      <c r="Z450" t="s">
        <v>68</v>
      </c>
      <c r="AA450">
        <v>3974527</v>
      </c>
      <c r="AB450" t="s">
        <v>79</v>
      </c>
      <c r="AE450">
        <v>0.65342592592592597</v>
      </c>
      <c r="AF450" t="s">
        <v>70</v>
      </c>
    </row>
    <row r="451" spans="1:32">
      <c r="A451">
        <v>1023366</v>
      </c>
      <c r="B451" t="s">
        <v>75</v>
      </c>
      <c r="C451" t="s">
        <v>62</v>
      </c>
      <c r="D451">
        <v>46124</v>
      </c>
      <c r="E451">
        <v>46124</v>
      </c>
      <c r="G451">
        <v>359</v>
      </c>
      <c r="H451" t="s">
        <v>63</v>
      </c>
      <c r="I451">
        <v>7625</v>
      </c>
      <c r="J451">
        <v>681593</v>
      </c>
      <c r="L451" t="s">
        <v>814</v>
      </c>
      <c r="M451" t="s">
        <v>65</v>
      </c>
      <c r="N451" t="s">
        <v>66</v>
      </c>
      <c r="O451" s="2">
        <v>46124</v>
      </c>
      <c r="P451" s="1">
        <v>105</v>
      </c>
      <c r="Q451" t="s">
        <v>67</v>
      </c>
      <c r="R451">
        <v>3.03</v>
      </c>
      <c r="S451">
        <v>0.61</v>
      </c>
      <c r="T451">
        <v>0.11</v>
      </c>
      <c r="U451">
        <v>101.86</v>
      </c>
      <c r="V451" s="1">
        <v>0</v>
      </c>
      <c r="X451">
        <v>20260413</v>
      </c>
      <c r="Z451" t="s">
        <v>72</v>
      </c>
      <c r="AA451">
        <v>3974527</v>
      </c>
      <c r="AB451" t="s">
        <v>93</v>
      </c>
      <c r="AE451">
        <v>0.65877314814814814</v>
      </c>
      <c r="AF451" t="s">
        <v>70</v>
      </c>
    </row>
    <row r="452" spans="1:32">
      <c r="A452">
        <v>1023366</v>
      </c>
      <c r="B452" t="s">
        <v>75</v>
      </c>
      <c r="C452" t="s">
        <v>62</v>
      </c>
      <c r="D452">
        <v>46124</v>
      </c>
      <c r="E452">
        <v>46124</v>
      </c>
      <c r="G452">
        <v>359</v>
      </c>
      <c r="H452" t="s">
        <v>63</v>
      </c>
      <c r="I452">
        <v>7629</v>
      </c>
      <c r="J452">
        <v>86878</v>
      </c>
      <c r="L452" t="s">
        <v>815</v>
      </c>
      <c r="M452" t="s">
        <v>65</v>
      </c>
      <c r="N452" t="s">
        <v>66</v>
      </c>
      <c r="O452" s="2">
        <v>46124</v>
      </c>
      <c r="P452" s="1">
        <v>2099</v>
      </c>
      <c r="Q452" t="s">
        <v>67</v>
      </c>
      <c r="R452">
        <v>60.66</v>
      </c>
      <c r="S452">
        <v>27.08</v>
      </c>
      <c r="T452">
        <v>4.87</v>
      </c>
      <c r="U452">
        <v>2033.47</v>
      </c>
      <c r="V452" s="1">
        <v>0</v>
      </c>
      <c r="X452">
        <v>20260413</v>
      </c>
      <c r="Z452" t="s">
        <v>68</v>
      </c>
      <c r="AA452">
        <v>3974527</v>
      </c>
      <c r="AB452" t="s">
        <v>122</v>
      </c>
      <c r="AE452">
        <v>0.68357638888888894</v>
      </c>
      <c r="AF452" t="s">
        <v>70</v>
      </c>
    </row>
    <row r="453" spans="1:32">
      <c r="A453">
        <v>1023366</v>
      </c>
      <c r="B453" t="s">
        <v>75</v>
      </c>
      <c r="C453" t="s">
        <v>62</v>
      </c>
      <c r="D453">
        <v>46124</v>
      </c>
      <c r="E453">
        <v>46124</v>
      </c>
      <c r="G453">
        <v>359</v>
      </c>
      <c r="H453" t="s">
        <v>63</v>
      </c>
      <c r="I453">
        <v>7633</v>
      </c>
      <c r="J453">
        <v>8356</v>
      </c>
      <c r="L453" t="s">
        <v>816</v>
      </c>
      <c r="M453" t="s">
        <v>65</v>
      </c>
      <c r="N453" t="s">
        <v>66</v>
      </c>
      <c r="O453" s="2">
        <v>46124</v>
      </c>
      <c r="P453" s="1">
        <v>65</v>
      </c>
      <c r="Q453" t="s">
        <v>67</v>
      </c>
      <c r="R453">
        <v>1.88</v>
      </c>
      <c r="S453">
        <v>0.51</v>
      </c>
      <c r="T453">
        <v>0.09</v>
      </c>
      <c r="U453">
        <v>63.03</v>
      </c>
      <c r="V453" s="1">
        <v>0</v>
      </c>
      <c r="X453">
        <v>20260413</v>
      </c>
      <c r="Z453" t="s">
        <v>72</v>
      </c>
      <c r="AA453">
        <v>3974527</v>
      </c>
      <c r="AB453" t="s">
        <v>106</v>
      </c>
      <c r="AE453">
        <v>0.69355324074074076</v>
      </c>
      <c r="AF453" t="s">
        <v>70</v>
      </c>
    </row>
    <row r="454" spans="1:32">
      <c r="A454">
        <v>1023366</v>
      </c>
      <c r="B454" t="s">
        <v>75</v>
      </c>
      <c r="C454" t="s">
        <v>62</v>
      </c>
      <c r="D454">
        <v>46124</v>
      </c>
      <c r="E454">
        <v>46124</v>
      </c>
      <c r="G454">
        <v>359</v>
      </c>
      <c r="H454" t="s">
        <v>63</v>
      </c>
      <c r="I454">
        <v>7635</v>
      </c>
      <c r="J454">
        <v>859246</v>
      </c>
      <c r="L454" t="s">
        <v>817</v>
      </c>
      <c r="M454" t="s">
        <v>65</v>
      </c>
      <c r="N454" t="s">
        <v>66</v>
      </c>
      <c r="O454" s="2">
        <v>46124</v>
      </c>
      <c r="P454" s="1">
        <v>749</v>
      </c>
      <c r="Q454" t="s">
        <v>67</v>
      </c>
      <c r="R454">
        <v>21.65</v>
      </c>
      <c r="S454">
        <v>9.67</v>
      </c>
      <c r="T454">
        <v>1.74</v>
      </c>
      <c r="U454">
        <v>725.61</v>
      </c>
      <c r="V454" s="1">
        <v>0</v>
      </c>
      <c r="X454">
        <v>20260413</v>
      </c>
      <c r="Z454" t="s">
        <v>68</v>
      </c>
      <c r="AA454">
        <v>3974527</v>
      </c>
      <c r="AB454" t="s">
        <v>93</v>
      </c>
      <c r="AE454">
        <v>0.70012731481481483</v>
      </c>
      <c r="AF454" t="s">
        <v>70</v>
      </c>
    </row>
    <row r="455" spans="1:32">
      <c r="A455">
        <v>1023366</v>
      </c>
      <c r="B455" t="s">
        <v>75</v>
      </c>
      <c r="C455" t="s">
        <v>62</v>
      </c>
      <c r="D455">
        <v>46124</v>
      </c>
      <c r="E455">
        <v>46124</v>
      </c>
      <c r="G455">
        <v>359</v>
      </c>
      <c r="H455" t="s">
        <v>63</v>
      </c>
      <c r="I455">
        <v>7637</v>
      </c>
      <c r="J455">
        <v>9671</v>
      </c>
      <c r="L455" t="s">
        <v>818</v>
      </c>
      <c r="M455" t="s">
        <v>65</v>
      </c>
      <c r="N455" t="s">
        <v>66</v>
      </c>
      <c r="O455" s="2">
        <v>46124</v>
      </c>
      <c r="P455" s="1">
        <v>189</v>
      </c>
      <c r="Q455" t="s">
        <v>67</v>
      </c>
      <c r="R455">
        <v>5.46</v>
      </c>
      <c r="S455">
        <v>0.73</v>
      </c>
      <c r="T455">
        <v>0.13</v>
      </c>
      <c r="U455">
        <v>183.41</v>
      </c>
      <c r="V455" s="1">
        <v>0</v>
      </c>
      <c r="X455">
        <v>20260413</v>
      </c>
      <c r="Z455" t="s">
        <v>72</v>
      </c>
      <c r="AA455">
        <v>3974527</v>
      </c>
      <c r="AB455" t="s">
        <v>79</v>
      </c>
      <c r="AE455">
        <v>0.70425925925925925</v>
      </c>
      <c r="AF455" t="s">
        <v>70</v>
      </c>
    </row>
    <row r="456" spans="1:32">
      <c r="A456">
        <v>1023366</v>
      </c>
      <c r="B456" t="s">
        <v>75</v>
      </c>
      <c r="C456" t="s">
        <v>62</v>
      </c>
      <c r="D456">
        <v>46124</v>
      </c>
      <c r="E456">
        <v>46124</v>
      </c>
      <c r="G456">
        <v>359</v>
      </c>
      <c r="H456" t="s">
        <v>63</v>
      </c>
      <c r="I456">
        <v>7639</v>
      </c>
      <c r="J456">
        <v>3123</v>
      </c>
      <c r="L456" t="s">
        <v>819</v>
      </c>
      <c r="M456" t="s">
        <v>65</v>
      </c>
      <c r="N456" t="s">
        <v>66</v>
      </c>
      <c r="O456" s="2">
        <v>46124</v>
      </c>
      <c r="P456" s="1">
        <v>2948</v>
      </c>
      <c r="Q456" t="s">
        <v>67</v>
      </c>
      <c r="R456">
        <v>85.2</v>
      </c>
      <c r="S456">
        <v>17.399999999999999</v>
      </c>
      <c r="T456">
        <v>3.13</v>
      </c>
      <c r="U456">
        <v>2859.67</v>
      </c>
      <c r="V456" s="1">
        <v>0</v>
      </c>
      <c r="X456">
        <v>20260413</v>
      </c>
      <c r="Z456" t="s">
        <v>72</v>
      </c>
      <c r="AA456">
        <v>3974527</v>
      </c>
      <c r="AB456" t="s">
        <v>79</v>
      </c>
      <c r="AE456">
        <v>0.74326388888888884</v>
      </c>
      <c r="AF456" t="s">
        <v>70</v>
      </c>
    </row>
    <row r="457" spans="1:32">
      <c r="A457">
        <v>1023366</v>
      </c>
      <c r="B457" t="s">
        <v>75</v>
      </c>
      <c r="C457" t="s">
        <v>62</v>
      </c>
      <c r="D457">
        <v>46124</v>
      </c>
      <c r="E457">
        <v>46124</v>
      </c>
      <c r="G457">
        <v>359</v>
      </c>
      <c r="H457" t="s">
        <v>63</v>
      </c>
      <c r="I457">
        <v>7641</v>
      </c>
      <c r="J457">
        <v>7689</v>
      </c>
      <c r="L457" t="s">
        <v>820</v>
      </c>
      <c r="M457" t="s">
        <v>65</v>
      </c>
      <c r="N457" t="s">
        <v>66</v>
      </c>
      <c r="O457" s="2">
        <v>46124</v>
      </c>
      <c r="P457" s="1">
        <v>267</v>
      </c>
      <c r="Q457" t="s">
        <v>67</v>
      </c>
      <c r="R457">
        <v>7.72</v>
      </c>
      <c r="S457">
        <v>1.04</v>
      </c>
      <c r="T457">
        <v>0.19</v>
      </c>
      <c r="U457">
        <v>259.08999999999997</v>
      </c>
      <c r="V457" s="1">
        <v>0</v>
      </c>
      <c r="X457">
        <v>20260413</v>
      </c>
      <c r="Z457" t="s">
        <v>72</v>
      </c>
      <c r="AA457">
        <v>3974527</v>
      </c>
      <c r="AB457" t="s">
        <v>79</v>
      </c>
      <c r="AE457">
        <v>0.74921296296296291</v>
      </c>
      <c r="AF457" t="s">
        <v>70</v>
      </c>
    </row>
    <row r="458" spans="1:32">
      <c r="A458">
        <v>1023366</v>
      </c>
      <c r="B458" t="s">
        <v>75</v>
      </c>
      <c r="C458" t="s">
        <v>62</v>
      </c>
      <c r="D458">
        <v>46124</v>
      </c>
      <c r="E458">
        <v>46124</v>
      </c>
      <c r="G458">
        <v>359</v>
      </c>
      <c r="H458" t="s">
        <v>63</v>
      </c>
      <c r="I458">
        <v>7643</v>
      </c>
      <c r="J458">
        <v>92836</v>
      </c>
      <c r="K458">
        <v>3</v>
      </c>
      <c r="L458" t="s">
        <v>821</v>
      </c>
      <c r="M458" t="s">
        <v>65</v>
      </c>
      <c r="N458" t="s">
        <v>66</v>
      </c>
      <c r="O458" s="2">
        <v>46124</v>
      </c>
      <c r="P458" s="1">
        <v>344</v>
      </c>
      <c r="Q458" t="s">
        <v>67</v>
      </c>
      <c r="R458">
        <v>15.96</v>
      </c>
      <c r="S458">
        <v>2.72</v>
      </c>
      <c r="T458">
        <v>0.49</v>
      </c>
      <c r="U458">
        <v>327.55</v>
      </c>
      <c r="V458" s="1">
        <v>0</v>
      </c>
      <c r="X458">
        <v>20260413</v>
      </c>
      <c r="Z458" t="s">
        <v>72</v>
      </c>
      <c r="AA458">
        <v>3974527</v>
      </c>
      <c r="AB458" t="s">
        <v>93</v>
      </c>
      <c r="AC458" t="s">
        <v>120</v>
      </c>
      <c r="AE458">
        <v>0.7584953703703704</v>
      </c>
      <c r="AF458" t="s">
        <v>70</v>
      </c>
    </row>
    <row r="459" spans="1:32">
      <c r="A459">
        <v>1023366</v>
      </c>
      <c r="B459" t="s">
        <v>75</v>
      </c>
      <c r="C459" t="s">
        <v>62</v>
      </c>
      <c r="D459">
        <v>46124</v>
      </c>
      <c r="E459">
        <v>46124</v>
      </c>
      <c r="G459">
        <v>359</v>
      </c>
      <c r="H459" t="s">
        <v>63</v>
      </c>
      <c r="I459">
        <v>7645</v>
      </c>
      <c r="J459">
        <v>100624</v>
      </c>
      <c r="L459" t="s">
        <v>822</v>
      </c>
      <c r="M459" t="s">
        <v>65</v>
      </c>
      <c r="N459" t="s">
        <v>66</v>
      </c>
      <c r="O459" s="2">
        <v>46124</v>
      </c>
      <c r="P459" s="1">
        <v>149</v>
      </c>
      <c r="Q459" t="s">
        <v>67</v>
      </c>
      <c r="R459">
        <v>4.3099999999999996</v>
      </c>
      <c r="S459">
        <v>1.93</v>
      </c>
      <c r="T459">
        <v>0.35</v>
      </c>
      <c r="U459">
        <v>144.34</v>
      </c>
      <c r="V459" s="1">
        <v>14933.21</v>
      </c>
      <c r="W459">
        <v>46125</v>
      </c>
      <c r="X459">
        <v>20260413</v>
      </c>
      <c r="Z459" t="s">
        <v>68</v>
      </c>
      <c r="AA459">
        <v>3974527</v>
      </c>
      <c r="AB459" t="s">
        <v>84</v>
      </c>
      <c r="AE459">
        <v>0.78461805555555553</v>
      </c>
      <c r="AF459" t="s">
        <v>70</v>
      </c>
    </row>
    <row r="460" spans="1:32">
      <c r="A460">
        <v>1023366</v>
      </c>
      <c r="B460" t="s">
        <v>61</v>
      </c>
      <c r="C460" t="s">
        <v>62</v>
      </c>
      <c r="D460">
        <v>46125</v>
      </c>
      <c r="E460">
        <v>46125</v>
      </c>
      <c r="G460">
        <v>360</v>
      </c>
      <c r="H460" t="s">
        <v>63</v>
      </c>
      <c r="I460">
        <v>7744</v>
      </c>
      <c r="J460">
        <v>54434</v>
      </c>
      <c r="L460" t="s">
        <v>823</v>
      </c>
      <c r="M460" t="s">
        <v>96</v>
      </c>
      <c r="N460" t="s">
        <v>66</v>
      </c>
      <c r="O460" s="2">
        <v>46125</v>
      </c>
      <c r="P460" s="1">
        <v>1797</v>
      </c>
      <c r="Q460" t="s">
        <v>67</v>
      </c>
      <c r="R460">
        <v>70.08</v>
      </c>
      <c r="S460">
        <v>34.14</v>
      </c>
      <c r="T460">
        <v>6.15</v>
      </c>
      <c r="U460">
        <v>1720.77</v>
      </c>
      <c r="V460" s="1">
        <v>1720.77</v>
      </c>
      <c r="W460">
        <v>46126</v>
      </c>
      <c r="X460">
        <v>20260414</v>
      </c>
      <c r="Z460" t="s">
        <v>72</v>
      </c>
      <c r="AA460">
        <v>3974527</v>
      </c>
      <c r="AB460" t="s">
        <v>234</v>
      </c>
      <c r="AE460">
        <v>0.85994212962962968</v>
      </c>
      <c r="AF460" t="s">
        <v>70</v>
      </c>
    </row>
    <row r="461" spans="1:32">
      <c r="A461">
        <v>1023366</v>
      </c>
      <c r="B461" t="s">
        <v>75</v>
      </c>
      <c r="C461" t="s">
        <v>62</v>
      </c>
      <c r="D461">
        <v>46125</v>
      </c>
      <c r="E461">
        <v>46125</v>
      </c>
      <c r="G461">
        <v>360</v>
      </c>
      <c r="H461" t="s">
        <v>63</v>
      </c>
      <c r="I461">
        <v>7660</v>
      </c>
      <c r="J461">
        <v>949793</v>
      </c>
      <c r="L461" t="s">
        <v>824</v>
      </c>
      <c r="M461" t="s">
        <v>65</v>
      </c>
      <c r="N461" t="s">
        <v>66</v>
      </c>
      <c r="O461" s="2">
        <v>46125</v>
      </c>
      <c r="P461" s="1">
        <v>89.9</v>
      </c>
      <c r="Q461" t="s">
        <v>67</v>
      </c>
      <c r="R461">
        <v>2.6</v>
      </c>
      <c r="S461">
        <v>1.1599999999999999</v>
      </c>
      <c r="T461">
        <v>0.21</v>
      </c>
      <c r="U461">
        <v>87.09</v>
      </c>
      <c r="V461" s="1">
        <v>0</v>
      </c>
      <c r="X461">
        <v>20260414</v>
      </c>
      <c r="Z461" t="s">
        <v>68</v>
      </c>
      <c r="AA461">
        <v>3974527</v>
      </c>
      <c r="AB461" t="s">
        <v>79</v>
      </c>
      <c r="AE461">
        <v>0.50726851851851851</v>
      </c>
      <c r="AF461" t="s">
        <v>70</v>
      </c>
    </row>
    <row r="462" spans="1:32">
      <c r="A462">
        <v>1023366</v>
      </c>
      <c r="B462" t="s">
        <v>75</v>
      </c>
      <c r="C462" t="s">
        <v>62</v>
      </c>
      <c r="D462">
        <v>46125</v>
      </c>
      <c r="E462">
        <v>46125</v>
      </c>
      <c r="G462">
        <v>360</v>
      </c>
      <c r="H462">
        <v>65656565</v>
      </c>
      <c r="I462">
        <v>7662</v>
      </c>
      <c r="J462">
        <v>945061</v>
      </c>
      <c r="L462" t="s">
        <v>825</v>
      </c>
      <c r="M462" t="s">
        <v>65</v>
      </c>
      <c r="N462" t="s">
        <v>66</v>
      </c>
      <c r="O462" s="2">
        <v>46125</v>
      </c>
      <c r="P462" s="1">
        <v>30</v>
      </c>
      <c r="Q462" t="s">
        <v>67</v>
      </c>
      <c r="R462">
        <v>0.86</v>
      </c>
      <c r="S462">
        <v>0.38</v>
      </c>
      <c r="T462">
        <v>7.0000000000000007E-2</v>
      </c>
      <c r="U462">
        <v>29.07</v>
      </c>
      <c r="V462" s="1">
        <v>0</v>
      </c>
      <c r="X462">
        <v>20260414</v>
      </c>
      <c r="Z462" t="s">
        <v>68</v>
      </c>
      <c r="AA462">
        <v>3974527</v>
      </c>
      <c r="AB462" t="s">
        <v>79</v>
      </c>
      <c r="AD462" t="s">
        <v>88</v>
      </c>
      <c r="AE462">
        <v>0.53003472222222225</v>
      </c>
      <c r="AF462" t="s">
        <v>70</v>
      </c>
    </row>
    <row r="463" spans="1:32">
      <c r="A463">
        <v>1023366</v>
      </c>
      <c r="B463" t="s">
        <v>75</v>
      </c>
      <c r="C463" t="s">
        <v>62</v>
      </c>
      <c r="D463">
        <v>46125</v>
      </c>
      <c r="E463">
        <v>46125</v>
      </c>
      <c r="G463">
        <v>360</v>
      </c>
      <c r="H463" t="s">
        <v>63</v>
      </c>
      <c r="I463">
        <v>7665</v>
      </c>
      <c r="J463">
        <v>69945</v>
      </c>
      <c r="L463" t="s">
        <v>826</v>
      </c>
      <c r="M463" t="s">
        <v>65</v>
      </c>
      <c r="N463" t="s">
        <v>66</v>
      </c>
      <c r="O463" s="2">
        <v>46125</v>
      </c>
      <c r="P463" s="1">
        <v>949</v>
      </c>
      <c r="Q463" t="s">
        <v>67</v>
      </c>
      <c r="R463">
        <v>27.43</v>
      </c>
      <c r="S463">
        <v>5.6</v>
      </c>
      <c r="T463">
        <v>1.01</v>
      </c>
      <c r="U463">
        <v>920.56</v>
      </c>
      <c r="V463" s="1">
        <v>0</v>
      </c>
      <c r="X463">
        <v>20260414</v>
      </c>
      <c r="Z463" t="s">
        <v>72</v>
      </c>
      <c r="AA463">
        <v>3974527</v>
      </c>
      <c r="AB463" t="s">
        <v>84</v>
      </c>
      <c r="AE463">
        <v>0.55019675925925926</v>
      </c>
      <c r="AF463" t="s">
        <v>70</v>
      </c>
    </row>
    <row r="464" spans="1:32">
      <c r="A464">
        <v>1023366</v>
      </c>
      <c r="B464" t="s">
        <v>75</v>
      </c>
      <c r="C464" t="s">
        <v>62</v>
      </c>
      <c r="D464">
        <v>46125</v>
      </c>
      <c r="E464">
        <v>46125</v>
      </c>
      <c r="G464">
        <v>360</v>
      </c>
      <c r="H464" t="s">
        <v>63</v>
      </c>
      <c r="I464">
        <v>7667</v>
      </c>
      <c r="J464">
        <v>210151</v>
      </c>
      <c r="L464" t="s">
        <v>827</v>
      </c>
      <c r="M464" t="s">
        <v>65</v>
      </c>
      <c r="N464" t="s">
        <v>66</v>
      </c>
      <c r="O464" s="2">
        <v>46125</v>
      </c>
      <c r="P464" s="1">
        <v>37.25</v>
      </c>
      <c r="Q464" t="s">
        <v>67</v>
      </c>
      <c r="R464">
        <v>1.08</v>
      </c>
      <c r="S464">
        <v>0.22</v>
      </c>
      <c r="T464">
        <v>0.04</v>
      </c>
      <c r="U464">
        <v>36.130000000000003</v>
      </c>
      <c r="V464" s="1">
        <v>0</v>
      </c>
      <c r="X464">
        <v>20260414</v>
      </c>
      <c r="Z464" t="s">
        <v>72</v>
      </c>
      <c r="AA464">
        <v>3974527</v>
      </c>
      <c r="AB464" t="s">
        <v>77</v>
      </c>
      <c r="AE464">
        <v>0.55615740740740738</v>
      </c>
      <c r="AF464" t="s">
        <v>70</v>
      </c>
    </row>
    <row r="465" spans="1:32">
      <c r="A465">
        <v>1023366</v>
      </c>
      <c r="B465" t="s">
        <v>75</v>
      </c>
      <c r="C465" t="s">
        <v>62</v>
      </c>
      <c r="D465">
        <v>46125</v>
      </c>
      <c r="E465">
        <v>46125</v>
      </c>
      <c r="G465">
        <v>360</v>
      </c>
      <c r="H465" t="s">
        <v>63</v>
      </c>
      <c r="I465">
        <v>7669</v>
      </c>
      <c r="J465">
        <v>7931</v>
      </c>
      <c r="L465" t="s">
        <v>828</v>
      </c>
      <c r="M465" t="s">
        <v>65</v>
      </c>
      <c r="N465" t="s">
        <v>66</v>
      </c>
      <c r="O465" s="2">
        <v>46125</v>
      </c>
      <c r="P465" s="1">
        <v>149</v>
      </c>
      <c r="Q465" t="s">
        <v>67</v>
      </c>
      <c r="R465">
        <v>4.3099999999999996</v>
      </c>
      <c r="S465">
        <v>0.88</v>
      </c>
      <c r="T465">
        <v>0.16</v>
      </c>
      <c r="U465">
        <v>144.53</v>
      </c>
      <c r="V465" s="1">
        <v>0</v>
      </c>
      <c r="X465">
        <v>20260414</v>
      </c>
      <c r="Z465" t="s">
        <v>72</v>
      </c>
      <c r="AA465">
        <v>3974527</v>
      </c>
      <c r="AB465" t="s">
        <v>93</v>
      </c>
      <c r="AE465">
        <v>0.55782407407407408</v>
      </c>
      <c r="AF465" t="s">
        <v>70</v>
      </c>
    </row>
    <row r="466" spans="1:32">
      <c r="A466">
        <v>1023366</v>
      </c>
      <c r="B466" t="s">
        <v>75</v>
      </c>
      <c r="C466" t="s">
        <v>62</v>
      </c>
      <c r="D466">
        <v>46125</v>
      </c>
      <c r="E466">
        <v>46125</v>
      </c>
      <c r="G466">
        <v>360</v>
      </c>
      <c r="H466" t="s">
        <v>63</v>
      </c>
      <c r="I466">
        <v>7671</v>
      </c>
      <c r="J466">
        <v>77384</v>
      </c>
      <c r="L466" t="s">
        <v>829</v>
      </c>
      <c r="M466" t="s">
        <v>65</v>
      </c>
      <c r="N466" t="s">
        <v>66</v>
      </c>
      <c r="O466" s="2">
        <v>46125</v>
      </c>
      <c r="P466" s="1">
        <v>179</v>
      </c>
      <c r="Q466" t="s">
        <v>67</v>
      </c>
      <c r="R466">
        <v>5.17</v>
      </c>
      <c r="S466">
        <v>2.31</v>
      </c>
      <c r="T466">
        <v>0.42</v>
      </c>
      <c r="U466">
        <v>173.41</v>
      </c>
      <c r="V466" s="1">
        <v>0</v>
      </c>
      <c r="X466">
        <v>20260414</v>
      </c>
      <c r="Z466" t="s">
        <v>68</v>
      </c>
      <c r="AA466">
        <v>3974527</v>
      </c>
      <c r="AB466" t="s">
        <v>81</v>
      </c>
      <c r="AE466">
        <v>0.56039351851851849</v>
      </c>
      <c r="AF466" t="s">
        <v>70</v>
      </c>
    </row>
    <row r="467" spans="1:32">
      <c r="A467">
        <v>1023366</v>
      </c>
      <c r="B467" t="s">
        <v>75</v>
      </c>
      <c r="C467" t="s">
        <v>62</v>
      </c>
      <c r="D467">
        <v>46125</v>
      </c>
      <c r="E467">
        <v>46125</v>
      </c>
      <c r="G467">
        <v>360</v>
      </c>
      <c r="H467" t="s">
        <v>63</v>
      </c>
      <c r="I467">
        <v>7673</v>
      </c>
      <c r="J467">
        <v>181063</v>
      </c>
      <c r="L467" t="s">
        <v>830</v>
      </c>
      <c r="M467" t="s">
        <v>65</v>
      </c>
      <c r="N467" t="s">
        <v>66</v>
      </c>
      <c r="O467" s="2">
        <v>46125</v>
      </c>
      <c r="P467" s="1">
        <v>129</v>
      </c>
      <c r="Q467" t="s">
        <v>67</v>
      </c>
      <c r="R467">
        <v>3.73</v>
      </c>
      <c r="S467">
        <v>1.02</v>
      </c>
      <c r="T467">
        <v>0.18</v>
      </c>
      <c r="U467">
        <v>125.09</v>
      </c>
      <c r="V467" s="1">
        <v>0</v>
      </c>
      <c r="X467">
        <v>20260414</v>
      </c>
      <c r="Z467" t="s">
        <v>72</v>
      </c>
      <c r="AA467">
        <v>3974527</v>
      </c>
      <c r="AB467" t="s">
        <v>93</v>
      </c>
      <c r="AE467">
        <v>0.59436342592592595</v>
      </c>
      <c r="AF467" t="s">
        <v>70</v>
      </c>
    </row>
    <row r="468" spans="1:32">
      <c r="A468">
        <v>1023366</v>
      </c>
      <c r="B468" t="s">
        <v>75</v>
      </c>
      <c r="C468" t="s">
        <v>62</v>
      </c>
      <c r="D468">
        <v>46125</v>
      </c>
      <c r="E468">
        <v>46125</v>
      </c>
      <c r="G468">
        <v>360</v>
      </c>
      <c r="H468" t="s">
        <v>63</v>
      </c>
      <c r="I468">
        <v>7676</v>
      </c>
      <c r="J468">
        <v>187644</v>
      </c>
      <c r="L468" t="s">
        <v>831</v>
      </c>
      <c r="M468" t="s">
        <v>65</v>
      </c>
      <c r="N468" t="s">
        <v>66</v>
      </c>
      <c r="O468" s="2">
        <v>46125</v>
      </c>
      <c r="P468" s="1">
        <v>35</v>
      </c>
      <c r="Q468" t="s">
        <v>67</v>
      </c>
      <c r="R468">
        <v>1.01</v>
      </c>
      <c r="S468">
        <v>0.2</v>
      </c>
      <c r="T468">
        <v>0.04</v>
      </c>
      <c r="U468">
        <v>33.950000000000003</v>
      </c>
      <c r="V468" s="1">
        <v>0</v>
      </c>
      <c r="X468">
        <v>20260414</v>
      </c>
      <c r="Z468" t="s">
        <v>72</v>
      </c>
      <c r="AA468">
        <v>3974527</v>
      </c>
      <c r="AB468" t="s">
        <v>93</v>
      </c>
      <c r="AE468">
        <v>0.59574074074074079</v>
      </c>
      <c r="AF468" t="s">
        <v>70</v>
      </c>
    </row>
    <row r="469" spans="1:32">
      <c r="A469">
        <v>1023366</v>
      </c>
      <c r="B469" t="s">
        <v>75</v>
      </c>
      <c r="C469" t="s">
        <v>62</v>
      </c>
      <c r="D469">
        <v>46125</v>
      </c>
      <c r="E469">
        <v>46125</v>
      </c>
      <c r="G469">
        <v>360</v>
      </c>
      <c r="H469" t="s">
        <v>63</v>
      </c>
      <c r="I469">
        <v>7678</v>
      </c>
      <c r="J469">
        <v>122382</v>
      </c>
      <c r="L469" t="s">
        <v>832</v>
      </c>
      <c r="M469" t="s">
        <v>65</v>
      </c>
      <c r="N469" t="s">
        <v>66</v>
      </c>
      <c r="O469" s="2">
        <v>46125</v>
      </c>
      <c r="P469" s="1">
        <v>35</v>
      </c>
      <c r="Q469" t="s">
        <v>67</v>
      </c>
      <c r="R469">
        <v>1.01</v>
      </c>
      <c r="S469">
        <v>0.45</v>
      </c>
      <c r="T469">
        <v>0.08</v>
      </c>
      <c r="U469">
        <v>33.909999999999997</v>
      </c>
      <c r="V469" s="1">
        <v>0</v>
      </c>
      <c r="X469">
        <v>20260414</v>
      </c>
      <c r="Z469" t="s">
        <v>68</v>
      </c>
      <c r="AA469">
        <v>3974527</v>
      </c>
      <c r="AB469" t="s">
        <v>79</v>
      </c>
      <c r="AE469">
        <v>0.60335648148148147</v>
      </c>
      <c r="AF469" t="s">
        <v>70</v>
      </c>
    </row>
    <row r="470" spans="1:32">
      <c r="A470">
        <v>1023366</v>
      </c>
      <c r="B470" t="s">
        <v>75</v>
      </c>
      <c r="C470" t="s">
        <v>62</v>
      </c>
      <c r="D470">
        <v>46125</v>
      </c>
      <c r="E470">
        <v>46125</v>
      </c>
      <c r="G470">
        <v>360</v>
      </c>
      <c r="H470" t="s">
        <v>63</v>
      </c>
      <c r="I470">
        <v>7680</v>
      </c>
      <c r="J470">
        <v>2193</v>
      </c>
      <c r="L470" t="s">
        <v>833</v>
      </c>
      <c r="M470" t="s">
        <v>65</v>
      </c>
      <c r="N470" t="s">
        <v>66</v>
      </c>
      <c r="O470" s="2">
        <v>46125</v>
      </c>
      <c r="P470" s="1">
        <v>89.9</v>
      </c>
      <c r="Q470" t="s">
        <v>67</v>
      </c>
      <c r="R470">
        <v>2.6</v>
      </c>
      <c r="S470">
        <v>0.71</v>
      </c>
      <c r="T470">
        <v>0.13</v>
      </c>
      <c r="U470">
        <v>87.17</v>
      </c>
      <c r="V470" s="1">
        <v>0</v>
      </c>
      <c r="X470">
        <v>20260414</v>
      </c>
      <c r="Z470" t="s">
        <v>72</v>
      </c>
      <c r="AA470">
        <v>3974527</v>
      </c>
      <c r="AB470" t="s">
        <v>79</v>
      </c>
      <c r="AE470">
        <v>0.62834490740740745</v>
      </c>
      <c r="AF470" t="s">
        <v>70</v>
      </c>
    </row>
    <row r="471" spans="1:32">
      <c r="A471">
        <v>1023366</v>
      </c>
      <c r="B471" t="s">
        <v>75</v>
      </c>
      <c r="C471" t="s">
        <v>62</v>
      </c>
      <c r="D471">
        <v>46125</v>
      </c>
      <c r="E471">
        <v>46125</v>
      </c>
      <c r="G471">
        <v>360</v>
      </c>
      <c r="H471" t="s">
        <v>63</v>
      </c>
      <c r="I471">
        <v>7682</v>
      </c>
      <c r="J471">
        <v>271452</v>
      </c>
      <c r="L471" t="s">
        <v>834</v>
      </c>
      <c r="M471" t="s">
        <v>65</v>
      </c>
      <c r="N471" t="s">
        <v>66</v>
      </c>
      <c r="O471" s="2">
        <v>46125</v>
      </c>
      <c r="P471" s="1">
        <v>229</v>
      </c>
      <c r="Q471" t="s">
        <v>67</v>
      </c>
      <c r="R471">
        <v>6.62</v>
      </c>
      <c r="S471">
        <v>2.96</v>
      </c>
      <c r="T471">
        <v>0.53</v>
      </c>
      <c r="U471">
        <v>221.85</v>
      </c>
      <c r="V471" s="1">
        <v>0</v>
      </c>
      <c r="X471">
        <v>20260414</v>
      </c>
      <c r="Z471" t="s">
        <v>68</v>
      </c>
      <c r="AA471">
        <v>3974527</v>
      </c>
      <c r="AB471" t="s">
        <v>79</v>
      </c>
      <c r="AE471">
        <v>0.64599537037037036</v>
      </c>
      <c r="AF471" t="s">
        <v>70</v>
      </c>
    </row>
    <row r="472" spans="1:32">
      <c r="A472">
        <v>1023366</v>
      </c>
      <c r="B472" t="s">
        <v>75</v>
      </c>
      <c r="C472" t="s">
        <v>62</v>
      </c>
      <c r="D472">
        <v>46125</v>
      </c>
      <c r="E472">
        <v>46125</v>
      </c>
      <c r="G472">
        <v>360</v>
      </c>
      <c r="H472" t="s">
        <v>63</v>
      </c>
      <c r="I472">
        <v>7685</v>
      </c>
      <c r="J472">
        <v>3827</v>
      </c>
      <c r="L472" t="s">
        <v>835</v>
      </c>
      <c r="M472" t="s">
        <v>96</v>
      </c>
      <c r="N472" t="s">
        <v>66</v>
      </c>
      <c r="O472" s="2">
        <v>46125</v>
      </c>
      <c r="P472" s="1">
        <v>5899</v>
      </c>
      <c r="Q472" t="s">
        <v>67</v>
      </c>
      <c r="R472">
        <v>230.06</v>
      </c>
      <c r="S472">
        <v>113.26</v>
      </c>
      <c r="T472">
        <v>20.39</v>
      </c>
      <c r="U472">
        <v>5648.55</v>
      </c>
      <c r="V472" s="1">
        <v>0</v>
      </c>
      <c r="X472">
        <v>20260414</v>
      </c>
      <c r="Z472" t="s">
        <v>72</v>
      </c>
      <c r="AA472">
        <v>3974527</v>
      </c>
      <c r="AB472" t="s">
        <v>97</v>
      </c>
      <c r="AE472">
        <v>0.64922453703703709</v>
      </c>
      <c r="AF472" t="s">
        <v>70</v>
      </c>
    </row>
    <row r="473" spans="1:32">
      <c r="A473">
        <v>1023366</v>
      </c>
      <c r="B473" t="s">
        <v>75</v>
      </c>
      <c r="C473" t="s">
        <v>62</v>
      </c>
      <c r="D473">
        <v>46125</v>
      </c>
      <c r="E473">
        <v>46125</v>
      </c>
      <c r="G473">
        <v>360</v>
      </c>
      <c r="H473" t="s">
        <v>63</v>
      </c>
      <c r="I473">
        <v>7691</v>
      </c>
      <c r="J473">
        <v>435889</v>
      </c>
      <c r="L473" t="s">
        <v>836</v>
      </c>
      <c r="M473" t="s">
        <v>65</v>
      </c>
      <c r="N473" t="s">
        <v>66</v>
      </c>
      <c r="O473" s="2">
        <v>46125</v>
      </c>
      <c r="P473" s="1">
        <v>89</v>
      </c>
      <c r="Q473" t="s">
        <v>67</v>
      </c>
      <c r="R473">
        <v>2.57</v>
      </c>
      <c r="S473">
        <v>0.7</v>
      </c>
      <c r="T473">
        <v>0.13</v>
      </c>
      <c r="U473">
        <v>86.3</v>
      </c>
      <c r="V473" s="1">
        <v>0</v>
      </c>
      <c r="X473">
        <v>20260414</v>
      </c>
      <c r="Z473" t="s">
        <v>72</v>
      </c>
      <c r="AA473">
        <v>3974527</v>
      </c>
      <c r="AB473" t="s">
        <v>93</v>
      </c>
      <c r="AE473">
        <v>0.65666666666666662</v>
      </c>
      <c r="AF473" t="s">
        <v>70</v>
      </c>
    </row>
    <row r="474" spans="1:32">
      <c r="A474">
        <v>1023366</v>
      </c>
      <c r="B474" t="s">
        <v>75</v>
      </c>
      <c r="C474" t="s">
        <v>62</v>
      </c>
      <c r="D474">
        <v>46125</v>
      </c>
      <c r="E474">
        <v>46125</v>
      </c>
      <c r="G474">
        <v>360</v>
      </c>
      <c r="H474" t="s">
        <v>63</v>
      </c>
      <c r="I474">
        <v>7693</v>
      </c>
      <c r="J474">
        <v>457924</v>
      </c>
      <c r="L474" t="s">
        <v>837</v>
      </c>
      <c r="M474" t="s">
        <v>65</v>
      </c>
      <c r="N474" t="s">
        <v>66</v>
      </c>
      <c r="O474" s="2">
        <v>46125</v>
      </c>
      <c r="P474" s="1">
        <v>89.9</v>
      </c>
      <c r="Q474" t="s">
        <v>67</v>
      </c>
      <c r="R474">
        <v>2.6</v>
      </c>
      <c r="S474">
        <v>1.1599999999999999</v>
      </c>
      <c r="T474">
        <v>0.21</v>
      </c>
      <c r="U474">
        <v>87.09</v>
      </c>
      <c r="V474" s="1">
        <v>0</v>
      </c>
      <c r="X474">
        <v>20260414</v>
      </c>
      <c r="Z474" t="s">
        <v>68</v>
      </c>
      <c r="AA474">
        <v>3974527</v>
      </c>
      <c r="AB474" t="s">
        <v>93</v>
      </c>
      <c r="AE474">
        <v>0.66200231481481486</v>
      </c>
      <c r="AF474" t="s">
        <v>70</v>
      </c>
    </row>
    <row r="475" spans="1:32">
      <c r="A475">
        <v>1023366</v>
      </c>
      <c r="B475" t="s">
        <v>75</v>
      </c>
      <c r="C475" t="s">
        <v>62</v>
      </c>
      <c r="D475">
        <v>46125</v>
      </c>
      <c r="E475">
        <v>46125</v>
      </c>
      <c r="G475">
        <v>360</v>
      </c>
      <c r="H475" t="s">
        <v>63</v>
      </c>
      <c r="I475">
        <v>7698</v>
      </c>
      <c r="J475">
        <v>385655</v>
      </c>
      <c r="L475" t="s">
        <v>838</v>
      </c>
      <c r="M475" t="s">
        <v>65</v>
      </c>
      <c r="N475" t="s">
        <v>66</v>
      </c>
      <c r="O475" s="2">
        <v>46125</v>
      </c>
      <c r="P475" s="1">
        <v>379</v>
      </c>
      <c r="Q475" t="s">
        <v>67</v>
      </c>
      <c r="R475">
        <v>10.95</v>
      </c>
      <c r="S475">
        <v>4.8899999999999997</v>
      </c>
      <c r="T475">
        <v>0.88</v>
      </c>
      <c r="U475">
        <v>367.17</v>
      </c>
      <c r="V475" s="1">
        <v>0</v>
      </c>
      <c r="X475">
        <v>20260414</v>
      </c>
      <c r="Z475" t="s">
        <v>68</v>
      </c>
      <c r="AA475">
        <v>3974527</v>
      </c>
      <c r="AB475" t="s">
        <v>79</v>
      </c>
      <c r="AE475">
        <v>0.67884259259259261</v>
      </c>
      <c r="AF475" t="s">
        <v>70</v>
      </c>
    </row>
    <row r="476" spans="1:32">
      <c r="A476">
        <v>1023366</v>
      </c>
      <c r="B476" t="s">
        <v>75</v>
      </c>
      <c r="C476" t="s">
        <v>62</v>
      </c>
      <c r="D476">
        <v>46125</v>
      </c>
      <c r="E476">
        <v>46125</v>
      </c>
      <c r="G476">
        <v>360</v>
      </c>
      <c r="H476">
        <v>65656565</v>
      </c>
      <c r="I476">
        <v>7700</v>
      </c>
      <c r="J476">
        <v>398340</v>
      </c>
      <c r="L476" t="s">
        <v>839</v>
      </c>
      <c r="M476" t="s">
        <v>65</v>
      </c>
      <c r="N476" t="s">
        <v>66</v>
      </c>
      <c r="O476" s="2">
        <v>46125</v>
      </c>
      <c r="P476" s="1">
        <v>55</v>
      </c>
      <c r="Q476" t="s">
        <v>67</v>
      </c>
      <c r="R476">
        <v>1.58</v>
      </c>
      <c r="S476">
        <v>0.7</v>
      </c>
      <c r="T476">
        <v>0.13</v>
      </c>
      <c r="U476">
        <v>53.29</v>
      </c>
      <c r="V476" s="1">
        <v>0</v>
      </c>
      <c r="X476">
        <v>20260414</v>
      </c>
      <c r="Z476" t="s">
        <v>68</v>
      </c>
      <c r="AA476">
        <v>3974527</v>
      </c>
      <c r="AB476" t="s">
        <v>79</v>
      </c>
      <c r="AD476" t="s">
        <v>88</v>
      </c>
      <c r="AE476">
        <v>0.68467592592592597</v>
      </c>
      <c r="AF476" t="s">
        <v>70</v>
      </c>
    </row>
    <row r="477" spans="1:32">
      <c r="A477">
        <v>1023366</v>
      </c>
      <c r="B477" t="s">
        <v>75</v>
      </c>
      <c r="C477" t="s">
        <v>62</v>
      </c>
      <c r="D477">
        <v>46125</v>
      </c>
      <c r="E477">
        <v>46125</v>
      </c>
      <c r="G477">
        <v>360</v>
      </c>
      <c r="H477" t="s">
        <v>63</v>
      </c>
      <c r="I477">
        <v>7703</v>
      </c>
      <c r="J477">
        <v>258947</v>
      </c>
      <c r="L477" t="s">
        <v>840</v>
      </c>
      <c r="M477" t="s">
        <v>65</v>
      </c>
      <c r="N477" t="s">
        <v>66</v>
      </c>
      <c r="O477" s="2">
        <v>46125</v>
      </c>
      <c r="P477" s="1">
        <v>89.9</v>
      </c>
      <c r="Q477" t="s">
        <v>67</v>
      </c>
      <c r="R477">
        <v>2.6</v>
      </c>
      <c r="S477">
        <v>0.53</v>
      </c>
      <c r="T477">
        <v>0.1</v>
      </c>
      <c r="U477">
        <v>87.2</v>
      </c>
      <c r="V477" s="1">
        <v>0</v>
      </c>
      <c r="X477">
        <v>20260414</v>
      </c>
      <c r="Z477" t="s">
        <v>72</v>
      </c>
      <c r="AA477">
        <v>3974527</v>
      </c>
      <c r="AB477" t="s">
        <v>106</v>
      </c>
      <c r="AE477">
        <v>0.708587962962963</v>
      </c>
      <c r="AF477" t="s">
        <v>70</v>
      </c>
    </row>
    <row r="478" spans="1:32">
      <c r="A478">
        <v>1023366</v>
      </c>
      <c r="B478" t="s">
        <v>75</v>
      </c>
      <c r="C478" t="s">
        <v>62</v>
      </c>
      <c r="D478">
        <v>46125</v>
      </c>
      <c r="E478">
        <v>46125</v>
      </c>
      <c r="G478">
        <v>360</v>
      </c>
      <c r="H478" t="s">
        <v>63</v>
      </c>
      <c r="I478">
        <v>7706</v>
      </c>
      <c r="J478">
        <v>813201</v>
      </c>
      <c r="L478" t="s">
        <v>841</v>
      </c>
      <c r="M478" t="s">
        <v>65</v>
      </c>
      <c r="N478" t="s">
        <v>66</v>
      </c>
      <c r="O478" s="2">
        <v>46125</v>
      </c>
      <c r="P478" s="1">
        <v>89</v>
      </c>
      <c r="Q478" t="s">
        <v>67</v>
      </c>
      <c r="R478">
        <v>2.57</v>
      </c>
      <c r="S478">
        <v>0.34</v>
      </c>
      <c r="T478">
        <v>0.06</v>
      </c>
      <c r="U478">
        <v>86.37</v>
      </c>
      <c r="V478" s="1">
        <v>0</v>
      </c>
      <c r="X478">
        <v>20260414</v>
      </c>
      <c r="Z478" t="s">
        <v>72</v>
      </c>
      <c r="AA478">
        <v>3974527</v>
      </c>
      <c r="AB478" t="s">
        <v>81</v>
      </c>
      <c r="AE478">
        <v>0.74010416666666667</v>
      </c>
      <c r="AF478" t="s">
        <v>70</v>
      </c>
    </row>
    <row r="479" spans="1:32">
      <c r="A479">
        <v>1023366</v>
      </c>
      <c r="B479" t="s">
        <v>75</v>
      </c>
      <c r="C479" t="s">
        <v>62</v>
      </c>
      <c r="D479">
        <v>46125</v>
      </c>
      <c r="E479">
        <v>46125</v>
      </c>
      <c r="G479">
        <v>360</v>
      </c>
      <c r="H479" t="s">
        <v>63</v>
      </c>
      <c r="I479">
        <v>7708</v>
      </c>
      <c r="J479">
        <v>857331</v>
      </c>
      <c r="L479" t="s">
        <v>842</v>
      </c>
      <c r="M479" t="s">
        <v>65</v>
      </c>
      <c r="N479" t="s">
        <v>66</v>
      </c>
      <c r="O479" s="2">
        <v>46125</v>
      </c>
      <c r="P479" s="1">
        <v>269</v>
      </c>
      <c r="Q479" t="s">
        <v>67</v>
      </c>
      <c r="R479">
        <v>7.77</v>
      </c>
      <c r="S479">
        <v>1.58</v>
      </c>
      <c r="T479">
        <v>0.28000000000000003</v>
      </c>
      <c r="U479">
        <v>260.95</v>
      </c>
      <c r="V479" s="1">
        <v>0</v>
      </c>
      <c r="X479">
        <v>20260414</v>
      </c>
      <c r="Z479" t="s">
        <v>72</v>
      </c>
      <c r="AA479">
        <v>3974527</v>
      </c>
      <c r="AB479" t="s">
        <v>93</v>
      </c>
      <c r="AE479">
        <v>0.74857638888888889</v>
      </c>
      <c r="AF479" t="s">
        <v>70</v>
      </c>
    </row>
    <row r="480" spans="1:32">
      <c r="A480">
        <v>1023366</v>
      </c>
      <c r="B480" t="s">
        <v>75</v>
      </c>
      <c r="C480" t="s">
        <v>62</v>
      </c>
      <c r="D480">
        <v>46125</v>
      </c>
      <c r="E480">
        <v>46125</v>
      </c>
      <c r="G480">
        <v>360</v>
      </c>
      <c r="H480" t="s">
        <v>63</v>
      </c>
      <c r="I480">
        <v>7710</v>
      </c>
      <c r="J480">
        <v>962378</v>
      </c>
      <c r="K480">
        <v>3</v>
      </c>
      <c r="L480" t="s">
        <v>843</v>
      </c>
      <c r="M480" t="s">
        <v>65</v>
      </c>
      <c r="N480" t="s">
        <v>66</v>
      </c>
      <c r="O480" s="2">
        <v>46125</v>
      </c>
      <c r="P480" s="1">
        <v>349</v>
      </c>
      <c r="Q480" t="s">
        <v>67</v>
      </c>
      <c r="R480">
        <v>16.2</v>
      </c>
      <c r="S480">
        <v>2.06</v>
      </c>
      <c r="T480">
        <v>0.37</v>
      </c>
      <c r="U480">
        <v>332.43</v>
      </c>
      <c r="V480" s="1">
        <v>0</v>
      </c>
      <c r="X480">
        <v>20260414</v>
      </c>
      <c r="Z480" t="s">
        <v>72</v>
      </c>
      <c r="AA480">
        <v>3974527</v>
      </c>
      <c r="AB480" t="s">
        <v>93</v>
      </c>
      <c r="AC480" t="s">
        <v>120</v>
      </c>
      <c r="AE480">
        <v>0.76751157407407411</v>
      </c>
      <c r="AF480" t="s">
        <v>70</v>
      </c>
    </row>
    <row r="481" spans="1:32">
      <c r="A481">
        <v>1023366</v>
      </c>
      <c r="B481" t="s">
        <v>75</v>
      </c>
      <c r="C481" t="s">
        <v>62</v>
      </c>
      <c r="D481">
        <v>46125</v>
      </c>
      <c r="E481">
        <v>46125</v>
      </c>
      <c r="G481">
        <v>360</v>
      </c>
      <c r="H481" t="s">
        <v>63</v>
      </c>
      <c r="I481">
        <v>7713</v>
      </c>
      <c r="J481">
        <v>972849</v>
      </c>
      <c r="L481" t="s">
        <v>844</v>
      </c>
      <c r="M481" t="s">
        <v>65</v>
      </c>
      <c r="N481" t="s">
        <v>66</v>
      </c>
      <c r="O481" s="2">
        <v>46125</v>
      </c>
      <c r="P481" s="1">
        <v>149</v>
      </c>
      <c r="Q481" t="s">
        <v>67</v>
      </c>
      <c r="R481">
        <v>4.3099999999999996</v>
      </c>
      <c r="S481">
        <v>1.93</v>
      </c>
      <c r="T481">
        <v>0.35</v>
      </c>
      <c r="U481">
        <v>144.34</v>
      </c>
      <c r="V481" s="1">
        <v>0</v>
      </c>
      <c r="X481">
        <v>20260414</v>
      </c>
      <c r="Z481" t="s">
        <v>68</v>
      </c>
      <c r="AA481">
        <v>3974527</v>
      </c>
      <c r="AB481" t="s">
        <v>81</v>
      </c>
      <c r="AE481">
        <v>0.76936342592592588</v>
      </c>
      <c r="AF481" t="s">
        <v>70</v>
      </c>
    </row>
    <row r="482" spans="1:32">
      <c r="A482">
        <v>1023366</v>
      </c>
      <c r="B482" t="s">
        <v>75</v>
      </c>
      <c r="C482" t="s">
        <v>62</v>
      </c>
      <c r="D482">
        <v>46125</v>
      </c>
      <c r="E482">
        <v>46125</v>
      </c>
      <c r="G482">
        <v>360</v>
      </c>
      <c r="H482" t="s">
        <v>63</v>
      </c>
      <c r="I482">
        <v>7715</v>
      </c>
      <c r="J482">
        <v>6494</v>
      </c>
      <c r="L482" t="s">
        <v>845</v>
      </c>
      <c r="M482" t="s">
        <v>65</v>
      </c>
      <c r="N482" t="s">
        <v>66</v>
      </c>
      <c r="O482" s="2">
        <v>46125</v>
      </c>
      <c r="P482" s="1">
        <v>149</v>
      </c>
      <c r="Q482" t="s">
        <v>67</v>
      </c>
      <c r="R482">
        <v>4.3099999999999996</v>
      </c>
      <c r="S482">
        <v>0.88</v>
      </c>
      <c r="T482">
        <v>0.16</v>
      </c>
      <c r="U482">
        <v>144.53</v>
      </c>
      <c r="V482" s="1">
        <v>0</v>
      </c>
      <c r="X482">
        <v>20260414</v>
      </c>
      <c r="Z482" t="s">
        <v>72</v>
      </c>
      <c r="AA482">
        <v>3974527</v>
      </c>
      <c r="AB482" t="s">
        <v>79</v>
      </c>
      <c r="AE482">
        <v>0.77547453703703706</v>
      </c>
      <c r="AF482" t="s">
        <v>70</v>
      </c>
    </row>
    <row r="483" spans="1:32">
      <c r="A483">
        <v>1023366</v>
      </c>
      <c r="B483" t="s">
        <v>75</v>
      </c>
      <c r="C483" t="s">
        <v>62</v>
      </c>
      <c r="D483">
        <v>46125</v>
      </c>
      <c r="E483">
        <v>46125</v>
      </c>
      <c r="G483">
        <v>360</v>
      </c>
      <c r="H483" t="s">
        <v>63</v>
      </c>
      <c r="I483">
        <v>7717</v>
      </c>
      <c r="J483">
        <v>621239</v>
      </c>
      <c r="L483" t="s">
        <v>846</v>
      </c>
      <c r="M483" t="s">
        <v>65</v>
      </c>
      <c r="N483" t="s">
        <v>66</v>
      </c>
      <c r="O483" s="2">
        <v>46125</v>
      </c>
      <c r="P483" s="1">
        <v>35</v>
      </c>
      <c r="Q483" t="s">
        <v>67</v>
      </c>
      <c r="R483">
        <v>1.01</v>
      </c>
      <c r="S483">
        <v>0.45</v>
      </c>
      <c r="T483">
        <v>0.08</v>
      </c>
      <c r="U483">
        <v>33.909999999999997</v>
      </c>
      <c r="V483" s="1">
        <v>0</v>
      </c>
      <c r="X483">
        <v>20260414</v>
      </c>
      <c r="Z483" t="s">
        <v>68</v>
      </c>
      <c r="AA483">
        <v>3974527</v>
      </c>
      <c r="AB483" t="s">
        <v>79</v>
      </c>
      <c r="AE483">
        <v>0.78981481481481486</v>
      </c>
      <c r="AF483" t="s">
        <v>70</v>
      </c>
    </row>
    <row r="484" spans="1:32">
      <c r="A484">
        <v>1023366</v>
      </c>
      <c r="B484" t="s">
        <v>75</v>
      </c>
      <c r="C484" t="s">
        <v>62</v>
      </c>
      <c r="D484">
        <v>46125</v>
      </c>
      <c r="E484">
        <v>46125</v>
      </c>
      <c r="G484">
        <v>360</v>
      </c>
      <c r="H484" t="s">
        <v>63</v>
      </c>
      <c r="I484">
        <v>7722</v>
      </c>
      <c r="J484">
        <v>596098</v>
      </c>
      <c r="L484" t="s">
        <v>847</v>
      </c>
      <c r="M484" t="s">
        <v>96</v>
      </c>
      <c r="N484" t="s">
        <v>66</v>
      </c>
      <c r="O484" s="2">
        <v>46125</v>
      </c>
      <c r="P484" s="1">
        <v>69</v>
      </c>
      <c r="Q484" t="s">
        <v>67</v>
      </c>
      <c r="R484">
        <v>2.69</v>
      </c>
      <c r="S484">
        <v>1.42</v>
      </c>
      <c r="T484">
        <v>0.26</v>
      </c>
      <c r="U484">
        <v>66.05</v>
      </c>
      <c r="V484" s="1">
        <v>0</v>
      </c>
      <c r="X484">
        <v>20260414</v>
      </c>
      <c r="Z484" t="s">
        <v>72</v>
      </c>
      <c r="AA484">
        <v>3974527</v>
      </c>
      <c r="AB484" t="s">
        <v>97</v>
      </c>
      <c r="AE484">
        <v>0.81637731481481479</v>
      </c>
      <c r="AF484" t="s">
        <v>70</v>
      </c>
    </row>
    <row r="485" spans="1:32">
      <c r="A485">
        <v>1023366</v>
      </c>
      <c r="B485" t="s">
        <v>75</v>
      </c>
      <c r="C485" t="s">
        <v>62</v>
      </c>
      <c r="D485">
        <v>46125</v>
      </c>
      <c r="E485">
        <v>46125</v>
      </c>
      <c r="G485">
        <v>360</v>
      </c>
      <c r="H485" t="s">
        <v>63</v>
      </c>
      <c r="I485">
        <v>7724</v>
      </c>
      <c r="J485">
        <v>468245</v>
      </c>
      <c r="L485" t="s">
        <v>848</v>
      </c>
      <c r="M485" t="s">
        <v>65</v>
      </c>
      <c r="N485" t="s">
        <v>66</v>
      </c>
      <c r="O485" s="2">
        <v>46125</v>
      </c>
      <c r="P485" s="1">
        <v>89.9</v>
      </c>
      <c r="Q485" t="s">
        <v>67</v>
      </c>
      <c r="R485">
        <v>2.6</v>
      </c>
      <c r="S485">
        <v>1.1599999999999999</v>
      </c>
      <c r="T485">
        <v>0.21</v>
      </c>
      <c r="U485">
        <v>87.09</v>
      </c>
      <c r="V485" s="1">
        <v>0</v>
      </c>
      <c r="X485">
        <v>20260414</v>
      </c>
      <c r="Z485" t="s">
        <v>68</v>
      </c>
      <c r="AA485">
        <v>3974527</v>
      </c>
      <c r="AB485" t="s">
        <v>77</v>
      </c>
      <c r="AE485">
        <v>0.8185648148148148</v>
      </c>
      <c r="AF485" t="s">
        <v>70</v>
      </c>
    </row>
    <row r="486" spans="1:32">
      <c r="A486">
        <v>1023366</v>
      </c>
      <c r="B486" t="s">
        <v>75</v>
      </c>
      <c r="C486" t="s">
        <v>62</v>
      </c>
      <c r="D486">
        <v>46125</v>
      </c>
      <c r="E486">
        <v>46125</v>
      </c>
      <c r="G486">
        <v>360</v>
      </c>
      <c r="H486" t="s">
        <v>63</v>
      </c>
      <c r="I486">
        <v>7726</v>
      </c>
      <c r="J486">
        <v>266601</v>
      </c>
      <c r="K486">
        <v>3</v>
      </c>
      <c r="L486" t="s">
        <v>849</v>
      </c>
      <c r="M486" t="s">
        <v>65</v>
      </c>
      <c r="N486" t="s">
        <v>66</v>
      </c>
      <c r="O486" s="2">
        <v>46125</v>
      </c>
      <c r="P486" s="1">
        <v>1823.79</v>
      </c>
      <c r="Q486" t="s">
        <v>67</v>
      </c>
      <c r="R486">
        <v>84.63</v>
      </c>
      <c r="S486">
        <v>7.12</v>
      </c>
      <c r="T486">
        <v>1.28</v>
      </c>
      <c r="U486">
        <v>1737.88</v>
      </c>
      <c r="V486" s="1">
        <v>0</v>
      </c>
      <c r="X486">
        <v>20260414</v>
      </c>
      <c r="Z486" t="s">
        <v>72</v>
      </c>
      <c r="AA486">
        <v>3974527</v>
      </c>
      <c r="AB486" t="s">
        <v>93</v>
      </c>
      <c r="AC486" t="s">
        <v>120</v>
      </c>
      <c r="AE486">
        <v>0.82098379629629625</v>
      </c>
      <c r="AF486" t="s">
        <v>70</v>
      </c>
    </row>
    <row r="487" spans="1:32">
      <c r="A487">
        <v>1023366</v>
      </c>
      <c r="B487" t="s">
        <v>75</v>
      </c>
      <c r="C487" t="s">
        <v>62</v>
      </c>
      <c r="D487">
        <v>46125</v>
      </c>
      <c r="E487">
        <v>46125</v>
      </c>
      <c r="G487">
        <v>360</v>
      </c>
      <c r="H487" t="s">
        <v>63</v>
      </c>
      <c r="I487">
        <v>7728</v>
      </c>
      <c r="J487">
        <v>272960</v>
      </c>
      <c r="L487" t="s">
        <v>850</v>
      </c>
      <c r="M487" t="s">
        <v>65</v>
      </c>
      <c r="N487" t="s">
        <v>66</v>
      </c>
      <c r="O487" s="2">
        <v>46125</v>
      </c>
      <c r="P487" s="1">
        <v>35</v>
      </c>
      <c r="Q487" t="s">
        <v>67</v>
      </c>
      <c r="R487">
        <v>1.01</v>
      </c>
      <c r="S487">
        <v>0.2</v>
      </c>
      <c r="T487">
        <v>0.04</v>
      </c>
      <c r="U487">
        <v>33.950000000000003</v>
      </c>
      <c r="V487" s="1">
        <v>0</v>
      </c>
      <c r="X487">
        <v>20260414</v>
      </c>
      <c r="Z487" t="s">
        <v>72</v>
      </c>
      <c r="AA487">
        <v>3974527</v>
      </c>
      <c r="AB487" t="s">
        <v>93</v>
      </c>
      <c r="AE487">
        <v>0.82216435185185188</v>
      </c>
      <c r="AF487" t="s">
        <v>70</v>
      </c>
    </row>
    <row r="488" spans="1:32">
      <c r="A488">
        <v>1023366</v>
      </c>
      <c r="B488" t="s">
        <v>75</v>
      </c>
      <c r="C488" t="s">
        <v>62</v>
      </c>
      <c r="D488">
        <v>46125</v>
      </c>
      <c r="E488">
        <v>46125</v>
      </c>
      <c r="G488">
        <v>360</v>
      </c>
      <c r="H488" t="s">
        <v>63</v>
      </c>
      <c r="I488">
        <v>7730</v>
      </c>
      <c r="J488">
        <v>320922</v>
      </c>
      <c r="L488" t="s">
        <v>851</v>
      </c>
      <c r="M488" t="s">
        <v>65</v>
      </c>
      <c r="N488" t="s">
        <v>66</v>
      </c>
      <c r="O488" s="2">
        <v>46125</v>
      </c>
      <c r="P488" s="1">
        <v>229</v>
      </c>
      <c r="Q488" t="s">
        <v>67</v>
      </c>
      <c r="R488">
        <v>6.62</v>
      </c>
      <c r="S488">
        <v>1.35</v>
      </c>
      <c r="T488">
        <v>0.24</v>
      </c>
      <c r="U488">
        <v>222.14</v>
      </c>
      <c r="V488" s="1">
        <v>0</v>
      </c>
      <c r="X488">
        <v>20260414</v>
      </c>
      <c r="Z488" t="s">
        <v>72</v>
      </c>
      <c r="AA488">
        <v>3974527</v>
      </c>
      <c r="AB488" t="s">
        <v>106</v>
      </c>
      <c r="AE488">
        <v>0.82965277777777779</v>
      </c>
      <c r="AF488" t="s">
        <v>70</v>
      </c>
    </row>
    <row r="489" spans="1:32">
      <c r="A489">
        <v>1023366</v>
      </c>
      <c r="B489" t="s">
        <v>75</v>
      </c>
      <c r="C489" t="s">
        <v>62</v>
      </c>
      <c r="D489">
        <v>46125</v>
      </c>
      <c r="E489">
        <v>46125</v>
      </c>
      <c r="G489">
        <v>360</v>
      </c>
      <c r="H489" t="s">
        <v>63</v>
      </c>
      <c r="I489">
        <v>7732</v>
      </c>
      <c r="J489">
        <v>8931</v>
      </c>
      <c r="L489" t="s">
        <v>852</v>
      </c>
      <c r="M489" t="s">
        <v>65</v>
      </c>
      <c r="N489" t="s">
        <v>66</v>
      </c>
      <c r="O489" s="2">
        <v>46125</v>
      </c>
      <c r="P489" s="1">
        <v>129</v>
      </c>
      <c r="Q489" t="s">
        <v>67</v>
      </c>
      <c r="R489">
        <v>3.73</v>
      </c>
      <c r="S489">
        <v>0.76</v>
      </c>
      <c r="T489">
        <v>0.14000000000000001</v>
      </c>
      <c r="U489">
        <v>125.13</v>
      </c>
      <c r="V489" s="1">
        <v>0</v>
      </c>
      <c r="X489">
        <v>20260414</v>
      </c>
      <c r="Z489" t="s">
        <v>72</v>
      </c>
      <c r="AA489">
        <v>3974527</v>
      </c>
      <c r="AB489" t="s">
        <v>79</v>
      </c>
      <c r="AE489">
        <v>0.84697916666666662</v>
      </c>
      <c r="AF489" t="s">
        <v>70</v>
      </c>
    </row>
    <row r="490" spans="1:32">
      <c r="A490">
        <v>1023366</v>
      </c>
      <c r="B490" t="s">
        <v>75</v>
      </c>
      <c r="C490" t="s">
        <v>62</v>
      </c>
      <c r="D490">
        <v>46125</v>
      </c>
      <c r="E490">
        <v>46125</v>
      </c>
      <c r="G490">
        <v>360</v>
      </c>
      <c r="H490" t="s">
        <v>63</v>
      </c>
      <c r="I490">
        <v>7734</v>
      </c>
      <c r="J490">
        <v>422351</v>
      </c>
      <c r="L490" t="s">
        <v>853</v>
      </c>
      <c r="M490" t="s">
        <v>65</v>
      </c>
      <c r="N490" t="s">
        <v>66</v>
      </c>
      <c r="O490" s="2">
        <v>46125</v>
      </c>
      <c r="P490" s="1">
        <v>149</v>
      </c>
      <c r="Q490" t="s">
        <v>67</v>
      </c>
      <c r="R490">
        <v>4.3099999999999996</v>
      </c>
      <c r="S490">
        <v>0.88</v>
      </c>
      <c r="T490">
        <v>0.16</v>
      </c>
      <c r="U490">
        <v>144.53</v>
      </c>
      <c r="V490" s="1">
        <v>0</v>
      </c>
      <c r="X490">
        <v>20260414</v>
      </c>
      <c r="Z490" t="s">
        <v>72</v>
      </c>
      <c r="AA490">
        <v>3974527</v>
      </c>
      <c r="AB490" t="s">
        <v>93</v>
      </c>
      <c r="AE490">
        <v>0.85105324074074074</v>
      </c>
      <c r="AF490" t="s">
        <v>70</v>
      </c>
    </row>
    <row r="491" spans="1:32">
      <c r="A491">
        <v>1023366</v>
      </c>
      <c r="B491" t="s">
        <v>75</v>
      </c>
      <c r="C491" t="s">
        <v>62</v>
      </c>
      <c r="D491">
        <v>46125</v>
      </c>
      <c r="E491">
        <v>46125</v>
      </c>
      <c r="G491">
        <v>360</v>
      </c>
      <c r="H491" t="s">
        <v>63</v>
      </c>
      <c r="I491">
        <v>7746</v>
      </c>
      <c r="J491">
        <v>493052</v>
      </c>
      <c r="L491" t="s">
        <v>854</v>
      </c>
      <c r="M491" t="s">
        <v>65</v>
      </c>
      <c r="N491" t="s">
        <v>66</v>
      </c>
      <c r="O491" s="2">
        <v>46125</v>
      </c>
      <c r="P491" s="1">
        <v>109</v>
      </c>
      <c r="Q491" t="s">
        <v>67</v>
      </c>
      <c r="R491">
        <v>3.15</v>
      </c>
      <c r="S491">
        <v>0.64</v>
      </c>
      <c r="T491">
        <v>0.12</v>
      </c>
      <c r="U491">
        <v>105.73</v>
      </c>
      <c r="V491" s="1">
        <v>0</v>
      </c>
      <c r="X491">
        <v>20260414</v>
      </c>
      <c r="Z491" t="s">
        <v>72</v>
      </c>
      <c r="AA491">
        <v>3974527</v>
      </c>
      <c r="AB491" t="s">
        <v>77</v>
      </c>
      <c r="AE491">
        <v>0.86760416666666662</v>
      </c>
      <c r="AF491" t="s">
        <v>70</v>
      </c>
    </row>
    <row r="492" spans="1:32">
      <c r="A492">
        <v>1023366</v>
      </c>
      <c r="B492" t="s">
        <v>75</v>
      </c>
      <c r="C492" t="s">
        <v>62</v>
      </c>
      <c r="D492">
        <v>46125</v>
      </c>
      <c r="E492">
        <v>46125</v>
      </c>
      <c r="G492">
        <v>360</v>
      </c>
      <c r="H492" t="s">
        <v>63</v>
      </c>
      <c r="I492">
        <v>7750</v>
      </c>
      <c r="J492">
        <v>883643</v>
      </c>
      <c r="L492" t="s">
        <v>855</v>
      </c>
      <c r="M492" t="s">
        <v>65</v>
      </c>
      <c r="N492" t="s">
        <v>66</v>
      </c>
      <c r="O492" s="2">
        <v>46125</v>
      </c>
      <c r="P492" s="1">
        <v>1799</v>
      </c>
      <c r="Q492" t="s">
        <v>67</v>
      </c>
      <c r="R492">
        <v>51.99</v>
      </c>
      <c r="S492">
        <v>23.21</v>
      </c>
      <c r="T492">
        <v>4.18</v>
      </c>
      <c r="U492">
        <v>1742.83</v>
      </c>
      <c r="V492" s="1">
        <v>13490.22</v>
      </c>
      <c r="W492">
        <v>46126</v>
      </c>
      <c r="X492">
        <v>20260414</v>
      </c>
      <c r="Z492" t="s">
        <v>68</v>
      </c>
      <c r="AA492">
        <v>3974527</v>
      </c>
      <c r="AB492" t="s">
        <v>79</v>
      </c>
      <c r="AE492">
        <v>0.87723379629629628</v>
      </c>
      <c r="AF492" t="s">
        <v>70</v>
      </c>
    </row>
    <row r="493" spans="1:32">
      <c r="A493">
        <v>1023366</v>
      </c>
      <c r="B493" t="s">
        <v>61</v>
      </c>
      <c r="C493" t="s">
        <v>62</v>
      </c>
      <c r="D493">
        <v>46126</v>
      </c>
      <c r="E493">
        <v>46126</v>
      </c>
      <c r="G493">
        <v>361</v>
      </c>
      <c r="H493" t="s">
        <v>63</v>
      </c>
      <c r="I493">
        <v>7773</v>
      </c>
      <c r="J493" t="s">
        <v>856</v>
      </c>
      <c r="L493" t="s">
        <v>857</v>
      </c>
      <c r="M493" t="s">
        <v>96</v>
      </c>
      <c r="N493" t="s">
        <v>66</v>
      </c>
      <c r="O493" s="2">
        <v>46126</v>
      </c>
      <c r="P493" s="1">
        <v>149</v>
      </c>
      <c r="Q493" t="s">
        <v>67</v>
      </c>
      <c r="R493">
        <v>5.81</v>
      </c>
      <c r="S493">
        <v>3.05</v>
      </c>
      <c r="T493">
        <v>0.55000000000000004</v>
      </c>
      <c r="U493">
        <v>142.63999999999999</v>
      </c>
      <c r="V493" s="1">
        <v>0</v>
      </c>
      <c r="X493">
        <v>20260415</v>
      </c>
      <c r="Z493" t="s">
        <v>72</v>
      </c>
      <c r="AA493">
        <v>3974527</v>
      </c>
      <c r="AB493" t="s">
        <v>234</v>
      </c>
      <c r="AE493">
        <v>0.4974884259259259</v>
      </c>
      <c r="AF493" t="s">
        <v>70</v>
      </c>
    </row>
    <row r="494" spans="1:32">
      <c r="A494">
        <v>1023366</v>
      </c>
      <c r="B494" t="s">
        <v>61</v>
      </c>
      <c r="C494" t="s">
        <v>62</v>
      </c>
      <c r="D494">
        <v>46126</v>
      </c>
      <c r="E494">
        <v>46126</v>
      </c>
      <c r="G494">
        <v>361</v>
      </c>
      <c r="H494" t="s">
        <v>63</v>
      </c>
      <c r="I494">
        <v>7817</v>
      </c>
      <c r="J494" t="s">
        <v>858</v>
      </c>
      <c r="L494" t="s">
        <v>859</v>
      </c>
      <c r="M494" t="s">
        <v>96</v>
      </c>
      <c r="N494" t="s">
        <v>66</v>
      </c>
      <c r="O494" s="2">
        <v>46126</v>
      </c>
      <c r="P494" s="1">
        <v>140</v>
      </c>
      <c r="Q494" t="s">
        <v>67</v>
      </c>
      <c r="R494">
        <v>5.46</v>
      </c>
      <c r="S494">
        <v>2.69</v>
      </c>
      <c r="T494">
        <v>0.48</v>
      </c>
      <c r="U494">
        <v>134.06</v>
      </c>
      <c r="V494" s="1">
        <v>276.7</v>
      </c>
      <c r="W494">
        <v>46127</v>
      </c>
      <c r="X494">
        <v>20260415</v>
      </c>
      <c r="Z494" t="s">
        <v>68</v>
      </c>
      <c r="AA494">
        <v>3974527</v>
      </c>
      <c r="AB494" t="s">
        <v>234</v>
      </c>
      <c r="AE494">
        <v>0.76828703703703705</v>
      </c>
      <c r="AF494" t="s">
        <v>70</v>
      </c>
    </row>
    <row r="495" spans="1:32">
      <c r="A495">
        <v>1023366</v>
      </c>
      <c r="B495" t="s">
        <v>860</v>
      </c>
      <c r="C495" t="s">
        <v>62</v>
      </c>
      <c r="D495">
        <v>46126</v>
      </c>
      <c r="E495">
        <v>46126</v>
      </c>
      <c r="G495">
        <v>361</v>
      </c>
      <c r="H495" t="s">
        <v>63</v>
      </c>
      <c r="I495">
        <v>7810</v>
      </c>
      <c r="J495">
        <v>2721</v>
      </c>
      <c r="L495" t="s">
        <v>861</v>
      </c>
      <c r="M495" t="s">
        <v>96</v>
      </c>
      <c r="N495" t="s">
        <v>66</v>
      </c>
      <c r="O495" s="2">
        <v>46126</v>
      </c>
      <c r="P495" s="1">
        <v>207</v>
      </c>
      <c r="Q495" t="s">
        <v>67</v>
      </c>
      <c r="R495">
        <v>5.98</v>
      </c>
      <c r="S495">
        <v>3.5</v>
      </c>
      <c r="T495">
        <v>0.63</v>
      </c>
      <c r="U495">
        <v>200.39</v>
      </c>
      <c r="V495" s="1">
        <v>200.39</v>
      </c>
      <c r="W495">
        <v>46127</v>
      </c>
      <c r="X495">
        <v>20260415</v>
      </c>
      <c r="Z495" t="s">
        <v>72</v>
      </c>
      <c r="AA495">
        <v>3974527</v>
      </c>
      <c r="AB495" t="s">
        <v>862</v>
      </c>
      <c r="AE495">
        <v>0.74925925925925929</v>
      </c>
      <c r="AF495" t="s">
        <v>70</v>
      </c>
    </row>
    <row r="496" spans="1:32">
      <c r="A496">
        <v>1023366</v>
      </c>
      <c r="B496" t="s">
        <v>75</v>
      </c>
      <c r="C496" t="s">
        <v>62</v>
      </c>
      <c r="D496">
        <v>46126</v>
      </c>
      <c r="E496">
        <v>46126</v>
      </c>
      <c r="G496">
        <v>361</v>
      </c>
      <c r="H496" t="s">
        <v>63</v>
      </c>
      <c r="I496">
        <v>7765</v>
      </c>
      <c r="J496">
        <v>309715</v>
      </c>
      <c r="L496" t="s">
        <v>863</v>
      </c>
      <c r="M496" t="s">
        <v>65</v>
      </c>
      <c r="N496" t="s">
        <v>66</v>
      </c>
      <c r="O496" s="2">
        <v>46126</v>
      </c>
      <c r="P496" s="1">
        <v>1499</v>
      </c>
      <c r="Q496" t="s">
        <v>67</v>
      </c>
      <c r="R496">
        <v>43.32</v>
      </c>
      <c r="S496">
        <v>19.34</v>
      </c>
      <c r="T496">
        <v>3.48</v>
      </c>
      <c r="U496">
        <v>1452.2</v>
      </c>
      <c r="V496" s="1">
        <v>0</v>
      </c>
      <c r="X496">
        <v>20260415</v>
      </c>
      <c r="Z496" t="s">
        <v>68</v>
      </c>
      <c r="AA496">
        <v>3974527</v>
      </c>
      <c r="AB496" t="s">
        <v>77</v>
      </c>
      <c r="AE496">
        <v>0.42574074074074075</v>
      </c>
      <c r="AF496" t="s">
        <v>70</v>
      </c>
    </row>
    <row r="497" spans="1:32">
      <c r="A497">
        <v>1023366</v>
      </c>
      <c r="B497" t="s">
        <v>75</v>
      </c>
      <c r="C497" t="s">
        <v>62</v>
      </c>
      <c r="D497">
        <v>46126</v>
      </c>
      <c r="E497">
        <v>46126</v>
      </c>
      <c r="G497">
        <v>361</v>
      </c>
      <c r="H497" t="s">
        <v>63</v>
      </c>
      <c r="I497">
        <v>7767</v>
      </c>
      <c r="J497">
        <v>459355</v>
      </c>
      <c r="L497" t="s">
        <v>864</v>
      </c>
      <c r="M497" t="s">
        <v>65</v>
      </c>
      <c r="N497" t="s">
        <v>66</v>
      </c>
      <c r="O497" s="2">
        <v>46126</v>
      </c>
      <c r="P497" s="1">
        <v>199</v>
      </c>
      <c r="Q497" t="s">
        <v>67</v>
      </c>
      <c r="R497">
        <v>5.75</v>
      </c>
      <c r="S497">
        <v>1.17</v>
      </c>
      <c r="T497">
        <v>0.21</v>
      </c>
      <c r="U497">
        <v>193.04</v>
      </c>
      <c r="V497" s="1">
        <v>0</v>
      </c>
      <c r="X497">
        <v>20260415</v>
      </c>
      <c r="Z497" t="s">
        <v>72</v>
      </c>
      <c r="AA497">
        <v>3974527</v>
      </c>
      <c r="AB497" t="s">
        <v>93</v>
      </c>
      <c r="AE497">
        <v>0.43885416666666666</v>
      </c>
      <c r="AF497" t="s">
        <v>70</v>
      </c>
    </row>
    <row r="498" spans="1:32">
      <c r="A498">
        <v>1023366</v>
      </c>
      <c r="B498" t="s">
        <v>75</v>
      </c>
      <c r="C498" t="s">
        <v>62</v>
      </c>
      <c r="D498">
        <v>46126</v>
      </c>
      <c r="E498">
        <v>46126</v>
      </c>
      <c r="G498">
        <v>361</v>
      </c>
      <c r="H498" t="s">
        <v>63</v>
      </c>
      <c r="I498">
        <v>7770</v>
      </c>
      <c r="J498">
        <v>803213</v>
      </c>
      <c r="L498" t="s">
        <v>865</v>
      </c>
      <c r="M498" t="s">
        <v>65</v>
      </c>
      <c r="N498" t="s">
        <v>66</v>
      </c>
      <c r="O498" s="2">
        <v>46126</v>
      </c>
      <c r="P498" s="1">
        <v>69</v>
      </c>
      <c r="Q498" t="s">
        <v>67</v>
      </c>
      <c r="R498">
        <v>1.99</v>
      </c>
      <c r="S498">
        <v>0.54</v>
      </c>
      <c r="T498">
        <v>0.1</v>
      </c>
      <c r="U498">
        <v>66.91</v>
      </c>
      <c r="V498" s="1">
        <v>0</v>
      </c>
      <c r="X498">
        <v>20260415</v>
      </c>
      <c r="Z498" t="s">
        <v>68</v>
      </c>
      <c r="AA498">
        <v>3974527</v>
      </c>
      <c r="AB498" t="s">
        <v>81</v>
      </c>
      <c r="AE498">
        <v>0.49018518518518517</v>
      </c>
      <c r="AF498" t="s">
        <v>70</v>
      </c>
    </row>
    <row r="499" spans="1:32">
      <c r="A499">
        <v>1023366</v>
      </c>
      <c r="B499" t="s">
        <v>75</v>
      </c>
      <c r="C499" t="s">
        <v>62</v>
      </c>
      <c r="D499">
        <v>46126</v>
      </c>
      <c r="E499">
        <v>46126</v>
      </c>
      <c r="G499">
        <v>361</v>
      </c>
      <c r="H499" t="s">
        <v>63</v>
      </c>
      <c r="I499">
        <v>7775</v>
      </c>
      <c r="J499">
        <v>757152</v>
      </c>
      <c r="K499">
        <v>3</v>
      </c>
      <c r="L499" t="s">
        <v>866</v>
      </c>
      <c r="M499" t="s">
        <v>65</v>
      </c>
      <c r="N499" t="s">
        <v>66</v>
      </c>
      <c r="O499" s="2">
        <v>46126</v>
      </c>
      <c r="P499" s="1">
        <v>149</v>
      </c>
      <c r="Q499" t="s">
        <v>67</v>
      </c>
      <c r="R499">
        <v>6.92</v>
      </c>
      <c r="S499">
        <v>0.88</v>
      </c>
      <c r="T499">
        <v>0.16</v>
      </c>
      <c r="U499">
        <v>141.91999999999999</v>
      </c>
      <c r="V499" s="1">
        <v>0</v>
      </c>
      <c r="X499">
        <v>20260415</v>
      </c>
      <c r="Z499" t="s">
        <v>72</v>
      </c>
      <c r="AA499">
        <v>3974527</v>
      </c>
      <c r="AB499" t="s">
        <v>93</v>
      </c>
      <c r="AC499" t="s">
        <v>120</v>
      </c>
      <c r="AE499">
        <v>0.50670138888888894</v>
      </c>
      <c r="AF499" t="s">
        <v>70</v>
      </c>
    </row>
    <row r="500" spans="1:32">
      <c r="A500">
        <v>1023366</v>
      </c>
      <c r="B500" t="s">
        <v>75</v>
      </c>
      <c r="C500" t="s">
        <v>62</v>
      </c>
      <c r="D500">
        <v>46126</v>
      </c>
      <c r="E500">
        <v>46126</v>
      </c>
      <c r="G500">
        <v>361</v>
      </c>
      <c r="H500" t="s">
        <v>63</v>
      </c>
      <c r="I500">
        <v>7777</v>
      </c>
      <c r="J500">
        <v>453884</v>
      </c>
      <c r="L500" t="s">
        <v>867</v>
      </c>
      <c r="M500" t="s">
        <v>65</v>
      </c>
      <c r="N500" t="s">
        <v>66</v>
      </c>
      <c r="O500" s="2">
        <v>46126</v>
      </c>
      <c r="P500" s="1">
        <v>89.9</v>
      </c>
      <c r="Q500" t="s">
        <v>67</v>
      </c>
      <c r="R500">
        <v>2.6</v>
      </c>
      <c r="S500">
        <v>1.1599999999999999</v>
      </c>
      <c r="T500">
        <v>0.21</v>
      </c>
      <c r="U500">
        <v>87.09</v>
      </c>
      <c r="V500" s="1">
        <v>0</v>
      </c>
      <c r="X500">
        <v>20260415</v>
      </c>
      <c r="Z500" t="s">
        <v>68</v>
      </c>
      <c r="AA500">
        <v>3974527</v>
      </c>
      <c r="AB500" t="s">
        <v>79</v>
      </c>
      <c r="AE500">
        <v>0.51368055555555558</v>
      </c>
      <c r="AF500" t="s">
        <v>70</v>
      </c>
    </row>
    <row r="501" spans="1:32">
      <c r="A501">
        <v>1023366</v>
      </c>
      <c r="B501" t="s">
        <v>75</v>
      </c>
      <c r="C501" t="s">
        <v>62</v>
      </c>
      <c r="D501">
        <v>46126</v>
      </c>
      <c r="E501">
        <v>46126</v>
      </c>
      <c r="G501">
        <v>361</v>
      </c>
      <c r="H501" t="s">
        <v>63</v>
      </c>
      <c r="I501">
        <v>7779</v>
      </c>
      <c r="J501">
        <v>65178</v>
      </c>
      <c r="L501" t="s">
        <v>868</v>
      </c>
      <c r="M501" t="s">
        <v>65</v>
      </c>
      <c r="N501" t="s">
        <v>66</v>
      </c>
      <c r="O501" s="2">
        <v>46126</v>
      </c>
      <c r="P501" s="1">
        <v>89</v>
      </c>
      <c r="Q501" t="s">
        <v>67</v>
      </c>
      <c r="R501">
        <v>2.57</v>
      </c>
      <c r="S501">
        <v>0.34</v>
      </c>
      <c r="T501">
        <v>0.06</v>
      </c>
      <c r="U501">
        <v>86.37</v>
      </c>
      <c r="V501" s="1">
        <v>0</v>
      </c>
      <c r="X501">
        <v>20260415</v>
      </c>
      <c r="Z501" t="s">
        <v>72</v>
      </c>
      <c r="AA501">
        <v>3974527</v>
      </c>
      <c r="AB501" t="s">
        <v>84</v>
      </c>
      <c r="AE501">
        <v>0.53733796296296299</v>
      </c>
      <c r="AF501" t="s">
        <v>70</v>
      </c>
    </row>
    <row r="502" spans="1:32">
      <c r="A502">
        <v>1023366</v>
      </c>
      <c r="B502" t="s">
        <v>75</v>
      </c>
      <c r="C502" t="s">
        <v>62</v>
      </c>
      <c r="D502">
        <v>46126</v>
      </c>
      <c r="E502">
        <v>46126</v>
      </c>
      <c r="G502">
        <v>361</v>
      </c>
      <c r="H502" t="s">
        <v>63</v>
      </c>
      <c r="I502">
        <v>7781</v>
      </c>
      <c r="J502">
        <v>444950</v>
      </c>
      <c r="L502" t="s">
        <v>869</v>
      </c>
      <c r="M502" t="s">
        <v>65</v>
      </c>
      <c r="N502" t="s">
        <v>66</v>
      </c>
      <c r="O502" s="2">
        <v>46126</v>
      </c>
      <c r="P502" s="1">
        <v>75</v>
      </c>
      <c r="Q502" t="s">
        <v>67</v>
      </c>
      <c r="R502">
        <v>2.17</v>
      </c>
      <c r="S502">
        <v>0.44</v>
      </c>
      <c r="T502">
        <v>0.08</v>
      </c>
      <c r="U502">
        <v>72.75</v>
      </c>
      <c r="V502" s="1">
        <v>0</v>
      </c>
      <c r="X502">
        <v>20260415</v>
      </c>
      <c r="Z502" t="s">
        <v>72</v>
      </c>
      <c r="AA502">
        <v>3974527</v>
      </c>
      <c r="AB502" t="s">
        <v>77</v>
      </c>
      <c r="AE502">
        <v>0.57269675925925922</v>
      </c>
      <c r="AF502" t="s">
        <v>70</v>
      </c>
    </row>
    <row r="503" spans="1:32">
      <c r="A503">
        <v>1023366</v>
      </c>
      <c r="B503" t="s">
        <v>75</v>
      </c>
      <c r="C503" t="s">
        <v>62</v>
      </c>
      <c r="D503">
        <v>46126</v>
      </c>
      <c r="E503">
        <v>46126</v>
      </c>
      <c r="G503">
        <v>361</v>
      </c>
      <c r="H503" t="s">
        <v>63</v>
      </c>
      <c r="I503">
        <v>7783</v>
      </c>
      <c r="J503">
        <v>30478</v>
      </c>
      <c r="L503" t="s">
        <v>870</v>
      </c>
      <c r="M503" t="s">
        <v>65</v>
      </c>
      <c r="N503" t="s">
        <v>66</v>
      </c>
      <c r="O503" s="2">
        <v>46126</v>
      </c>
      <c r="P503" s="1">
        <v>59.8</v>
      </c>
      <c r="Q503" t="s">
        <v>67</v>
      </c>
      <c r="R503">
        <v>1.73</v>
      </c>
      <c r="S503">
        <v>0.77</v>
      </c>
      <c r="T503">
        <v>0.14000000000000001</v>
      </c>
      <c r="U503">
        <v>57.93</v>
      </c>
      <c r="V503" s="1">
        <v>0</v>
      </c>
      <c r="X503">
        <v>20260415</v>
      </c>
      <c r="Z503" t="s">
        <v>68</v>
      </c>
      <c r="AA503">
        <v>3974527</v>
      </c>
      <c r="AB503" t="s">
        <v>77</v>
      </c>
      <c r="AE503">
        <v>0.58431712962962967</v>
      </c>
      <c r="AF503" t="s">
        <v>70</v>
      </c>
    </row>
    <row r="504" spans="1:32">
      <c r="A504">
        <v>1023366</v>
      </c>
      <c r="B504" t="s">
        <v>75</v>
      </c>
      <c r="C504" t="s">
        <v>62</v>
      </c>
      <c r="D504">
        <v>46126</v>
      </c>
      <c r="E504">
        <v>46126</v>
      </c>
      <c r="G504">
        <v>361</v>
      </c>
      <c r="H504" t="s">
        <v>63</v>
      </c>
      <c r="I504">
        <v>7785</v>
      </c>
      <c r="J504">
        <v>768790</v>
      </c>
      <c r="L504" t="s">
        <v>871</v>
      </c>
      <c r="M504" t="s">
        <v>65</v>
      </c>
      <c r="N504" t="s">
        <v>66</v>
      </c>
      <c r="O504" s="2">
        <v>46126</v>
      </c>
      <c r="P504" s="1">
        <v>138</v>
      </c>
      <c r="Q504" t="s">
        <v>67</v>
      </c>
      <c r="R504">
        <v>3.99</v>
      </c>
      <c r="S504">
        <v>1.78</v>
      </c>
      <c r="T504">
        <v>0.32</v>
      </c>
      <c r="U504">
        <v>133.69</v>
      </c>
      <c r="V504" s="1">
        <v>0</v>
      </c>
      <c r="X504">
        <v>20260415</v>
      </c>
      <c r="Z504" t="s">
        <v>68</v>
      </c>
      <c r="AA504">
        <v>3974527</v>
      </c>
      <c r="AB504" t="s">
        <v>79</v>
      </c>
      <c r="AE504">
        <v>0.64015046296296296</v>
      </c>
      <c r="AF504" t="s">
        <v>70</v>
      </c>
    </row>
    <row r="505" spans="1:32">
      <c r="A505">
        <v>1023366</v>
      </c>
      <c r="B505" t="s">
        <v>75</v>
      </c>
      <c r="C505" t="s">
        <v>62</v>
      </c>
      <c r="D505">
        <v>46126</v>
      </c>
      <c r="E505">
        <v>46126</v>
      </c>
      <c r="G505">
        <v>361</v>
      </c>
      <c r="H505">
        <v>65656565</v>
      </c>
      <c r="I505">
        <v>7787</v>
      </c>
      <c r="J505">
        <v>792750</v>
      </c>
      <c r="L505" t="s">
        <v>872</v>
      </c>
      <c r="M505" t="s">
        <v>65</v>
      </c>
      <c r="N505" t="s">
        <v>66</v>
      </c>
      <c r="O505" s="2">
        <v>46126</v>
      </c>
      <c r="P505" s="1">
        <v>129</v>
      </c>
      <c r="Q505" t="s">
        <v>67</v>
      </c>
      <c r="R505">
        <v>3.72</v>
      </c>
      <c r="S505">
        <v>1.66</v>
      </c>
      <c r="T505">
        <v>0.3</v>
      </c>
      <c r="U505">
        <v>124.98</v>
      </c>
      <c r="V505" s="1">
        <v>0</v>
      </c>
      <c r="X505">
        <v>20260415</v>
      </c>
      <c r="Z505" t="s">
        <v>68</v>
      </c>
      <c r="AA505">
        <v>3974527</v>
      </c>
      <c r="AB505" t="s">
        <v>79</v>
      </c>
      <c r="AD505" t="s">
        <v>88</v>
      </c>
      <c r="AE505">
        <v>0.65194444444444444</v>
      </c>
      <c r="AF505" t="s">
        <v>70</v>
      </c>
    </row>
    <row r="506" spans="1:32">
      <c r="A506">
        <v>1023366</v>
      </c>
      <c r="B506" t="s">
        <v>75</v>
      </c>
      <c r="C506" t="s">
        <v>62</v>
      </c>
      <c r="D506">
        <v>46126</v>
      </c>
      <c r="E506">
        <v>46126</v>
      </c>
      <c r="G506">
        <v>361</v>
      </c>
      <c r="H506" t="s">
        <v>63</v>
      </c>
      <c r="I506">
        <v>7790</v>
      </c>
      <c r="J506">
        <v>926000</v>
      </c>
      <c r="L506" t="s">
        <v>873</v>
      </c>
      <c r="M506" t="s">
        <v>65</v>
      </c>
      <c r="N506" t="s">
        <v>66</v>
      </c>
      <c r="O506" s="2">
        <v>46126</v>
      </c>
      <c r="P506" s="1">
        <v>49</v>
      </c>
      <c r="Q506" t="s">
        <v>67</v>
      </c>
      <c r="R506">
        <v>1.42</v>
      </c>
      <c r="S506">
        <v>0.64</v>
      </c>
      <c r="T506">
        <v>0.12</v>
      </c>
      <c r="U506">
        <v>47.46</v>
      </c>
      <c r="V506" s="1">
        <v>0</v>
      </c>
      <c r="X506">
        <v>20260415</v>
      </c>
      <c r="Z506" t="s">
        <v>68</v>
      </c>
      <c r="AA506">
        <v>3974527</v>
      </c>
      <c r="AB506" t="s">
        <v>79</v>
      </c>
      <c r="AE506">
        <v>0.6664930555555556</v>
      </c>
      <c r="AF506" t="s">
        <v>70</v>
      </c>
    </row>
    <row r="507" spans="1:32">
      <c r="A507">
        <v>1023366</v>
      </c>
      <c r="B507" t="s">
        <v>75</v>
      </c>
      <c r="C507" t="s">
        <v>62</v>
      </c>
      <c r="D507">
        <v>46126</v>
      </c>
      <c r="E507">
        <v>46126</v>
      </c>
      <c r="G507">
        <v>361</v>
      </c>
      <c r="H507">
        <v>65656565</v>
      </c>
      <c r="I507">
        <v>7792</v>
      </c>
      <c r="J507">
        <v>844127</v>
      </c>
      <c r="L507" t="s">
        <v>874</v>
      </c>
      <c r="M507" t="s">
        <v>65</v>
      </c>
      <c r="N507" t="s">
        <v>66</v>
      </c>
      <c r="O507" s="2">
        <v>46126</v>
      </c>
      <c r="P507" s="1">
        <v>448</v>
      </c>
      <c r="Q507" t="s">
        <v>67</v>
      </c>
      <c r="R507">
        <v>12.94</v>
      </c>
      <c r="S507">
        <v>5.77</v>
      </c>
      <c r="T507">
        <v>1.04</v>
      </c>
      <c r="U507">
        <v>434.02</v>
      </c>
      <c r="V507" s="1">
        <v>0</v>
      </c>
      <c r="X507">
        <v>20260415</v>
      </c>
      <c r="Z507" t="s">
        <v>68</v>
      </c>
      <c r="AA507">
        <v>3974527</v>
      </c>
      <c r="AB507" t="s">
        <v>79</v>
      </c>
      <c r="AD507" t="s">
        <v>88</v>
      </c>
      <c r="AE507">
        <v>0.67641203703703701</v>
      </c>
      <c r="AF507" t="s">
        <v>70</v>
      </c>
    </row>
    <row r="508" spans="1:32">
      <c r="A508">
        <v>1023366</v>
      </c>
      <c r="B508" t="s">
        <v>75</v>
      </c>
      <c r="C508" t="s">
        <v>62</v>
      </c>
      <c r="D508">
        <v>46126</v>
      </c>
      <c r="E508">
        <v>46126</v>
      </c>
      <c r="G508">
        <v>361</v>
      </c>
      <c r="H508" t="s">
        <v>63</v>
      </c>
      <c r="I508">
        <v>7795</v>
      </c>
      <c r="J508">
        <v>9321</v>
      </c>
      <c r="L508" t="s">
        <v>875</v>
      </c>
      <c r="M508" t="s">
        <v>65</v>
      </c>
      <c r="N508" t="s">
        <v>66</v>
      </c>
      <c r="O508" s="2">
        <v>46126</v>
      </c>
      <c r="P508" s="1">
        <v>169</v>
      </c>
      <c r="Q508" t="s">
        <v>67</v>
      </c>
      <c r="R508">
        <v>4.88</v>
      </c>
      <c r="S508">
        <v>1.33</v>
      </c>
      <c r="T508">
        <v>0.24</v>
      </c>
      <c r="U508">
        <v>163.88</v>
      </c>
      <c r="V508" s="1">
        <v>0</v>
      </c>
      <c r="X508">
        <v>20260415</v>
      </c>
      <c r="Z508" t="s">
        <v>72</v>
      </c>
      <c r="AA508">
        <v>3974527</v>
      </c>
      <c r="AB508" t="s">
        <v>79</v>
      </c>
      <c r="AE508">
        <v>0.68407407407407406</v>
      </c>
      <c r="AF508" t="s">
        <v>70</v>
      </c>
    </row>
    <row r="509" spans="1:32">
      <c r="A509">
        <v>1023366</v>
      </c>
      <c r="B509" t="s">
        <v>75</v>
      </c>
      <c r="C509" t="s">
        <v>62</v>
      </c>
      <c r="D509">
        <v>46126</v>
      </c>
      <c r="E509">
        <v>46126</v>
      </c>
      <c r="G509">
        <v>361</v>
      </c>
      <c r="H509" t="s">
        <v>63</v>
      </c>
      <c r="I509">
        <v>7797</v>
      </c>
      <c r="J509">
        <v>393452</v>
      </c>
      <c r="L509" t="s">
        <v>876</v>
      </c>
      <c r="M509" t="s">
        <v>65</v>
      </c>
      <c r="N509" t="s">
        <v>66</v>
      </c>
      <c r="O509" s="2">
        <v>46126</v>
      </c>
      <c r="P509" s="1">
        <v>39</v>
      </c>
      <c r="Q509" t="s">
        <v>67</v>
      </c>
      <c r="R509">
        <v>1.1299999999999999</v>
      </c>
      <c r="S509">
        <v>0.51</v>
      </c>
      <c r="T509">
        <v>0.09</v>
      </c>
      <c r="U509">
        <v>37.78</v>
      </c>
      <c r="V509" s="1">
        <v>0</v>
      </c>
      <c r="X509">
        <v>20260415</v>
      </c>
      <c r="Z509" t="s">
        <v>68</v>
      </c>
      <c r="AA509">
        <v>3974527</v>
      </c>
      <c r="AB509" t="s">
        <v>77</v>
      </c>
      <c r="AE509">
        <v>0.68583333333333329</v>
      </c>
      <c r="AF509" t="s">
        <v>70</v>
      </c>
    </row>
    <row r="510" spans="1:32">
      <c r="A510">
        <v>1023366</v>
      </c>
      <c r="B510" t="s">
        <v>75</v>
      </c>
      <c r="C510" t="s">
        <v>62</v>
      </c>
      <c r="D510">
        <v>46126</v>
      </c>
      <c r="E510">
        <v>46126</v>
      </c>
      <c r="G510">
        <v>361</v>
      </c>
      <c r="H510" t="s">
        <v>63</v>
      </c>
      <c r="I510">
        <v>7799</v>
      </c>
      <c r="J510">
        <v>11262</v>
      </c>
      <c r="L510" t="s">
        <v>877</v>
      </c>
      <c r="M510" t="s">
        <v>65</v>
      </c>
      <c r="N510" t="s">
        <v>66</v>
      </c>
      <c r="O510" s="2">
        <v>46126</v>
      </c>
      <c r="P510" s="1">
        <v>950</v>
      </c>
      <c r="Q510" t="s">
        <v>67</v>
      </c>
      <c r="R510">
        <v>27.46</v>
      </c>
      <c r="S510">
        <v>5.61</v>
      </c>
      <c r="T510">
        <v>1.01</v>
      </c>
      <c r="U510">
        <v>921.53</v>
      </c>
      <c r="V510" s="1">
        <v>0</v>
      </c>
      <c r="X510">
        <v>20260415</v>
      </c>
      <c r="Z510" t="s">
        <v>72</v>
      </c>
      <c r="AA510">
        <v>3974527</v>
      </c>
      <c r="AB510" t="s">
        <v>84</v>
      </c>
      <c r="AE510">
        <v>0.69032407407407403</v>
      </c>
      <c r="AF510" t="s">
        <v>70</v>
      </c>
    </row>
    <row r="511" spans="1:32">
      <c r="A511">
        <v>1023366</v>
      </c>
      <c r="B511" t="s">
        <v>75</v>
      </c>
      <c r="C511" t="s">
        <v>62</v>
      </c>
      <c r="D511">
        <v>46126</v>
      </c>
      <c r="E511">
        <v>46126</v>
      </c>
      <c r="G511">
        <v>361</v>
      </c>
      <c r="H511" t="s">
        <v>63</v>
      </c>
      <c r="I511">
        <v>7801</v>
      </c>
      <c r="J511">
        <v>706381</v>
      </c>
      <c r="L511" t="s">
        <v>878</v>
      </c>
      <c r="M511" t="s">
        <v>65</v>
      </c>
      <c r="N511" t="s">
        <v>66</v>
      </c>
      <c r="O511" s="2">
        <v>46126</v>
      </c>
      <c r="P511" s="1">
        <v>99</v>
      </c>
      <c r="Q511" t="s">
        <v>67</v>
      </c>
      <c r="R511">
        <v>2.86</v>
      </c>
      <c r="S511">
        <v>0.57999999999999996</v>
      </c>
      <c r="T511">
        <v>0.1</v>
      </c>
      <c r="U511">
        <v>96.04</v>
      </c>
      <c r="V511" s="1">
        <v>0</v>
      </c>
      <c r="X511">
        <v>20260415</v>
      </c>
      <c r="Z511" t="s">
        <v>72</v>
      </c>
      <c r="AA511">
        <v>3974527</v>
      </c>
      <c r="AB511" t="s">
        <v>93</v>
      </c>
      <c r="AE511">
        <v>0.71447916666666667</v>
      </c>
      <c r="AF511" t="s">
        <v>70</v>
      </c>
    </row>
    <row r="512" spans="1:32">
      <c r="A512">
        <v>1023366</v>
      </c>
      <c r="B512" t="s">
        <v>75</v>
      </c>
      <c r="C512" t="s">
        <v>62</v>
      </c>
      <c r="D512">
        <v>46126</v>
      </c>
      <c r="E512">
        <v>46126</v>
      </c>
      <c r="G512">
        <v>361</v>
      </c>
      <c r="H512" t="s">
        <v>63</v>
      </c>
      <c r="I512">
        <v>7803</v>
      </c>
      <c r="J512">
        <v>826792</v>
      </c>
      <c r="L512" t="s">
        <v>879</v>
      </c>
      <c r="M512" t="s">
        <v>65</v>
      </c>
      <c r="N512" t="s">
        <v>66</v>
      </c>
      <c r="O512" s="2">
        <v>46126</v>
      </c>
      <c r="P512" s="1">
        <v>89.9</v>
      </c>
      <c r="Q512" t="s">
        <v>67</v>
      </c>
      <c r="R512">
        <v>2.6</v>
      </c>
      <c r="S512">
        <v>0.71</v>
      </c>
      <c r="T512">
        <v>0.13</v>
      </c>
      <c r="U512">
        <v>87.17</v>
      </c>
      <c r="V512" s="1">
        <v>0</v>
      </c>
      <c r="X512">
        <v>20260415</v>
      </c>
      <c r="Z512" t="s">
        <v>72</v>
      </c>
      <c r="AA512">
        <v>3974527</v>
      </c>
      <c r="AB512" t="s">
        <v>93</v>
      </c>
      <c r="AE512">
        <v>0.73907407407407411</v>
      </c>
      <c r="AF512" t="s">
        <v>70</v>
      </c>
    </row>
    <row r="513" spans="1:32">
      <c r="A513">
        <v>1023366</v>
      </c>
      <c r="B513" t="s">
        <v>75</v>
      </c>
      <c r="C513" t="s">
        <v>62</v>
      </c>
      <c r="D513">
        <v>46126</v>
      </c>
      <c r="E513">
        <v>46126</v>
      </c>
      <c r="G513">
        <v>361</v>
      </c>
      <c r="H513" t="s">
        <v>63</v>
      </c>
      <c r="I513">
        <v>7805</v>
      </c>
      <c r="J513">
        <v>854380</v>
      </c>
      <c r="L513" t="s">
        <v>880</v>
      </c>
      <c r="M513" t="s">
        <v>65</v>
      </c>
      <c r="N513" t="s">
        <v>66</v>
      </c>
      <c r="O513" s="2">
        <v>46126</v>
      </c>
      <c r="P513" s="1">
        <v>49</v>
      </c>
      <c r="Q513" t="s">
        <v>67</v>
      </c>
      <c r="R513">
        <v>1.42</v>
      </c>
      <c r="S513">
        <v>0.64</v>
      </c>
      <c r="T513">
        <v>0.12</v>
      </c>
      <c r="U513">
        <v>47.46</v>
      </c>
      <c r="V513" s="1">
        <v>0</v>
      </c>
      <c r="X513">
        <v>20260415</v>
      </c>
      <c r="Z513" t="s">
        <v>68</v>
      </c>
      <c r="AA513">
        <v>3974527</v>
      </c>
      <c r="AB513" t="s">
        <v>93</v>
      </c>
      <c r="AE513">
        <v>0.74447916666666669</v>
      </c>
      <c r="AF513" t="s">
        <v>70</v>
      </c>
    </row>
    <row r="514" spans="1:32">
      <c r="A514">
        <v>1023366</v>
      </c>
      <c r="B514" t="s">
        <v>75</v>
      </c>
      <c r="C514" t="s">
        <v>62</v>
      </c>
      <c r="D514">
        <v>46126</v>
      </c>
      <c r="E514">
        <v>46126</v>
      </c>
      <c r="G514">
        <v>361</v>
      </c>
      <c r="H514" t="s">
        <v>63</v>
      </c>
      <c r="I514">
        <v>7807</v>
      </c>
      <c r="J514">
        <v>538448</v>
      </c>
      <c r="K514">
        <v>3</v>
      </c>
      <c r="L514" t="s">
        <v>881</v>
      </c>
      <c r="M514" t="s">
        <v>65</v>
      </c>
      <c r="N514" t="s">
        <v>66</v>
      </c>
      <c r="O514" s="2">
        <v>46126</v>
      </c>
      <c r="P514" s="1">
        <v>1173</v>
      </c>
      <c r="Q514" t="s">
        <v>67</v>
      </c>
      <c r="R514">
        <v>33.9</v>
      </c>
      <c r="S514">
        <v>6.92</v>
      </c>
      <c r="T514">
        <v>1.25</v>
      </c>
      <c r="U514">
        <v>1137.8499999999999</v>
      </c>
      <c r="V514" s="1">
        <v>0</v>
      </c>
      <c r="X514">
        <v>20260415</v>
      </c>
      <c r="Z514" t="s">
        <v>72</v>
      </c>
      <c r="AA514">
        <v>3974527</v>
      </c>
      <c r="AB514" t="s">
        <v>106</v>
      </c>
      <c r="AC514" t="s">
        <v>74</v>
      </c>
      <c r="AE514">
        <v>0.74722222222222223</v>
      </c>
      <c r="AF514" t="s">
        <v>70</v>
      </c>
    </row>
    <row r="515" spans="1:32">
      <c r="A515">
        <v>1023366</v>
      </c>
      <c r="B515" t="s">
        <v>75</v>
      </c>
      <c r="C515" t="s">
        <v>62</v>
      </c>
      <c r="D515">
        <v>46126</v>
      </c>
      <c r="E515">
        <v>46126</v>
      </c>
      <c r="G515">
        <v>361</v>
      </c>
      <c r="H515" t="s">
        <v>63</v>
      </c>
      <c r="I515">
        <v>7812</v>
      </c>
      <c r="J515">
        <v>32188</v>
      </c>
      <c r="L515" t="s">
        <v>882</v>
      </c>
      <c r="M515" t="s">
        <v>65</v>
      </c>
      <c r="N515" t="s">
        <v>66</v>
      </c>
      <c r="O515" s="2">
        <v>46126</v>
      </c>
      <c r="P515" s="1">
        <v>65</v>
      </c>
      <c r="Q515" t="s">
        <v>67</v>
      </c>
      <c r="R515">
        <v>1.88</v>
      </c>
      <c r="S515">
        <v>0.38</v>
      </c>
      <c r="T515">
        <v>7.0000000000000007E-2</v>
      </c>
      <c r="U515">
        <v>63.05</v>
      </c>
      <c r="V515" s="1">
        <v>0</v>
      </c>
      <c r="X515">
        <v>20260415</v>
      </c>
      <c r="Z515" t="s">
        <v>72</v>
      </c>
      <c r="AA515">
        <v>3974527</v>
      </c>
      <c r="AB515" t="s">
        <v>883</v>
      </c>
      <c r="AE515">
        <v>0.75815972222222228</v>
      </c>
      <c r="AF515" t="s">
        <v>70</v>
      </c>
    </row>
    <row r="516" spans="1:32">
      <c r="A516">
        <v>1023366</v>
      </c>
      <c r="B516" t="s">
        <v>75</v>
      </c>
      <c r="C516" t="s">
        <v>62</v>
      </c>
      <c r="D516">
        <v>46126</v>
      </c>
      <c r="E516">
        <v>46126</v>
      </c>
      <c r="G516">
        <v>361</v>
      </c>
      <c r="H516" t="s">
        <v>63</v>
      </c>
      <c r="I516">
        <v>7814</v>
      </c>
      <c r="J516">
        <v>5235</v>
      </c>
      <c r="L516" t="s">
        <v>884</v>
      </c>
      <c r="M516" t="s">
        <v>65</v>
      </c>
      <c r="N516" t="s">
        <v>66</v>
      </c>
      <c r="O516" s="2">
        <v>46126</v>
      </c>
      <c r="P516" s="1">
        <v>349</v>
      </c>
      <c r="Q516" t="s">
        <v>67</v>
      </c>
      <c r="R516">
        <v>10.09</v>
      </c>
      <c r="S516">
        <v>1.36</v>
      </c>
      <c r="T516">
        <v>0.24</v>
      </c>
      <c r="U516">
        <v>338.67</v>
      </c>
      <c r="V516" s="1">
        <v>0</v>
      </c>
      <c r="X516">
        <v>20260415</v>
      </c>
      <c r="Z516" t="s">
        <v>72</v>
      </c>
      <c r="AA516">
        <v>3974527</v>
      </c>
      <c r="AB516" t="s">
        <v>79</v>
      </c>
      <c r="AE516">
        <v>0.76657407407407407</v>
      </c>
      <c r="AF516" t="s">
        <v>70</v>
      </c>
    </row>
    <row r="517" spans="1:32">
      <c r="A517">
        <v>1023366</v>
      </c>
      <c r="B517" t="s">
        <v>75</v>
      </c>
      <c r="C517" t="s">
        <v>62</v>
      </c>
      <c r="D517">
        <v>46126</v>
      </c>
      <c r="E517">
        <v>46126</v>
      </c>
      <c r="G517">
        <v>361</v>
      </c>
      <c r="H517" t="s">
        <v>63</v>
      </c>
      <c r="I517">
        <v>7819</v>
      </c>
      <c r="J517">
        <v>57144</v>
      </c>
      <c r="L517" t="s">
        <v>885</v>
      </c>
      <c r="M517" t="s">
        <v>65</v>
      </c>
      <c r="N517" t="s">
        <v>66</v>
      </c>
      <c r="O517" s="2">
        <v>46126</v>
      </c>
      <c r="P517" s="1">
        <v>159</v>
      </c>
      <c r="Q517" t="s">
        <v>67</v>
      </c>
      <c r="R517">
        <v>4.5999999999999996</v>
      </c>
      <c r="S517">
        <v>1.26</v>
      </c>
      <c r="T517">
        <v>0.23</v>
      </c>
      <c r="U517">
        <v>154.16999999999999</v>
      </c>
      <c r="V517" s="1">
        <v>0</v>
      </c>
      <c r="X517">
        <v>20260415</v>
      </c>
      <c r="Z517" t="s">
        <v>72</v>
      </c>
      <c r="AA517">
        <v>3974527</v>
      </c>
      <c r="AB517" t="s">
        <v>93</v>
      </c>
      <c r="AE517">
        <v>0.78135416666666668</v>
      </c>
      <c r="AF517" t="s">
        <v>70</v>
      </c>
    </row>
    <row r="518" spans="1:32">
      <c r="A518">
        <v>1023366</v>
      </c>
      <c r="B518" t="s">
        <v>75</v>
      </c>
      <c r="C518" t="s">
        <v>62</v>
      </c>
      <c r="D518">
        <v>46126</v>
      </c>
      <c r="E518">
        <v>46126</v>
      </c>
      <c r="G518">
        <v>361</v>
      </c>
      <c r="H518" t="s">
        <v>63</v>
      </c>
      <c r="I518">
        <v>7821</v>
      </c>
      <c r="J518">
        <v>105567</v>
      </c>
      <c r="K518">
        <v>3</v>
      </c>
      <c r="L518" t="s">
        <v>886</v>
      </c>
      <c r="M518" t="s">
        <v>65</v>
      </c>
      <c r="N518" t="s">
        <v>66</v>
      </c>
      <c r="O518" s="2">
        <v>46126</v>
      </c>
      <c r="P518" s="1">
        <v>2199</v>
      </c>
      <c r="Q518" t="s">
        <v>67</v>
      </c>
      <c r="R518">
        <v>102.03</v>
      </c>
      <c r="S518">
        <v>17.37</v>
      </c>
      <c r="T518">
        <v>3.13</v>
      </c>
      <c r="U518">
        <v>2093.84</v>
      </c>
      <c r="V518" s="1">
        <v>0</v>
      </c>
      <c r="X518">
        <v>20260415</v>
      </c>
      <c r="Z518" t="s">
        <v>72</v>
      </c>
      <c r="AA518">
        <v>3974527</v>
      </c>
      <c r="AB518" t="s">
        <v>93</v>
      </c>
      <c r="AC518" t="s">
        <v>120</v>
      </c>
      <c r="AE518">
        <v>0.78994212962962962</v>
      </c>
      <c r="AF518" t="s">
        <v>70</v>
      </c>
    </row>
    <row r="519" spans="1:32">
      <c r="A519">
        <v>1023366</v>
      </c>
      <c r="B519" t="s">
        <v>75</v>
      </c>
      <c r="C519" t="s">
        <v>62</v>
      </c>
      <c r="D519">
        <v>46126</v>
      </c>
      <c r="E519">
        <v>46126</v>
      </c>
      <c r="G519">
        <v>361</v>
      </c>
      <c r="H519" t="s">
        <v>63</v>
      </c>
      <c r="I519">
        <v>7824</v>
      </c>
      <c r="J519">
        <v>114417</v>
      </c>
      <c r="L519" t="s">
        <v>887</v>
      </c>
      <c r="M519" t="s">
        <v>65</v>
      </c>
      <c r="N519" t="s">
        <v>66</v>
      </c>
      <c r="O519" s="2">
        <v>46126</v>
      </c>
      <c r="P519" s="1">
        <v>35</v>
      </c>
      <c r="Q519" t="s">
        <v>67</v>
      </c>
      <c r="R519">
        <v>1.01</v>
      </c>
      <c r="S519">
        <v>0.27</v>
      </c>
      <c r="T519">
        <v>0.05</v>
      </c>
      <c r="U519">
        <v>33.94</v>
      </c>
      <c r="V519" s="1">
        <v>0</v>
      </c>
      <c r="X519">
        <v>20260415</v>
      </c>
      <c r="Z519" t="s">
        <v>72</v>
      </c>
      <c r="AA519">
        <v>3974527</v>
      </c>
      <c r="AB519" t="s">
        <v>93</v>
      </c>
      <c r="AE519">
        <v>0.7914930555555556</v>
      </c>
      <c r="AF519" t="s">
        <v>70</v>
      </c>
    </row>
    <row r="520" spans="1:32">
      <c r="A520">
        <v>1023366</v>
      </c>
      <c r="B520" t="s">
        <v>75</v>
      </c>
      <c r="C520" t="s">
        <v>62</v>
      </c>
      <c r="D520">
        <v>46126</v>
      </c>
      <c r="E520">
        <v>46126</v>
      </c>
      <c r="G520">
        <v>361</v>
      </c>
      <c r="H520" t="s">
        <v>63</v>
      </c>
      <c r="I520">
        <v>7826</v>
      </c>
      <c r="J520">
        <v>753644</v>
      </c>
      <c r="L520" t="s">
        <v>888</v>
      </c>
      <c r="M520" t="s">
        <v>65</v>
      </c>
      <c r="N520" t="s">
        <v>66</v>
      </c>
      <c r="O520" s="2">
        <v>46126</v>
      </c>
      <c r="P520" s="1">
        <v>109</v>
      </c>
      <c r="Q520" t="s">
        <v>67</v>
      </c>
      <c r="R520">
        <v>3.15</v>
      </c>
      <c r="S520">
        <v>1.41</v>
      </c>
      <c r="T520">
        <v>0.25</v>
      </c>
      <c r="U520">
        <v>105.6</v>
      </c>
      <c r="V520" s="1">
        <v>0</v>
      </c>
      <c r="X520">
        <v>20260415</v>
      </c>
      <c r="Z520" t="s">
        <v>68</v>
      </c>
      <c r="AA520">
        <v>3974527</v>
      </c>
      <c r="AB520" t="s">
        <v>79</v>
      </c>
      <c r="AE520">
        <v>0.8175</v>
      </c>
      <c r="AF520" t="s">
        <v>70</v>
      </c>
    </row>
    <row r="521" spans="1:32">
      <c r="A521">
        <v>1023366</v>
      </c>
      <c r="B521" t="s">
        <v>75</v>
      </c>
      <c r="C521" t="s">
        <v>62</v>
      </c>
      <c r="D521">
        <v>46126</v>
      </c>
      <c r="E521">
        <v>46126</v>
      </c>
      <c r="G521">
        <v>361</v>
      </c>
      <c r="H521">
        <v>65656565</v>
      </c>
      <c r="I521">
        <v>7830</v>
      </c>
      <c r="J521">
        <v>336628</v>
      </c>
      <c r="L521" t="s">
        <v>889</v>
      </c>
      <c r="M521" t="s">
        <v>65</v>
      </c>
      <c r="N521" t="s">
        <v>66</v>
      </c>
      <c r="O521" s="2">
        <v>46126</v>
      </c>
      <c r="P521" s="1">
        <v>49</v>
      </c>
      <c r="Q521" t="s">
        <v>67</v>
      </c>
      <c r="R521">
        <v>1.41</v>
      </c>
      <c r="S521">
        <v>0.63</v>
      </c>
      <c r="T521">
        <v>0.11</v>
      </c>
      <c r="U521">
        <v>47.48</v>
      </c>
      <c r="V521" s="1">
        <v>0</v>
      </c>
      <c r="X521">
        <v>20260415</v>
      </c>
      <c r="Z521" t="s">
        <v>68</v>
      </c>
      <c r="AA521">
        <v>3974527</v>
      </c>
      <c r="AB521" t="s">
        <v>93</v>
      </c>
      <c r="AD521" t="s">
        <v>155</v>
      </c>
      <c r="AE521">
        <v>0.83112268518518517</v>
      </c>
      <c r="AF521" t="s">
        <v>70</v>
      </c>
    </row>
    <row r="522" spans="1:32">
      <c r="A522">
        <v>1023366</v>
      </c>
      <c r="B522" t="s">
        <v>75</v>
      </c>
      <c r="C522" t="s">
        <v>62</v>
      </c>
      <c r="D522">
        <v>46126</v>
      </c>
      <c r="E522">
        <v>46126</v>
      </c>
      <c r="G522">
        <v>361</v>
      </c>
      <c r="H522" t="s">
        <v>63</v>
      </c>
      <c r="I522">
        <v>7833</v>
      </c>
      <c r="J522">
        <v>912049</v>
      </c>
      <c r="L522" t="s">
        <v>890</v>
      </c>
      <c r="M522" t="s">
        <v>65</v>
      </c>
      <c r="N522" t="s">
        <v>66</v>
      </c>
      <c r="O522" s="2">
        <v>46126</v>
      </c>
      <c r="P522" s="1">
        <v>949</v>
      </c>
      <c r="Q522" t="s">
        <v>67</v>
      </c>
      <c r="R522">
        <v>27.43</v>
      </c>
      <c r="S522">
        <v>12.25</v>
      </c>
      <c r="T522">
        <v>2.21</v>
      </c>
      <c r="U522">
        <v>919.36</v>
      </c>
      <c r="V522" s="1">
        <v>0</v>
      </c>
      <c r="X522">
        <v>20260415</v>
      </c>
      <c r="Z522" t="s">
        <v>68</v>
      </c>
      <c r="AA522">
        <v>3974527</v>
      </c>
      <c r="AB522" t="s">
        <v>77</v>
      </c>
      <c r="AE522">
        <v>0.85721064814814818</v>
      </c>
      <c r="AF522" t="s">
        <v>70</v>
      </c>
    </row>
    <row r="523" spans="1:32">
      <c r="A523">
        <v>1023366</v>
      </c>
      <c r="B523" t="s">
        <v>75</v>
      </c>
      <c r="C523" t="s">
        <v>62</v>
      </c>
      <c r="D523">
        <v>46126</v>
      </c>
      <c r="E523">
        <v>46126</v>
      </c>
      <c r="G523">
        <v>361</v>
      </c>
      <c r="H523" t="s">
        <v>63</v>
      </c>
      <c r="I523">
        <v>7835</v>
      </c>
      <c r="J523">
        <v>445213</v>
      </c>
      <c r="L523" t="s">
        <v>891</v>
      </c>
      <c r="M523" t="s">
        <v>65</v>
      </c>
      <c r="N523" t="s">
        <v>66</v>
      </c>
      <c r="O523" s="2">
        <v>46126</v>
      </c>
      <c r="P523" s="1">
        <v>1769</v>
      </c>
      <c r="Q523" t="s">
        <v>67</v>
      </c>
      <c r="R523">
        <v>51.12</v>
      </c>
      <c r="S523">
        <v>22.82</v>
      </c>
      <c r="T523">
        <v>4.1100000000000003</v>
      </c>
      <c r="U523">
        <v>1713.77</v>
      </c>
      <c r="V523" s="1">
        <v>0</v>
      </c>
      <c r="X523">
        <v>20260415</v>
      </c>
      <c r="Z523" t="s">
        <v>68</v>
      </c>
      <c r="AA523">
        <v>3974527</v>
      </c>
      <c r="AB523" t="s">
        <v>79</v>
      </c>
      <c r="AE523">
        <v>0.87135416666666665</v>
      </c>
      <c r="AF523" t="s">
        <v>70</v>
      </c>
    </row>
    <row r="524" spans="1:32">
      <c r="A524">
        <v>1023366</v>
      </c>
      <c r="B524" t="s">
        <v>75</v>
      </c>
      <c r="C524" t="s">
        <v>62</v>
      </c>
      <c r="D524">
        <v>46126</v>
      </c>
      <c r="E524">
        <v>46126</v>
      </c>
      <c r="G524">
        <v>361</v>
      </c>
      <c r="H524" t="s">
        <v>63</v>
      </c>
      <c r="I524">
        <v>7838</v>
      </c>
      <c r="J524">
        <v>803064</v>
      </c>
      <c r="L524" t="s">
        <v>892</v>
      </c>
      <c r="M524" t="s">
        <v>96</v>
      </c>
      <c r="N524" t="s">
        <v>66</v>
      </c>
      <c r="O524" s="2">
        <v>46126</v>
      </c>
      <c r="P524" s="1">
        <v>14.9</v>
      </c>
      <c r="Q524" t="s">
        <v>67</v>
      </c>
      <c r="R524">
        <v>0.57999999999999996</v>
      </c>
      <c r="S524">
        <v>0.28999999999999998</v>
      </c>
      <c r="T524">
        <v>0.05</v>
      </c>
      <c r="U524">
        <v>14.27</v>
      </c>
      <c r="V524" s="1">
        <v>10874.22</v>
      </c>
      <c r="W524">
        <v>46127</v>
      </c>
      <c r="X524">
        <v>20260415</v>
      </c>
      <c r="Z524" t="s">
        <v>72</v>
      </c>
      <c r="AA524">
        <v>3974527</v>
      </c>
      <c r="AB524" t="s">
        <v>97</v>
      </c>
      <c r="AE524">
        <v>0.87285879629629626</v>
      </c>
      <c r="AF524" t="s">
        <v>70</v>
      </c>
    </row>
    <row r="525" spans="1:32">
      <c r="A525">
        <v>1023366</v>
      </c>
      <c r="B525" t="s">
        <v>61</v>
      </c>
      <c r="C525" t="s">
        <v>62</v>
      </c>
      <c r="D525">
        <v>46127</v>
      </c>
      <c r="E525">
        <v>46127</v>
      </c>
      <c r="G525">
        <v>362</v>
      </c>
      <c r="H525" t="s">
        <v>63</v>
      </c>
      <c r="I525">
        <v>7858</v>
      </c>
      <c r="J525">
        <v>87167</v>
      </c>
      <c r="L525" t="s">
        <v>893</v>
      </c>
      <c r="M525" t="s">
        <v>65</v>
      </c>
      <c r="N525" t="s">
        <v>66</v>
      </c>
      <c r="O525" s="2">
        <v>46127</v>
      </c>
      <c r="P525" s="1">
        <v>269</v>
      </c>
      <c r="Q525" t="s">
        <v>67</v>
      </c>
      <c r="R525">
        <v>7.77</v>
      </c>
      <c r="S525">
        <v>2.12</v>
      </c>
      <c r="T525">
        <v>0.38</v>
      </c>
      <c r="U525">
        <v>260.85000000000002</v>
      </c>
      <c r="V525" s="1">
        <v>0</v>
      </c>
      <c r="X525">
        <v>20260416</v>
      </c>
      <c r="Z525" t="s">
        <v>72</v>
      </c>
      <c r="AA525">
        <v>3974527</v>
      </c>
      <c r="AB525" t="s">
        <v>73</v>
      </c>
      <c r="AE525">
        <v>0.53991898148148143</v>
      </c>
      <c r="AF525" t="s">
        <v>70</v>
      </c>
    </row>
    <row r="526" spans="1:32">
      <c r="A526">
        <v>1023366</v>
      </c>
      <c r="B526" t="s">
        <v>61</v>
      </c>
      <c r="C526" t="s">
        <v>62</v>
      </c>
      <c r="D526">
        <v>46127</v>
      </c>
      <c r="E526">
        <v>46127</v>
      </c>
      <c r="G526">
        <v>362</v>
      </c>
      <c r="H526" t="s">
        <v>63</v>
      </c>
      <c r="I526">
        <v>7883</v>
      </c>
      <c r="J526" t="s">
        <v>894</v>
      </c>
      <c r="L526" t="s">
        <v>895</v>
      </c>
      <c r="M526" t="s">
        <v>65</v>
      </c>
      <c r="N526" t="s">
        <v>66</v>
      </c>
      <c r="O526" s="2">
        <v>46127</v>
      </c>
      <c r="P526" s="1">
        <v>65</v>
      </c>
      <c r="Q526" t="s">
        <v>67</v>
      </c>
      <c r="R526">
        <v>1.88</v>
      </c>
      <c r="S526">
        <v>0.22</v>
      </c>
      <c r="T526">
        <v>0.04</v>
      </c>
      <c r="U526">
        <v>63.08</v>
      </c>
      <c r="V526" s="1">
        <v>0</v>
      </c>
      <c r="X526">
        <v>20260416</v>
      </c>
      <c r="Z526" t="s">
        <v>72</v>
      </c>
      <c r="AA526">
        <v>3974527</v>
      </c>
      <c r="AB526" t="s">
        <v>139</v>
      </c>
      <c r="AE526">
        <v>0.69518518518518524</v>
      </c>
      <c r="AF526" t="s">
        <v>70</v>
      </c>
    </row>
    <row r="527" spans="1:32">
      <c r="A527">
        <v>1023366</v>
      </c>
      <c r="B527" t="s">
        <v>61</v>
      </c>
      <c r="C527" t="s">
        <v>62</v>
      </c>
      <c r="D527">
        <v>46127</v>
      </c>
      <c r="E527">
        <v>46127</v>
      </c>
      <c r="G527">
        <v>362</v>
      </c>
      <c r="H527" t="s">
        <v>63</v>
      </c>
      <c r="I527">
        <v>7885</v>
      </c>
      <c r="J527" t="s">
        <v>896</v>
      </c>
      <c r="L527" t="s">
        <v>895</v>
      </c>
      <c r="M527" t="s">
        <v>65</v>
      </c>
      <c r="N527" t="s">
        <v>66</v>
      </c>
      <c r="O527" s="2">
        <v>46127</v>
      </c>
      <c r="P527" s="1">
        <v>10</v>
      </c>
      <c r="Q527" t="s">
        <v>67</v>
      </c>
      <c r="R527">
        <v>0.28999999999999998</v>
      </c>
      <c r="S527">
        <v>0.03</v>
      </c>
      <c r="T527">
        <v>0.01</v>
      </c>
      <c r="U527">
        <v>9.6999999999999993</v>
      </c>
      <c r="V527" s="1">
        <v>0</v>
      </c>
      <c r="X527">
        <v>20260416</v>
      </c>
      <c r="Z527" t="s">
        <v>72</v>
      </c>
      <c r="AA527">
        <v>3974527</v>
      </c>
      <c r="AB527" t="s">
        <v>139</v>
      </c>
      <c r="AE527">
        <v>0.70006944444444441</v>
      </c>
      <c r="AF527" t="s">
        <v>70</v>
      </c>
    </row>
    <row r="528" spans="1:32">
      <c r="A528">
        <v>1023366</v>
      </c>
      <c r="B528" t="s">
        <v>61</v>
      </c>
      <c r="C528" t="s">
        <v>62</v>
      </c>
      <c r="D528">
        <v>46127</v>
      </c>
      <c r="E528">
        <v>46127</v>
      </c>
      <c r="G528">
        <v>362</v>
      </c>
      <c r="H528" t="s">
        <v>63</v>
      </c>
      <c r="I528">
        <v>7903</v>
      </c>
      <c r="J528">
        <v>527993</v>
      </c>
      <c r="L528" t="s">
        <v>897</v>
      </c>
      <c r="M528" t="s">
        <v>96</v>
      </c>
      <c r="N528" t="s">
        <v>66</v>
      </c>
      <c r="O528" s="2">
        <v>46127</v>
      </c>
      <c r="P528" s="1">
        <v>69</v>
      </c>
      <c r="Q528" t="s">
        <v>67</v>
      </c>
      <c r="R528">
        <v>2.69</v>
      </c>
      <c r="S528">
        <v>1.59</v>
      </c>
      <c r="T528">
        <v>0.28999999999999998</v>
      </c>
      <c r="U528">
        <v>66.02</v>
      </c>
      <c r="V528" s="1">
        <v>399.65</v>
      </c>
      <c r="W528">
        <v>46128</v>
      </c>
      <c r="X528">
        <v>20260416</v>
      </c>
      <c r="Z528" t="s">
        <v>72</v>
      </c>
      <c r="AA528">
        <v>3974527</v>
      </c>
      <c r="AB528" t="s">
        <v>234</v>
      </c>
      <c r="AE528">
        <v>0.77731481481481479</v>
      </c>
      <c r="AF528" t="s">
        <v>70</v>
      </c>
    </row>
    <row r="529" spans="1:32">
      <c r="A529">
        <v>1023366</v>
      </c>
      <c r="B529" t="s">
        <v>860</v>
      </c>
      <c r="C529" t="s">
        <v>62</v>
      </c>
      <c r="D529">
        <v>46127</v>
      </c>
      <c r="E529">
        <v>46127</v>
      </c>
      <c r="G529">
        <v>362</v>
      </c>
      <c r="H529" t="s">
        <v>63</v>
      </c>
      <c r="I529">
        <v>7896</v>
      </c>
      <c r="J529">
        <v>175408</v>
      </c>
      <c r="L529" t="s">
        <v>898</v>
      </c>
      <c r="M529" t="s">
        <v>96</v>
      </c>
      <c r="N529" t="s">
        <v>66</v>
      </c>
      <c r="O529" s="2">
        <v>46127</v>
      </c>
      <c r="P529" s="1">
        <v>1299</v>
      </c>
      <c r="Q529" t="s">
        <v>67</v>
      </c>
      <c r="R529">
        <v>37.54</v>
      </c>
      <c r="S529">
        <v>21.96</v>
      </c>
      <c r="T529">
        <v>3.95</v>
      </c>
      <c r="U529">
        <v>1257.51</v>
      </c>
      <c r="V529" s="1">
        <v>1257.51</v>
      </c>
      <c r="W529">
        <v>46128</v>
      </c>
      <c r="X529">
        <v>20260416</v>
      </c>
      <c r="Z529" t="s">
        <v>72</v>
      </c>
      <c r="AA529">
        <v>3974527</v>
      </c>
      <c r="AB529" t="s">
        <v>862</v>
      </c>
      <c r="AE529">
        <v>0.74591435185185184</v>
      </c>
      <c r="AF529" t="s">
        <v>70</v>
      </c>
    </row>
    <row r="530" spans="1:32">
      <c r="A530">
        <v>1023366</v>
      </c>
      <c r="B530" t="s">
        <v>75</v>
      </c>
      <c r="C530" t="s">
        <v>62</v>
      </c>
      <c r="D530">
        <v>46127</v>
      </c>
      <c r="E530">
        <v>46127</v>
      </c>
      <c r="G530">
        <v>362</v>
      </c>
      <c r="H530" t="s">
        <v>63</v>
      </c>
      <c r="I530">
        <v>7854</v>
      </c>
      <c r="J530">
        <v>654356</v>
      </c>
      <c r="L530" t="s">
        <v>899</v>
      </c>
      <c r="M530" t="s">
        <v>96</v>
      </c>
      <c r="N530" t="s">
        <v>66</v>
      </c>
      <c r="O530" s="2">
        <v>46127</v>
      </c>
      <c r="P530" s="1">
        <v>264</v>
      </c>
      <c r="Q530" t="s">
        <v>67</v>
      </c>
      <c r="R530">
        <v>10.3</v>
      </c>
      <c r="S530">
        <v>5.08</v>
      </c>
      <c r="T530">
        <v>0.91</v>
      </c>
      <c r="U530">
        <v>252.79</v>
      </c>
      <c r="V530" s="1">
        <v>0</v>
      </c>
      <c r="X530">
        <v>20260416</v>
      </c>
      <c r="Z530" t="s">
        <v>72</v>
      </c>
      <c r="AA530">
        <v>3974527</v>
      </c>
      <c r="AB530" t="s">
        <v>97</v>
      </c>
      <c r="AE530">
        <v>0.44097222222222221</v>
      </c>
      <c r="AF530" t="s">
        <v>70</v>
      </c>
    </row>
    <row r="531" spans="1:32">
      <c r="A531">
        <v>1023366</v>
      </c>
      <c r="B531" t="s">
        <v>75</v>
      </c>
      <c r="C531" t="s">
        <v>62</v>
      </c>
      <c r="D531">
        <v>46127</v>
      </c>
      <c r="E531">
        <v>46127</v>
      </c>
      <c r="G531">
        <v>362</v>
      </c>
      <c r="H531" t="s">
        <v>63</v>
      </c>
      <c r="I531">
        <v>7856</v>
      </c>
      <c r="J531">
        <v>453745</v>
      </c>
      <c r="L531" t="s">
        <v>900</v>
      </c>
      <c r="M531" t="s">
        <v>65</v>
      </c>
      <c r="N531" t="s">
        <v>66</v>
      </c>
      <c r="O531" s="2">
        <v>46127</v>
      </c>
      <c r="P531" s="1">
        <v>35</v>
      </c>
      <c r="Q531" t="s">
        <v>67</v>
      </c>
      <c r="R531">
        <v>1.01</v>
      </c>
      <c r="S531">
        <v>0.2</v>
      </c>
      <c r="T531">
        <v>0.04</v>
      </c>
      <c r="U531">
        <v>33.950000000000003</v>
      </c>
      <c r="V531" s="1">
        <v>0</v>
      </c>
      <c r="X531">
        <v>20260416</v>
      </c>
      <c r="Z531" t="s">
        <v>72</v>
      </c>
      <c r="AA531">
        <v>3974527</v>
      </c>
      <c r="AB531" t="s">
        <v>77</v>
      </c>
      <c r="AE531">
        <v>0.53158564814814813</v>
      </c>
      <c r="AF531" t="s">
        <v>70</v>
      </c>
    </row>
    <row r="532" spans="1:32">
      <c r="A532">
        <v>1023366</v>
      </c>
      <c r="B532" t="s">
        <v>75</v>
      </c>
      <c r="C532" t="s">
        <v>62</v>
      </c>
      <c r="D532">
        <v>46127</v>
      </c>
      <c r="E532">
        <v>46127</v>
      </c>
      <c r="G532">
        <v>362</v>
      </c>
      <c r="H532" t="s">
        <v>63</v>
      </c>
      <c r="I532">
        <v>7863</v>
      </c>
      <c r="J532">
        <v>130727</v>
      </c>
      <c r="L532" t="s">
        <v>901</v>
      </c>
      <c r="M532" t="s">
        <v>65</v>
      </c>
      <c r="N532" t="s">
        <v>66</v>
      </c>
      <c r="O532" s="2">
        <v>46127</v>
      </c>
      <c r="P532" s="1">
        <v>149</v>
      </c>
      <c r="Q532" t="s">
        <v>67</v>
      </c>
      <c r="R532">
        <v>4.3099999999999996</v>
      </c>
      <c r="S532">
        <v>1.93</v>
      </c>
      <c r="T532">
        <v>0.35</v>
      </c>
      <c r="U532">
        <v>144.34</v>
      </c>
      <c r="V532" s="1">
        <v>0</v>
      </c>
      <c r="X532">
        <v>20260416</v>
      </c>
      <c r="Z532" t="s">
        <v>68</v>
      </c>
      <c r="AA532">
        <v>3974527</v>
      </c>
      <c r="AB532" t="s">
        <v>81</v>
      </c>
      <c r="AE532">
        <v>0.54813657407407412</v>
      </c>
      <c r="AF532" t="s">
        <v>70</v>
      </c>
    </row>
    <row r="533" spans="1:32">
      <c r="A533">
        <v>1023366</v>
      </c>
      <c r="B533" t="s">
        <v>75</v>
      </c>
      <c r="C533" t="s">
        <v>62</v>
      </c>
      <c r="D533">
        <v>46127</v>
      </c>
      <c r="E533">
        <v>46127</v>
      </c>
      <c r="G533">
        <v>362</v>
      </c>
      <c r="H533" t="s">
        <v>63</v>
      </c>
      <c r="I533">
        <v>7866</v>
      </c>
      <c r="J533">
        <v>157462</v>
      </c>
      <c r="L533" t="s">
        <v>902</v>
      </c>
      <c r="M533" t="s">
        <v>65</v>
      </c>
      <c r="N533" t="s">
        <v>66</v>
      </c>
      <c r="O533" s="2">
        <v>46127</v>
      </c>
      <c r="P533" s="1">
        <v>269</v>
      </c>
      <c r="Q533" t="s">
        <v>67</v>
      </c>
      <c r="R533">
        <v>7.77</v>
      </c>
      <c r="S533">
        <v>1.58</v>
      </c>
      <c r="T533">
        <v>0.28000000000000003</v>
      </c>
      <c r="U533">
        <v>260.95</v>
      </c>
      <c r="V533" s="1">
        <v>0</v>
      </c>
      <c r="X533">
        <v>20260416</v>
      </c>
      <c r="Z533" t="s">
        <v>72</v>
      </c>
      <c r="AA533">
        <v>3974527</v>
      </c>
      <c r="AB533" t="s">
        <v>81</v>
      </c>
      <c r="AE533">
        <v>0.55341435185185184</v>
      </c>
      <c r="AF533" t="s">
        <v>70</v>
      </c>
    </row>
    <row r="534" spans="1:32">
      <c r="A534">
        <v>1023366</v>
      </c>
      <c r="B534" t="s">
        <v>75</v>
      </c>
      <c r="C534" t="s">
        <v>62</v>
      </c>
      <c r="D534">
        <v>46127</v>
      </c>
      <c r="E534">
        <v>46127</v>
      </c>
      <c r="G534">
        <v>362</v>
      </c>
      <c r="H534" t="s">
        <v>63</v>
      </c>
      <c r="I534">
        <v>7869</v>
      </c>
      <c r="J534">
        <v>266430</v>
      </c>
      <c r="L534" t="s">
        <v>903</v>
      </c>
      <c r="M534" t="s">
        <v>65</v>
      </c>
      <c r="N534" t="s">
        <v>66</v>
      </c>
      <c r="O534" s="2">
        <v>46127</v>
      </c>
      <c r="P534" s="1">
        <v>1588</v>
      </c>
      <c r="Q534" t="s">
        <v>67</v>
      </c>
      <c r="R534">
        <v>45.89</v>
      </c>
      <c r="S534">
        <v>20.48</v>
      </c>
      <c r="T534">
        <v>3.69</v>
      </c>
      <c r="U534">
        <v>1538.42</v>
      </c>
      <c r="V534" s="1">
        <v>0</v>
      </c>
      <c r="X534">
        <v>20260416</v>
      </c>
      <c r="Z534" t="s">
        <v>68</v>
      </c>
      <c r="AA534">
        <v>3974527</v>
      </c>
      <c r="AB534" t="s">
        <v>81</v>
      </c>
      <c r="AE534">
        <v>0.5728240740740741</v>
      </c>
      <c r="AF534" t="s">
        <v>70</v>
      </c>
    </row>
    <row r="535" spans="1:32">
      <c r="A535">
        <v>1023366</v>
      </c>
      <c r="B535" t="s">
        <v>75</v>
      </c>
      <c r="C535" t="s">
        <v>62</v>
      </c>
      <c r="D535">
        <v>46127</v>
      </c>
      <c r="E535">
        <v>46127</v>
      </c>
      <c r="G535">
        <v>362</v>
      </c>
      <c r="H535" t="s">
        <v>63</v>
      </c>
      <c r="I535">
        <v>7871</v>
      </c>
      <c r="J535">
        <v>321027</v>
      </c>
      <c r="K535">
        <v>3</v>
      </c>
      <c r="L535" t="s">
        <v>904</v>
      </c>
      <c r="M535" t="s">
        <v>65</v>
      </c>
      <c r="N535" t="s">
        <v>66</v>
      </c>
      <c r="O535" s="2">
        <v>46127</v>
      </c>
      <c r="P535" s="1">
        <v>179</v>
      </c>
      <c r="Q535" t="s">
        <v>67</v>
      </c>
      <c r="R535">
        <v>8.3000000000000007</v>
      </c>
      <c r="S535">
        <v>1.41</v>
      </c>
      <c r="T535">
        <v>0.25</v>
      </c>
      <c r="U535">
        <v>170.45</v>
      </c>
      <c r="V535" s="1">
        <v>0</v>
      </c>
      <c r="X535">
        <v>20260416</v>
      </c>
      <c r="Z535" t="s">
        <v>72</v>
      </c>
      <c r="AA535">
        <v>3974527</v>
      </c>
      <c r="AB535" t="s">
        <v>93</v>
      </c>
      <c r="AC535" t="s">
        <v>120</v>
      </c>
      <c r="AE535">
        <v>0.58255787037037032</v>
      </c>
      <c r="AF535" t="s">
        <v>70</v>
      </c>
    </row>
    <row r="536" spans="1:32">
      <c r="A536">
        <v>1023366</v>
      </c>
      <c r="B536" t="s">
        <v>75</v>
      </c>
      <c r="C536" t="s">
        <v>62</v>
      </c>
      <c r="D536">
        <v>46127</v>
      </c>
      <c r="E536">
        <v>46127</v>
      </c>
      <c r="G536">
        <v>362</v>
      </c>
      <c r="H536" t="s">
        <v>63</v>
      </c>
      <c r="I536">
        <v>7873</v>
      </c>
      <c r="J536">
        <v>400318</v>
      </c>
      <c r="L536" t="s">
        <v>905</v>
      </c>
      <c r="M536" t="s">
        <v>65</v>
      </c>
      <c r="N536" t="s">
        <v>66</v>
      </c>
      <c r="O536" s="2">
        <v>46127</v>
      </c>
      <c r="P536" s="1">
        <v>269</v>
      </c>
      <c r="Q536" t="s">
        <v>67</v>
      </c>
      <c r="R536">
        <v>7.77</v>
      </c>
      <c r="S536">
        <v>3.47</v>
      </c>
      <c r="T536">
        <v>0.62</v>
      </c>
      <c r="U536">
        <v>260.61</v>
      </c>
      <c r="V536" s="1">
        <v>0</v>
      </c>
      <c r="X536">
        <v>20260416</v>
      </c>
      <c r="Z536" t="s">
        <v>68</v>
      </c>
      <c r="AA536">
        <v>3974527</v>
      </c>
      <c r="AB536" t="s">
        <v>79</v>
      </c>
      <c r="AE536">
        <v>0.607025462962963</v>
      </c>
      <c r="AF536" t="s">
        <v>70</v>
      </c>
    </row>
    <row r="537" spans="1:32">
      <c r="A537">
        <v>1023366</v>
      </c>
      <c r="B537" t="s">
        <v>75</v>
      </c>
      <c r="C537" t="s">
        <v>62</v>
      </c>
      <c r="D537">
        <v>46127</v>
      </c>
      <c r="E537">
        <v>46127</v>
      </c>
      <c r="G537">
        <v>362</v>
      </c>
      <c r="H537" t="s">
        <v>63</v>
      </c>
      <c r="I537">
        <v>7875</v>
      </c>
      <c r="J537">
        <v>884545</v>
      </c>
      <c r="L537" t="s">
        <v>906</v>
      </c>
      <c r="M537" t="s">
        <v>65</v>
      </c>
      <c r="N537" t="s">
        <v>66</v>
      </c>
      <c r="O537" s="2">
        <v>46127</v>
      </c>
      <c r="P537" s="1">
        <v>179</v>
      </c>
      <c r="Q537" t="s">
        <v>67</v>
      </c>
      <c r="R537">
        <v>5.17</v>
      </c>
      <c r="S537">
        <v>2.31</v>
      </c>
      <c r="T537">
        <v>0.42</v>
      </c>
      <c r="U537">
        <v>173.41</v>
      </c>
      <c r="V537" s="1">
        <v>0</v>
      </c>
      <c r="X537">
        <v>20260416</v>
      </c>
      <c r="Z537" t="s">
        <v>68</v>
      </c>
      <c r="AA537">
        <v>3974527</v>
      </c>
      <c r="AB537" t="s">
        <v>81</v>
      </c>
      <c r="AE537">
        <v>0.61302083333333335</v>
      </c>
      <c r="AF537" t="s">
        <v>70</v>
      </c>
    </row>
    <row r="538" spans="1:32">
      <c r="A538">
        <v>1023366</v>
      </c>
      <c r="B538" t="s">
        <v>75</v>
      </c>
      <c r="C538" t="s">
        <v>62</v>
      </c>
      <c r="D538">
        <v>46127</v>
      </c>
      <c r="E538">
        <v>46127</v>
      </c>
      <c r="G538">
        <v>362</v>
      </c>
      <c r="H538" t="s">
        <v>63</v>
      </c>
      <c r="I538">
        <v>7877</v>
      </c>
      <c r="J538">
        <v>3371</v>
      </c>
      <c r="L538" t="s">
        <v>907</v>
      </c>
      <c r="M538" t="s">
        <v>65</v>
      </c>
      <c r="N538" t="s">
        <v>66</v>
      </c>
      <c r="O538" s="2">
        <v>46127</v>
      </c>
      <c r="P538" s="1">
        <v>1799</v>
      </c>
      <c r="Q538" t="s">
        <v>67</v>
      </c>
      <c r="R538">
        <v>51.99</v>
      </c>
      <c r="S538">
        <v>10.61</v>
      </c>
      <c r="T538">
        <v>1.91</v>
      </c>
      <c r="U538">
        <v>1745.1</v>
      </c>
      <c r="V538" s="1">
        <v>0</v>
      </c>
      <c r="X538">
        <v>20260416</v>
      </c>
      <c r="Z538" t="s">
        <v>72</v>
      </c>
      <c r="AA538">
        <v>3974527</v>
      </c>
      <c r="AB538" t="s">
        <v>79</v>
      </c>
      <c r="AE538">
        <v>0.62630787037037039</v>
      </c>
      <c r="AF538" t="s">
        <v>70</v>
      </c>
    </row>
    <row r="539" spans="1:32">
      <c r="A539">
        <v>1023366</v>
      </c>
      <c r="B539" t="s">
        <v>75</v>
      </c>
      <c r="C539" t="s">
        <v>62</v>
      </c>
      <c r="D539">
        <v>46127</v>
      </c>
      <c r="E539">
        <v>46127</v>
      </c>
      <c r="G539">
        <v>362</v>
      </c>
      <c r="H539" t="s">
        <v>63</v>
      </c>
      <c r="I539">
        <v>7879</v>
      </c>
      <c r="J539">
        <v>448753</v>
      </c>
      <c r="L539" t="s">
        <v>908</v>
      </c>
      <c r="M539" t="s">
        <v>65</v>
      </c>
      <c r="N539" t="s">
        <v>66</v>
      </c>
      <c r="O539" s="2">
        <v>46127</v>
      </c>
      <c r="P539" s="1">
        <v>65</v>
      </c>
      <c r="Q539" t="s">
        <v>67</v>
      </c>
      <c r="R539">
        <v>1.88</v>
      </c>
      <c r="S539">
        <v>0.51</v>
      </c>
      <c r="T539">
        <v>0.09</v>
      </c>
      <c r="U539">
        <v>63.03</v>
      </c>
      <c r="V539" s="1">
        <v>0</v>
      </c>
      <c r="X539">
        <v>20260416</v>
      </c>
      <c r="Z539" t="s">
        <v>68</v>
      </c>
      <c r="AA539">
        <v>3974527</v>
      </c>
      <c r="AB539" t="s">
        <v>79</v>
      </c>
      <c r="AE539">
        <v>0.62762731481481482</v>
      </c>
      <c r="AF539" t="s">
        <v>70</v>
      </c>
    </row>
    <row r="540" spans="1:32">
      <c r="A540">
        <v>1023366</v>
      </c>
      <c r="B540" t="s">
        <v>75</v>
      </c>
      <c r="C540" t="s">
        <v>62</v>
      </c>
      <c r="D540">
        <v>46127</v>
      </c>
      <c r="E540">
        <v>46127</v>
      </c>
      <c r="G540">
        <v>362</v>
      </c>
      <c r="H540" t="s">
        <v>63</v>
      </c>
      <c r="I540">
        <v>7881</v>
      </c>
      <c r="J540">
        <v>77303</v>
      </c>
      <c r="L540" t="s">
        <v>909</v>
      </c>
      <c r="M540" t="s">
        <v>65</v>
      </c>
      <c r="N540" t="s">
        <v>66</v>
      </c>
      <c r="O540" s="2">
        <v>46127</v>
      </c>
      <c r="P540" s="1">
        <v>699</v>
      </c>
      <c r="Q540" t="s">
        <v>67</v>
      </c>
      <c r="R540">
        <v>20.2</v>
      </c>
      <c r="S540">
        <v>9.02</v>
      </c>
      <c r="T540">
        <v>1.62</v>
      </c>
      <c r="U540">
        <v>677.18</v>
      </c>
      <c r="V540" s="1">
        <v>0</v>
      </c>
      <c r="X540">
        <v>20260416</v>
      </c>
      <c r="Z540" t="s">
        <v>68</v>
      </c>
      <c r="AA540">
        <v>3974527</v>
      </c>
      <c r="AB540" t="s">
        <v>84</v>
      </c>
      <c r="AE540">
        <v>0.68214120370370368</v>
      </c>
      <c r="AF540" t="s">
        <v>70</v>
      </c>
    </row>
    <row r="541" spans="1:32">
      <c r="A541">
        <v>1023366</v>
      </c>
      <c r="B541" t="s">
        <v>75</v>
      </c>
      <c r="C541" t="s">
        <v>62</v>
      </c>
      <c r="D541">
        <v>46127</v>
      </c>
      <c r="E541">
        <v>46127</v>
      </c>
      <c r="G541">
        <v>362</v>
      </c>
      <c r="H541" t="s">
        <v>63</v>
      </c>
      <c r="I541">
        <v>7888</v>
      </c>
      <c r="J541">
        <v>931377</v>
      </c>
      <c r="K541">
        <v>3</v>
      </c>
      <c r="L541" t="s">
        <v>910</v>
      </c>
      <c r="M541" t="s">
        <v>96</v>
      </c>
      <c r="N541" t="s">
        <v>66</v>
      </c>
      <c r="O541" s="2">
        <v>46127</v>
      </c>
      <c r="P541" s="1">
        <v>949</v>
      </c>
      <c r="Q541" t="s">
        <v>67</v>
      </c>
      <c r="R541">
        <v>37.01</v>
      </c>
      <c r="S541">
        <v>18.22</v>
      </c>
      <c r="T541">
        <v>3.28</v>
      </c>
      <c r="U541">
        <v>908.71</v>
      </c>
      <c r="V541" s="1">
        <v>0</v>
      </c>
      <c r="X541">
        <v>20260416</v>
      </c>
      <c r="Z541" t="s">
        <v>72</v>
      </c>
      <c r="AA541">
        <v>3974527</v>
      </c>
      <c r="AB541" t="s">
        <v>97</v>
      </c>
      <c r="AC541" t="s">
        <v>74</v>
      </c>
      <c r="AE541">
        <v>0.7053356481481482</v>
      </c>
      <c r="AF541" t="s">
        <v>70</v>
      </c>
    </row>
    <row r="542" spans="1:32">
      <c r="A542">
        <v>1023366</v>
      </c>
      <c r="B542" t="s">
        <v>75</v>
      </c>
      <c r="C542" t="s">
        <v>62</v>
      </c>
      <c r="D542">
        <v>46127</v>
      </c>
      <c r="E542">
        <v>46127</v>
      </c>
      <c r="G542">
        <v>362</v>
      </c>
      <c r="H542" t="s">
        <v>63</v>
      </c>
      <c r="I542">
        <v>7891</v>
      </c>
      <c r="J542">
        <v>8838</v>
      </c>
      <c r="L542" t="s">
        <v>911</v>
      </c>
      <c r="M542" t="s">
        <v>65</v>
      </c>
      <c r="N542" t="s">
        <v>66</v>
      </c>
      <c r="O542" s="2">
        <v>46127</v>
      </c>
      <c r="P542" s="1">
        <v>229</v>
      </c>
      <c r="Q542" t="s">
        <v>67</v>
      </c>
      <c r="R542">
        <v>6.62</v>
      </c>
      <c r="S542">
        <v>0.89</v>
      </c>
      <c r="T542">
        <v>0.16</v>
      </c>
      <c r="U542">
        <v>222.22</v>
      </c>
      <c r="V542" s="1">
        <v>0</v>
      </c>
      <c r="X542">
        <v>20260416</v>
      </c>
      <c r="Z542" t="s">
        <v>72</v>
      </c>
      <c r="AA542">
        <v>3974527</v>
      </c>
      <c r="AB542" t="s">
        <v>79</v>
      </c>
      <c r="AE542">
        <v>0.71106481481481476</v>
      </c>
      <c r="AF542" t="s">
        <v>70</v>
      </c>
    </row>
    <row r="543" spans="1:32">
      <c r="A543">
        <v>1023366</v>
      </c>
      <c r="B543" t="s">
        <v>75</v>
      </c>
      <c r="C543" t="s">
        <v>62</v>
      </c>
      <c r="D543">
        <v>46127</v>
      </c>
      <c r="E543">
        <v>46127</v>
      </c>
      <c r="G543">
        <v>362</v>
      </c>
      <c r="H543" t="s">
        <v>63</v>
      </c>
      <c r="I543">
        <v>7893</v>
      </c>
      <c r="J543">
        <v>463043</v>
      </c>
      <c r="L543" t="s">
        <v>450</v>
      </c>
      <c r="M543" t="s">
        <v>65</v>
      </c>
      <c r="N543" t="s">
        <v>66</v>
      </c>
      <c r="O543" s="2">
        <v>46127</v>
      </c>
      <c r="P543" s="1">
        <v>269</v>
      </c>
      <c r="Q543" t="s">
        <v>67</v>
      </c>
      <c r="R543">
        <v>7.77</v>
      </c>
      <c r="S543">
        <v>1.58</v>
      </c>
      <c r="T543">
        <v>0.28000000000000003</v>
      </c>
      <c r="U543">
        <v>260.95</v>
      </c>
      <c r="V543" s="1">
        <v>0</v>
      </c>
      <c r="X543">
        <v>20260416</v>
      </c>
      <c r="Z543" t="s">
        <v>72</v>
      </c>
      <c r="AA543">
        <v>3974527</v>
      </c>
      <c r="AB543" t="s">
        <v>77</v>
      </c>
      <c r="AE543">
        <v>0.74052083333333329</v>
      </c>
      <c r="AF543" t="s">
        <v>70</v>
      </c>
    </row>
    <row r="544" spans="1:32">
      <c r="A544">
        <v>1023366</v>
      </c>
      <c r="B544" t="s">
        <v>75</v>
      </c>
      <c r="C544" t="s">
        <v>62</v>
      </c>
      <c r="D544">
        <v>46127</v>
      </c>
      <c r="E544">
        <v>46127</v>
      </c>
      <c r="G544">
        <v>362</v>
      </c>
      <c r="H544" t="s">
        <v>63</v>
      </c>
      <c r="I544">
        <v>7898</v>
      </c>
      <c r="J544">
        <v>65343</v>
      </c>
      <c r="L544" t="s">
        <v>912</v>
      </c>
      <c r="M544" t="s">
        <v>65</v>
      </c>
      <c r="N544" t="s">
        <v>66</v>
      </c>
      <c r="O544" s="2">
        <v>46127</v>
      </c>
      <c r="P544" s="1">
        <v>159</v>
      </c>
      <c r="Q544" t="s">
        <v>67</v>
      </c>
      <c r="R544">
        <v>4.5999999999999996</v>
      </c>
      <c r="S544">
        <v>0.94</v>
      </c>
      <c r="T544">
        <v>0.17</v>
      </c>
      <c r="U544">
        <v>154.22999999999999</v>
      </c>
      <c r="V544" s="1">
        <v>0</v>
      </c>
      <c r="X544">
        <v>20260416</v>
      </c>
      <c r="Z544" t="s">
        <v>72</v>
      </c>
      <c r="AA544">
        <v>3974527</v>
      </c>
      <c r="AB544" t="s">
        <v>77</v>
      </c>
      <c r="AE544">
        <v>0.75468749999999996</v>
      </c>
      <c r="AF544" t="s">
        <v>70</v>
      </c>
    </row>
    <row r="545" spans="1:32">
      <c r="A545">
        <v>1023366</v>
      </c>
      <c r="B545" t="s">
        <v>75</v>
      </c>
      <c r="C545" t="s">
        <v>62</v>
      </c>
      <c r="D545">
        <v>46127</v>
      </c>
      <c r="E545">
        <v>46127</v>
      </c>
      <c r="G545">
        <v>362</v>
      </c>
      <c r="H545" t="s">
        <v>63</v>
      </c>
      <c r="I545">
        <v>7901</v>
      </c>
      <c r="J545">
        <v>700912</v>
      </c>
      <c r="L545" t="s">
        <v>913</v>
      </c>
      <c r="M545" t="s">
        <v>65</v>
      </c>
      <c r="N545" t="s">
        <v>66</v>
      </c>
      <c r="O545" s="2">
        <v>46127</v>
      </c>
      <c r="P545" s="1">
        <v>149</v>
      </c>
      <c r="Q545" t="s">
        <v>67</v>
      </c>
      <c r="R545">
        <v>4.3099999999999996</v>
      </c>
      <c r="S545">
        <v>1.93</v>
      </c>
      <c r="T545">
        <v>0.35</v>
      </c>
      <c r="U545">
        <v>144.34</v>
      </c>
      <c r="V545" s="1">
        <v>0</v>
      </c>
      <c r="X545">
        <v>20260416</v>
      </c>
      <c r="Z545" t="s">
        <v>68</v>
      </c>
      <c r="AA545">
        <v>3974527</v>
      </c>
      <c r="AB545" t="s">
        <v>81</v>
      </c>
      <c r="AE545">
        <v>0.77306712962962965</v>
      </c>
      <c r="AF545" t="s">
        <v>70</v>
      </c>
    </row>
    <row r="546" spans="1:32">
      <c r="A546">
        <v>1023366</v>
      </c>
      <c r="B546" t="s">
        <v>75</v>
      </c>
      <c r="C546" t="s">
        <v>62</v>
      </c>
      <c r="D546">
        <v>46127</v>
      </c>
      <c r="E546">
        <v>46127</v>
      </c>
      <c r="G546">
        <v>362</v>
      </c>
      <c r="H546">
        <v>65656565</v>
      </c>
      <c r="I546">
        <v>7905</v>
      </c>
      <c r="J546">
        <v>758935</v>
      </c>
      <c r="L546" t="s">
        <v>434</v>
      </c>
      <c r="M546" t="s">
        <v>65</v>
      </c>
      <c r="N546" t="s">
        <v>66</v>
      </c>
      <c r="O546" s="2">
        <v>46127</v>
      </c>
      <c r="P546" s="1">
        <v>69</v>
      </c>
      <c r="Q546" t="s">
        <v>67</v>
      </c>
      <c r="R546">
        <v>1.99</v>
      </c>
      <c r="S546">
        <v>0.89</v>
      </c>
      <c r="T546">
        <v>0.16</v>
      </c>
      <c r="U546">
        <v>66.849999999999994</v>
      </c>
      <c r="V546" s="1">
        <v>0</v>
      </c>
      <c r="X546">
        <v>20260416</v>
      </c>
      <c r="Z546" t="s">
        <v>68</v>
      </c>
      <c r="AA546">
        <v>3974527</v>
      </c>
      <c r="AB546" t="s">
        <v>79</v>
      </c>
      <c r="AD546" t="s">
        <v>88</v>
      </c>
      <c r="AE546">
        <v>0.79234953703703703</v>
      </c>
      <c r="AF546" t="s">
        <v>70</v>
      </c>
    </row>
    <row r="547" spans="1:32">
      <c r="A547">
        <v>1023366</v>
      </c>
      <c r="B547" t="s">
        <v>75</v>
      </c>
      <c r="C547" t="s">
        <v>62</v>
      </c>
      <c r="D547">
        <v>46127</v>
      </c>
      <c r="E547">
        <v>46127</v>
      </c>
      <c r="G547">
        <v>362</v>
      </c>
      <c r="H547" t="s">
        <v>63</v>
      </c>
      <c r="I547">
        <v>7908</v>
      </c>
      <c r="J547">
        <v>423833</v>
      </c>
      <c r="L547" t="s">
        <v>914</v>
      </c>
      <c r="M547" t="s">
        <v>65</v>
      </c>
      <c r="N547" t="s">
        <v>66</v>
      </c>
      <c r="O547" s="2">
        <v>46127</v>
      </c>
      <c r="P547" s="1">
        <v>98</v>
      </c>
      <c r="Q547" t="s">
        <v>67</v>
      </c>
      <c r="R547">
        <v>2.83</v>
      </c>
      <c r="S547">
        <v>0.57999999999999996</v>
      </c>
      <c r="T547">
        <v>0.1</v>
      </c>
      <c r="U547">
        <v>95.07</v>
      </c>
      <c r="V547" s="1">
        <v>0</v>
      </c>
      <c r="X547">
        <v>20260416</v>
      </c>
      <c r="Z547" t="s">
        <v>72</v>
      </c>
      <c r="AA547">
        <v>3974527</v>
      </c>
      <c r="AB547" t="s">
        <v>93</v>
      </c>
      <c r="AE547">
        <v>0.79515046296296299</v>
      </c>
      <c r="AF547" t="s">
        <v>70</v>
      </c>
    </row>
    <row r="548" spans="1:32">
      <c r="A548">
        <v>1023366</v>
      </c>
      <c r="B548" t="s">
        <v>75</v>
      </c>
      <c r="C548" t="s">
        <v>62</v>
      </c>
      <c r="D548">
        <v>46127</v>
      </c>
      <c r="E548">
        <v>46127</v>
      </c>
      <c r="G548">
        <v>362</v>
      </c>
      <c r="H548" t="s">
        <v>63</v>
      </c>
      <c r="I548">
        <v>7910</v>
      </c>
      <c r="J548">
        <v>225773</v>
      </c>
      <c r="L548" t="s">
        <v>915</v>
      </c>
      <c r="M548" t="s">
        <v>65</v>
      </c>
      <c r="N548" t="s">
        <v>66</v>
      </c>
      <c r="O548" s="2">
        <v>46127</v>
      </c>
      <c r="P548" s="1">
        <v>34.799999999999997</v>
      </c>
      <c r="Q548" t="s">
        <v>67</v>
      </c>
      <c r="R548">
        <v>1.01</v>
      </c>
      <c r="S548">
        <v>0.28000000000000003</v>
      </c>
      <c r="T548">
        <v>0.05</v>
      </c>
      <c r="U548">
        <v>33.74</v>
      </c>
      <c r="V548" s="1">
        <v>0</v>
      </c>
      <c r="X548">
        <v>20260416</v>
      </c>
      <c r="Z548" t="s">
        <v>72</v>
      </c>
      <c r="AA548">
        <v>3974527</v>
      </c>
      <c r="AB548" t="s">
        <v>77</v>
      </c>
      <c r="AE548">
        <v>0.80751157407407403</v>
      </c>
      <c r="AF548" t="s">
        <v>70</v>
      </c>
    </row>
    <row r="549" spans="1:32">
      <c r="A549">
        <v>1023366</v>
      </c>
      <c r="B549" t="s">
        <v>75</v>
      </c>
      <c r="C549" t="s">
        <v>62</v>
      </c>
      <c r="D549">
        <v>46127</v>
      </c>
      <c r="E549">
        <v>46127</v>
      </c>
      <c r="G549">
        <v>362</v>
      </c>
      <c r="H549" t="s">
        <v>63</v>
      </c>
      <c r="I549">
        <v>7913</v>
      </c>
      <c r="J549">
        <v>428201</v>
      </c>
      <c r="L549" t="s">
        <v>916</v>
      </c>
      <c r="M549" t="s">
        <v>65</v>
      </c>
      <c r="N549" t="s">
        <v>66</v>
      </c>
      <c r="O549" s="2">
        <v>46127</v>
      </c>
      <c r="P549" s="1">
        <v>269</v>
      </c>
      <c r="Q549" t="s">
        <v>67</v>
      </c>
      <c r="R549">
        <v>7.77</v>
      </c>
      <c r="S549">
        <v>3.47</v>
      </c>
      <c r="T549">
        <v>0.62</v>
      </c>
      <c r="U549">
        <v>260.61</v>
      </c>
      <c r="V549" s="1">
        <v>0</v>
      </c>
      <c r="X549">
        <v>20260416</v>
      </c>
      <c r="Z549" t="s">
        <v>68</v>
      </c>
      <c r="AA549">
        <v>3974527</v>
      </c>
      <c r="AB549" t="s">
        <v>81</v>
      </c>
      <c r="AE549">
        <v>0.8183449074074074</v>
      </c>
      <c r="AF549" t="s">
        <v>70</v>
      </c>
    </row>
    <row r="550" spans="1:32">
      <c r="A550">
        <v>1023366</v>
      </c>
      <c r="B550" t="s">
        <v>75</v>
      </c>
      <c r="C550" t="s">
        <v>62</v>
      </c>
      <c r="D550">
        <v>46127</v>
      </c>
      <c r="E550">
        <v>46127</v>
      </c>
      <c r="G550">
        <v>362</v>
      </c>
      <c r="H550" t="s">
        <v>63</v>
      </c>
      <c r="I550">
        <v>7915</v>
      </c>
      <c r="J550">
        <v>941175</v>
      </c>
      <c r="L550" t="s">
        <v>917</v>
      </c>
      <c r="M550" t="s">
        <v>65</v>
      </c>
      <c r="N550" t="s">
        <v>66</v>
      </c>
      <c r="O550" s="2">
        <v>46127</v>
      </c>
      <c r="P550" s="1">
        <v>2037.9</v>
      </c>
      <c r="Q550" t="s">
        <v>67</v>
      </c>
      <c r="R550">
        <v>58.9</v>
      </c>
      <c r="S550">
        <v>26.29</v>
      </c>
      <c r="T550">
        <v>4.7300000000000004</v>
      </c>
      <c r="U550">
        <v>1974.27</v>
      </c>
      <c r="V550" s="1">
        <v>0</v>
      </c>
      <c r="X550">
        <v>20260416</v>
      </c>
      <c r="Z550" t="s">
        <v>68</v>
      </c>
      <c r="AA550">
        <v>3974527</v>
      </c>
      <c r="AB550" t="s">
        <v>79</v>
      </c>
      <c r="AE550">
        <v>0.8316203703703704</v>
      </c>
      <c r="AF550" t="s">
        <v>70</v>
      </c>
    </row>
    <row r="551" spans="1:32">
      <c r="A551">
        <v>1023366</v>
      </c>
      <c r="B551" t="s">
        <v>75</v>
      </c>
      <c r="C551" t="s">
        <v>62</v>
      </c>
      <c r="D551">
        <v>46127</v>
      </c>
      <c r="E551">
        <v>46127</v>
      </c>
      <c r="G551">
        <v>362</v>
      </c>
      <c r="H551">
        <v>65656565</v>
      </c>
      <c r="I551">
        <v>7917</v>
      </c>
      <c r="J551">
        <v>6994</v>
      </c>
      <c r="L551" t="s">
        <v>918</v>
      </c>
      <c r="M551" t="s">
        <v>65</v>
      </c>
      <c r="N551" t="s">
        <v>66</v>
      </c>
      <c r="O551" s="2">
        <v>46127</v>
      </c>
      <c r="P551" s="1">
        <v>14.9</v>
      </c>
      <c r="Q551" t="s">
        <v>67</v>
      </c>
      <c r="R551">
        <v>0.43</v>
      </c>
      <c r="S551">
        <v>0.19</v>
      </c>
      <c r="T551">
        <v>0.03</v>
      </c>
      <c r="U551">
        <v>14.44</v>
      </c>
      <c r="V551" s="1">
        <v>0</v>
      </c>
      <c r="X551">
        <v>20260416</v>
      </c>
      <c r="Z551" t="s">
        <v>68</v>
      </c>
      <c r="AA551">
        <v>3974527</v>
      </c>
      <c r="AB551" t="s">
        <v>79</v>
      </c>
      <c r="AD551" t="s">
        <v>88</v>
      </c>
      <c r="AE551">
        <v>0.83863425925925927</v>
      </c>
      <c r="AF551" t="s">
        <v>70</v>
      </c>
    </row>
    <row r="552" spans="1:32">
      <c r="A552">
        <v>1023366</v>
      </c>
      <c r="B552" t="s">
        <v>75</v>
      </c>
      <c r="C552" t="s">
        <v>62</v>
      </c>
      <c r="D552">
        <v>46127</v>
      </c>
      <c r="E552">
        <v>46127</v>
      </c>
      <c r="G552">
        <v>362</v>
      </c>
      <c r="H552" t="s">
        <v>63</v>
      </c>
      <c r="I552">
        <v>7920</v>
      </c>
      <c r="J552">
        <v>640145</v>
      </c>
      <c r="L552" t="s">
        <v>919</v>
      </c>
      <c r="M552" t="s">
        <v>65</v>
      </c>
      <c r="N552" t="s">
        <v>66</v>
      </c>
      <c r="O552" s="2">
        <v>46127</v>
      </c>
      <c r="P552" s="1">
        <v>89</v>
      </c>
      <c r="Q552" t="s">
        <v>67</v>
      </c>
      <c r="R552">
        <v>2.57</v>
      </c>
      <c r="S552">
        <v>0.7</v>
      </c>
      <c r="T552">
        <v>0.13</v>
      </c>
      <c r="U552">
        <v>86.3</v>
      </c>
      <c r="V552" s="1">
        <v>0</v>
      </c>
      <c r="X552">
        <v>20260416</v>
      </c>
      <c r="Z552" t="s">
        <v>68</v>
      </c>
      <c r="AA552">
        <v>3974527</v>
      </c>
      <c r="AB552" t="s">
        <v>77</v>
      </c>
      <c r="AE552">
        <v>0.84086805555555555</v>
      </c>
      <c r="AF552" t="s">
        <v>70</v>
      </c>
    </row>
    <row r="553" spans="1:32">
      <c r="A553">
        <v>1023366</v>
      </c>
      <c r="B553" t="s">
        <v>75</v>
      </c>
      <c r="C553" t="s">
        <v>62</v>
      </c>
      <c r="D553">
        <v>46127</v>
      </c>
      <c r="E553">
        <v>46127</v>
      </c>
      <c r="G553">
        <v>362</v>
      </c>
      <c r="H553" t="s">
        <v>63</v>
      </c>
      <c r="I553">
        <v>7923</v>
      </c>
      <c r="J553">
        <v>863598</v>
      </c>
      <c r="L553" t="s">
        <v>920</v>
      </c>
      <c r="M553" t="s">
        <v>65</v>
      </c>
      <c r="N553" t="s">
        <v>66</v>
      </c>
      <c r="O553" s="2">
        <v>46127</v>
      </c>
      <c r="P553" s="1">
        <v>1098</v>
      </c>
      <c r="Q553" t="s">
        <v>67</v>
      </c>
      <c r="R553">
        <v>31.73</v>
      </c>
      <c r="S553">
        <v>4.28</v>
      </c>
      <c r="T553">
        <v>0.77</v>
      </c>
      <c r="U553">
        <v>1065.5</v>
      </c>
      <c r="V553" s="1">
        <v>0</v>
      </c>
      <c r="X553">
        <v>20260416</v>
      </c>
      <c r="Z553" t="s">
        <v>72</v>
      </c>
      <c r="AA553">
        <v>3974527</v>
      </c>
      <c r="AB553" t="s">
        <v>81</v>
      </c>
      <c r="AE553">
        <v>0.86593750000000003</v>
      </c>
      <c r="AF553" t="s">
        <v>70</v>
      </c>
    </row>
    <row r="554" spans="1:32">
      <c r="A554">
        <v>1023366</v>
      </c>
      <c r="B554" t="s">
        <v>75</v>
      </c>
      <c r="C554" t="s">
        <v>62</v>
      </c>
      <c r="D554">
        <v>46127</v>
      </c>
      <c r="E554">
        <v>46127</v>
      </c>
      <c r="G554">
        <v>362</v>
      </c>
      <c r="H554" t="s">
        <v>63</v>
      </c>
      <c r="I554">
        <v>7925</v>
      </c>
      <c r="J554">
        <v>943124</v>
      </c>
      <c r="L554" t="s">
        <v>921</v>
      </c>
      <c r="M554" t="s">
        <v>65</v>
      </c>
      <c r="N554" t="s">
        <v>66</v>
      </c>
      <c r="O554" s="2">
        <v>46127</v>
      </c>
      <c r="P554" s="1">
        <v>109</v>
      </c>
      <c r="Q554" t="s">
        <v>67</v>
      </c>
      <c r="R554">
        <v>3.15</v>
      </c>
      <c r="S554">
        <v>0.86</v>
      </c>
      <c r="T554">
        <v>0.15</v>
      </c>
      <c r="U554">
        <v>105.7</v>
      </c>
      <c r="V554" s="1">
        <v>10713.16</v>
      </c>
      <c r="W554">
        <v>46128</v>
      </c>
      <c r="X554">
        <v>20260416</v>
      </c>
      <c r="Z554" t="s">
        <v>72</v>
      </c>
      <c r="AA554">
        <v>3974527</v>
      </c>
      <c r="AB554" t="s">
        <v>106</v>
      </c>
      <c r="AE554">
        <v>0.87556712962962968</v>
      </c>
      <c r="AF554" t="s">
        <v>70</v>
      </c>
    </row>
    <row r="555" spans="1:32">
      <c r="A555">
        <v>1023366</v>
      </c>
      <c r="B555" t="s">
        <v>61</v>
      </c>
      <c r="C555" t="s">
        <v>62</v>
      </c>
      <c r="D555">
        <v>46128</v>
      </c>
      <c r="E555">
        <v>46128</v>
      </c>
      <c r="G555">
        <v>363</v>
      </c>
      <c r="H555" t="s">
        <v>63</v>
      </c>
      <c r="I555">
        <v>7955</v>
      </c>
      <c r="J555">
        <v>449970</v>
      </c>
      <c r="L555" t="s">
        <v>922</v>
      </c>
      <c r="M555" t="s">
        <v>65</v>
      </c>
      <c r="N555" t="s">
        <v>66</v>
      </c>
      <c r="O555" s="2">
        <v>46128</v>
      </c>
      <c r="P555" s="1">
        <v>249</v>
      </c>
      <c r="Q555" t="s">
        <v>67</v>
      </c>
      <c r="R555">
        <v>7.2</v>
      </c>
      <c r="S555">
        <v>1.97</v>
      </c>
      <c r="T555">
        <v>0.35</v>
      </c>
      <c r="U555">
        <v>241.45</v>
      </c>
      <c r="V555" s="1">
        <v>0</v>
      </c>
      <c r="X555">
        <v>20260417</v>
      </c>
      <c r="Z555" t="s">
        <v>72</v>
      </c>
      <c r="AA555">
        <v>3974527</v>
      </c>
      <c r="AB555" t="s">
        <v>73</v>
      </c>
      <c r="AE555">
        <v>0.45701388888888889</v>
      </c>
      <c r="AF555" t="s">
        <v>70</v>
      </c>
    </row>
    <row r="556" spans="1:32">
      <c r="A556">
        <v>1023366</v>
      </c>
      <c r="B556" t="s">
        <v>61</v>
      </c>
      <c r="C556" t="s">
        <v>62</v>
      </c>
      <c r="D556">
        <v>46128</v>
      </c>
      <c r="E556">
        <v>46128</v>
      </c>
      <c r="G556">
        <v>363</v>
      </c>
      <c r="H556" t="s">
        <v>63</v>
      </c>
      <c r="I556">
        <v>7992</v>
      </c>
      <c r="J556">
        <v>59670</v>
      </c>
      <c r="L556" t="s">
        <v>923</v>
      </c>
      <c r="M556" t="s">
        <v>65</v>
      </c>
      <c r="N556" t="s">
        <v>66</v>
      </c>
      <c r="O556" s="2">
        <v>46128</v>
      </c>
      <c r="P556" s="1">
        <v>159</v>
      </c>
      <c r="Q556" t="s">
        <v>67</v>
      </c>
      <c r="R556">
        <v>4.5999999999999996</v>
      </c>
      <c r="S556">
        <v>1.26</v>
      </c>
      <c r="T556">
        <v>0.23</v>
      </c>
      <c r="U556">
        <v>154.16999999999999</v>
      </c>
      <c r="V556" s="1">
        <v>0</v>
      </c>
      <c r="X556">
        <v>20260417</v>
      </c>
      <c r="Z556" t="s">
        <v>72</v>
      </c>
      <c r="AA556">
        <v>3974527</v>
      </c>
      <c r="AB556" t="s">
        <v>73</v>
      </c>
      <c r="AE556">
        <v>0.73711805555555554</v>
      </c>
      <c r="AF556" t="s">
        <v>70</v>
      </c>
    </row>
    <row r="557" spans="1:32">
      <c r="A557">
        <v>1023366</v>
      </c>
      <c r="B557" t="s">
        <v>61</v>
      </c>
      <c r="C557" t="s">
        <v>62</v>
      </c>
      <c r="D557">
        <v>46128</v>
      </c>
      <c r="E557">
        <v>46128</v>
      </c>
      <c r="G557">
        <v>363</v>
      </c>
      <c r="H557" t="s">
        <v>63</v>
      </c>
      <c r="I557">
        <v>7994</v>
      </c>
      <c r="J557">
        <v>243670</v>
      </c>
      <c r="L557" t="s">
        <v>924</v>
      </c>
      <c r="M557" t="s">
        <v>65</v>
      </c>
      <c r="N557" t="s">
        <v>66</v>
      </c>
      <c r="O557" s="2">
        <v>46128</v>
      </c>
      <c r="P557" s="1">
        <v>199</v>
      </c>
      <c r="Q557" t="s">
        <v>67</v>
      </c>
      <c r="R557">
        <v>5.75</v>
      </c>
      <c r="S557">
        <v>1.57</v>
      </c>
      <c r="T557">
        <v>0.28000000000000003</v>
      </c>
      <c r="U557">
        <v>192.97</v>
      </c>
      <c r="V557" s="1">
        <v>588.59</v>
      </c>
      <c r="W557">
        <v>46129</v>
      </c>
      <c r="X557">
        <v>20260417</v>
      </c>
      <c r="Z557" t="s">
        <v>72</v>
      </c>
      <c r="AA557">
        <v>3974527</v>
      </c>
      <c r="AB557" t="s">
        <v>73</v>
      </c>
      <c r="AE557">
        <v>0.75678240740740743</v>
      </c>
      <c r="AF557" t="s">
        <v>70</v>
      </c>
    </row>
    <row r="558" spans="1:32">
      <c r="A558">
        <v>1023366</v>
      </c>
      <c r="B558" t="s">
        <v>75</v>
      </c>
      <c r="C558" t="s">
        <v>62</v>
      </c>
      <c r="D558">
        <v>46128</v>
      </c>
      <c r="E558">
        <v>46128</v>
      </c>
      <c r="G558">
        <v>664</v>
      </c>
      <c r="H558" t="s">
        <v>720</v>
      </c>
      <c r="I558">
        <v>9169</v>
      </c>
      <c r="J558">
        <v>727495</v>
      </c>
      <c r="L558" t="s">
        <v>925</v>
      </c>
      <c r="M558" t="s">
        <v>96</v>
      </c>
      <c r="N558" t="s">
        <v>66</v>
      </c>
      <c r="O558" s="2">
        <v>46128</v>
      </c>
      <c r="P558" s="1">
        <v>1799</v>
      </c>
      <c r="Q558" t="s">
        <v>67</v>
      </c>
      <c r="R558">
        <v>51.99</v>
      </c>
      <c r="S558">
        <v>23.21</v>
      </c>
      <c r="T558">
        <v>4.18</v>
      </c>
      <c r="U558">
        <v>1742.83</v>
      </c>
      <c r="V558" s="1">
        <v>0</v>
      </c>
      <c r="X558">
        <v>20260417</v>
      </c>
      <c r="AA558" t="s">
        <v>350</v>
      </c>
      <c r="AB558" t="s">
        <v>93</v>
      </c>
      <c r="AE558">
        <v>0.7732175925925926</v>
      </c>
      <c r="AF558" t="s">
        <v>70</v>
      </c>
    </row>
    <row r="559" spans="1:32">
      <c r="A559">
        <v>1023366</v>
      </c>
      <c r="B559" t="s">
        <v>75</v>
      </c>
      <c r="C559" t="s">
        <v>62</v>
      </c>
      <c r="D559">
        <v>46128</v>
      </c>
      <c r="E559">
        <v>46128</v>
      </c>
      <c r="G559">
        <v>664</v>
      </c>
      <c r="H559" t="s">
        <v>720</v>
      </c>
      <c r="I559">
        <v>9171</v>
      </c>
      <c r="J559">
        <v>8484</v>
      </c>
      <c r="K559">
        <v>3</v>
      </c>
      <c r="L559" t="s">
        <v>926</v>
      </c>
      <c r="M559" t="s">
        <v>65</v>
      </c>
      <c r="N559" t="s">
        <v>66</v>
      </c>
      <c r="O559" s="2">
        <v>46128</v>
      </c>
      <c r="P559" s="1">
        <v>1799</v>
      </c>
      <c r="Q559" t="s">
        <v>67</v>
      </c>
      <c r="R559">
        <v>83.47</v>
      </c>
      <c r="S559">
        <v>14.21</v>
      </c>
      <c r="T559">
        <v>2.56</v>
      </c>
      <c r="U559">
        <v>1712.97</v>
      </c>
      <c r="V559" s="1">
        <v>0</v>
      </c>
      <c r="X559">
        <v>20260417</v>
      </c>
      <c r="Z559" t="s">
        <v>72</v>
      </c>
      <c r="AA559" t="s">
        <v>350</v>
      </c>
      <c r="AB559" t="s">
        <v>93</v>
      </c>
      <c r="AC559" t="s">
        <v>120</v>
      </c>
      <c r="AE559">
        <v>0.82040509259259264</v>
      </c>
      <c r="AF559" t="s">
        <v>70</v>
      </c>
    </row>
    <row r="560" spans="1:32">
      <c r="A560">
        <v>1023366</v>
      </c>
      <c r="B560" t="s">
        <v>75</v>
      </c>
      <c r="C560" t="s">
        <v>62</v>
      </c>
      <c r="D560">
        <v>46128</v>
      </c>
      <c r="E560">
        <v>46128</v>
      </c>
      <c r="G560">
        <v>664</v>
      </c>
      <c r="H560">
        <v>65656565</v>
      </c>
      <c r="I560">
        <v>9176</v>
      </c>
      <c r="J560">
        <v>482183</v>
      </c>
      <c r="L560" t="s">
        <v>927</v>
      </c>
      <c r="M560" t="s">
        <v>96</v>
      </c>
      <c r="N560" t="s">
        <v>66</v>
      </c>
      <c r="O560" s="2">
        <v>46128</v>
      </c>
      <c r="P560" s="1">
        <v>500</v>
      </c>
      <c r="Q560" t="s">
        <v>67</v>
      </c>
      <c r="R560">
        <v>14.45</v>
      </c>
      <c r="S560">
        <v>6.45</v>
      </c>
      <c r="T560">
        <v>1.1599999999999999</v>
      </c>
      <c r="U560">
        <v>484.39</v>
      </c>
      <c r="V560" s="1">
        <v>0</v>
      </c>
      <c r="X560">
        <v>20260417</v>
      </c>
      <c r="AA560" t="s">
        <v>350</v>
      </c>
      <c r="AB560" t="s">
        <v>79</v>
      </c>
      <c r="AD560" t="s">
        <v>88</v>
      </c>
      <c r="AE560">
        <v>0.86598379629629629</v>
      </c>
      <c r="AF560" t="s">
        <v>70</v>
      </c>
    </row>
    <row r="561" spans="1:32">
      <c r="A561">
        <v>1023366</v>
      </c>
      <c r="B561" t="s">
        <v>75</v>
      </c>
      <c r="C561" t="s">
        <v>62</v>
      </c>
      <c r="D561">
        <v>46128</v>
      </c>
      <c r="E561">
        <v>46128</v>
      </c>
      <c r="G561">
        <v>664</v>
      </c>
      <c r="H561" t="s">
        <v>720</v>
      </c>
      <c r="I561">
        <v>9181</v>
      </c>
      <c r="J561">
        <v>271937</v>
      </c>
      <c r="L561" t="s">
        <v>928</v>
      </c>
      <c r="M561" t="s">
        <v>96</v>
      </c>
      <c r="N561" t="s">
        <v>66</v>
      </c>
      <c r="O561" s="2">
        <v>46128</v>
      </c>
      <c r="P561" s="1">
        <v>143.1</v>
      </c>
      <c r="Q561" t="s">
        <v>67</v>
      </c>
      <c r="R561">
        <v>4.1399999999999997</v>
      </c>
      <c r="S561">
        <v>1.1299999999999999</v>
      </c>
      <c r="T561">
        <v>0.2</v>
      </c>
      <c r="U561">
        <v>138.76</v>
      </c>
      <c r="V561" s="1">
        <v>0</v>
      </c>
      <c r="X561">
        <v>20260417</v>
      </c>
      <c r="AA561" t="s">
        <v>350</v>
      </c>
      <c r="AB561" t="s">
        <v>93</v>
      </c>
      <c r="AE561">
        <v>0.86869212962962961</v>
      </c>
      <c r="AF561" t="s">
        <v>70</v>
      </c>
    </row>
    <row r="562" spans="1:32">
      <c r="A562">
        <v>1023366</v>
      </c>
      <c r="B562" t="s">
        <v>75</v>
      </c>
      <c r="C562" t="s">
        <v>62</v>
      </c>
      <c r="D562">
        <v>46128</v>
      </c>
      <c r="E562">
        <v>46128</v>
      </c>
      <c r="G562">
        <v>363</v>
      </c>
      <c r="H562" t="s">
        <v>63</v>
      </c>
      <c r="I562">
        <v>7940</v>
      </c>
      <c r="J562">
        <v>7055</v>
      </c>
      <c r="L562" t="s">
        <v>929</v>
      </c>
      <c r="M562" t="s">
        <v>96</v>
      </c>
      <c r="N562" t="s">
        <v>66</v>
      </c>
      <c r="O562" s="2">
        <v>46128</v>
      </c>
      <c r="P562" s="1">
        <v>89.9</v>
      </c>
      <c r="Q562" t="s">
        <v>67</v>
      </c>
      <c r="R562">
        <v>2.6</v>
      </c>
      <c r="S562">
        <v>0.71</v>
      </c>
      <c r="T562">
        <v>0.13</v>
      </c>
      <c r="U562">
        <v>87.17</v>
      </c>
      <c r="V562" s="1">
        <v>0</v>
      </c>
      <c r="X562">
        <v>20260417</v>
      </c>
      <c r="AA562">
        <v>3974527</v>
      </c>
      <c r="AB562" t="s">
        <v>93</v>
      </c>
      <c r="AE562">
        <v>0.42405092592592591</v>
      </c>
      <c r="AF562" t="s">
        <v>70</v>
      </c>
    </row>
    <row r="563" spans="1:32">
      <c r="A563">
        <v>1023366</v>
      </c>
      <c r="B563" t="s">
        <v>75</v>
      </c>
      <c r="C563" t="s">
        <v>62</v>
      </c>
      <c r="D563">
        <v>46128</v>
      </c>
      <c r="E563">
        <v>46128</v>
      </c>
      <c r="G563">
        <v>363</v>
      </c>
      <c r="H563" t="s">
        <v>63</v>
      </c>
      <c r="I563">
        <v>7953</v>
      </c>
      <c r="J563">
        <v>495939</v>
      </c>
      <c r="L563" t="s">
        <v>930</v>
      </c>
      <c r="M563" t="s">
        <v>65</v>
      </c>
      <c r="N563" t="s">
        <v>66</v>
      </c>
      <c r="O563" s="2">
        <v>46128</v>
      </c>
      <c r="P563" s="1">
        <v>7.9</v>
      </c>
      <c r="Q563" t="s">
        <v>67</v>
      </c>
      <c r="R563">
        <v>0.23</v>
      </c>
      <c r="S563">
        <v>0.05</v>
      </c>
      <c r="T563">
        <v>0.01</v>
      </c>
      <c r="U563">
        <v>7.66</v>
      </c>
      <c r="V563" s="1">
        <v>0</v>
      </c>
      <c r="X563">
        <v>20260417</v>
      </c>
      <c r="Z563" t="s">
        <v>72</v>
      </c>
      <c r="AA563">
        <v>3974527</v>
      </c>
      <c r="AB563" t="s">
        <v>77</v>
      </c>
      <c r="AE563">
        <v>0.45128472222222221</v>
      </c>
      <c r="AF563" t="s">
        <v>70</v>
      </c>
    </row>
    <row r="564" spans="1:32">
      <c r="A564">
        <v>1023366</v>
      </c>
      <c r="B564" t="s">
        <v>75</v>
      </c>
      <c r="C564" t="s">
        <v>62</v>
      </c>
      <c r="D564">
        <v>46128</v>
      </c>
      <c r="E564">
        <v>46128</v>
      </c>
      <c r="G564">
        <v>363</v>
      </c>
      <c r="H564" t="s">
        <v>63</v>
      </c>
      <c r="I564">
        <v>7957</v>
      </c>
      <c r="J564">
        <v>32862</v>
      </c>
      <c r="L564" t="s">
        <v>931</v>
      </c>
      <c r="M564" t="s">
        <v>96</v>
      </c>
      <c r="N564" t="s">
        <v>66</v>
      </c>
      <c r="O564" s="2">
        <v>46128</v>
      </c>
      <c r="P564" s="1">
        <v>109</v>
      </c>
      <c r="Q564" t="s">
        <v>67</v>
      </c>
      <c r="R564">
        <v>3.15</v>
      </c>
      <c r="S564">
        <v>0.86</v>
      </c>
      <c r="T564">
        <v>0.15</v>
      </c>
      <c r="U564">
        <v>105.7</v>
      </c>
      <c r="V564" s="1">
        <v>0</v>
      </c>
      <c r="X564">
        <v>20260417</v>
      </c>
      <c r="AA564">
        <v>3974527</v>
      </c>
      <c r="AB564" t="s">
        <v>84</v>
      </c>
      <c r="AE564">
        <v>0.47078703703703706</v>
      </c>
      <c r="AF564" t="s">
        <v>70</v>
      </c>
    </row>
    <row r="565" spans="1:32">
      <c r="A565">
        <v>1023366</v>
      </c>
      <c r="B565" t="s">
        <v>75</v>
      </c>
      <c r="C565" t="s">
        <v>62</v>
      </c>
      <c r="D565">
        <v>46128</v>
      </c>
      <c r="E565">
        <v>46128</v>
      </c>
      <c r="G565">
        <v>363</v>
      </c>
      <c r="H565" t="s">
        <v>63</v>
      </c>
      <c r="I565">
        <v>7960</v>
      </c>
      <c r="J565">
        <v>200987</v>
      </c>
      <c r="L565" t="s">
        <v>932</v>
      </c>
      <c r="M565" t="s">
        <v>65</v>
      </c>
      <c r="N565" t="s">
        <v>66</v>
      </c>
      <c r="O565" s="2">
        <v>46128</v>
      </c>
      <c r="P565" s="1">
        <v>179</v>
      </c>
      <c r="Q565" t="s">
        <v>67</v>
      </c>
      <c r="R565">
        <v>5.17</v>
      </c>
      <c r="S565">
        <v>2.31</v>
      </c>
      <c r="T565">
        <v>0.42</v>
      </c>
      <c r="U565">
        <v>173.41</v>
      </c>
      <c r="V565" s="1">
        <v>0</v>
      </c>
      <c r="X565">
        <v>20260417</v>
      </c>
      <c r="Z565" t="s">
        <v>68</v>
      </c>
      <c r="AA565">
        <v>3974527</v>
      </c>
      <c r="AB565" t="s">
        <v>77</v>
      </c>
      <c r="AE565">
        <v>0.50129629629629635</v>
      </c>
      <c r="AF565" t="s">
        <v>70</v>
      </c>
    </row>
    <row r="566" spans="1:32">
      <c r="A566">
        <v>1023366</v>
      </c>
      <c r="B566" t="s">
        <v>75</v>
      </c>
      <c r="C566" t="s">
        <v>62</v>
      </c>
      <c r="D566">
        <v>46128</v>
      </c>
      <c r="E566">
        <v>46128</v>
      </c>
      <c r="G566">
        <v>363</v>
      </c>
      <c r="H566" t="s">
        <v>63</v>
      </c>
      <c r="I566">
        <v>7962</v>
      </c>
      <c r="J566">
        <v>498697</v>
      </c>
      <c r="L566" t="s">
        <v>933</v>
      </c>
      <c r="M566" t="s">
        <v>96</v>
      </c>
      <c r="N566" t="s">
        <v>66</v>
      </c>
      <c r="O566" s="2">
        <v>46128</v>
      </c>
      <c r="P566" s="1">
        <v>228</v>
      </c>
      <c r="Q566" t="s">
        <v>67</v>
      </c>
      <c r="R566">
        <v>6.59</v>
      </c>
      <c r="S566">
        <v>1.8</v>
      </c>
      <c r="T566">
        <v>0.32</v>
      </c>
      <c r="U566">
        <v>221.09</v>
      </c>
      <c r="V566" s="1">
        <v>0</v>
      </c>
      <c r="X566">
        <v>20260417</v>
      </c>
      <c r="AA566">
        <v>3974527</v>
      </c>
      <c r="AB566" t="s">
        <v>93</v>
      </c>
      <c r="AE566">
        <v>0.52773148148148152</v>
      </c>
      <c r="AF566" t="s">
        <v>70</v>
      </c>
    </row>
    <row r="567" spans="1:32">
      <c r="A567">
        <v>1023366</v>
      </c>
      <c r="B567" t="s">
        <v>75</v>
      </c>
      <c r="C567" t="s">
        <v>62</v>
      </c>
      <c r="D567">
        <v>46128</v>
      </c>
      <c r="E567">
        <v>46128</v>
      </c>
      <c r="G567">
        <v>363</v>
      </c>
      <c r="H567">
        <v>65656565</v>
      </c>
      <c r="I567">
        <v>7964</v>
      </c>
      <c r="J567">
        <v>933133</v>
      </c>
      <c r="L567" t="s">
        <v>934</v>
      </c>
      <c r="M567" t="s">
        <v>96</v>
      </c>
      <c r="N567" t="s">
        <v>66</v>
      </c>
      <c r="O567" s="2">
        <v>46128</v>
      </c>
      <c r="P567" s="1">
        <v>105</v>
      </c>
      <c r="Q567" t="s">
        <v>67</v>
      </c>
      <c r="R567">
        <v>3.03</v>
      </c>
      <c r="S567">
        <v>1.35</v>
      </c>
      <c r="T567">
        <v>0.24</v>
      </c>
      <c r="U567">
        <v>101.73</v>
      </c>
      <c r="V567" s="1">
        <v>0</v>
      </c>
      <c r="X567">
        <v>20260417</v>
      </c>
      <c r="AA567">
        <v>3974527</v>
      </c>
      <c r="AB567" t="s">
        <v>79</v>
      </c>
      <c r="AD567" t="s">
        <v>88</v>
      </c>
      <c r="AE567">
        <v>0.55153935185185188</v>
      </c>
      <c r="AF567" t="s">
        <v>70</v>
      </c>
    </row>
    <row r="568" spans="1:32">
      <c r="A568">
        <v>1023366</v>
      </c>
      <c r="B568" t="s">
        <v>75</v>
      </c>
      <c r="C568" t="s">
        <v>62</v>
      </c>
      <c r="D568">
        <v>46128</v>
      </c>
      <c r="E568">
        <v>46128</v>
      </c>
      <c r="G568">
        <v>363</v>
      </c>
      <c r="H568">
        <v>65656565</v>
      </c>
      <c r="I568">
        <v>7967</v>
      </c>
      <c r="J568">
        <v>885129</v>
      </c>
      <c r="L568" t="s">
        <v>434</v>
      </c>
      <c r="M568" t="s">
        <v>96</v>
      </c>
      <c r="N568" t="s">
        <v>66</v>
      </c>
      <c r="O568" s="2">
        <v>46128</v>
      </c>
      <c r="P568" s="1">
        <v>138</v>
      </c>
      <c r="Q568" t="s">
        <v>67</v>
      </c>
      <c r="R568">
        <v>3.98</v>
      </c>
      <c r="S568">
        <v>1.77</v>
      </c>
      <c r="T568">
        <v>0.32</v>
      </c>
      <c r="U568">
        <v>133.69999999999999</v>
      </c>
      <c r="V568" s="1">
        <v>0</v>
      </c>
      <c r="X568">
        <v>20260417</v>
      </c>
      <c r="AA568">
        <v>3974527</v>
      </c>
      <c r="AB568" t="s">
        <v>79</v>
      </c>
      <c r="AD568" t="s">
        <v>88</v>
      </c>
      <c r="AE568">
        <v>0.55564814814814811</v>
      </c>
      <c r="AF568" t="s">
        <v>70</v>
      </c>
    </row>
    <row r="569" spans="1:32">
      <c r="A569">
        <v>1023366</v>
      </c>
      <c r="B569" t="s">
        <v>75</v>
      </c>
      <c r="C569" t="s">
        <v>62</v>
      </c>
      <c r="D569">
        <v>46128</v>
      </c>
      <c r="E569">
        <v>46128</v>
      </c>
      <c r="G569">
        <v>363</v>
      </c>
      <c r="H569" t="s">
        <v>63</v>
      </c>
      <c r="I569">
        <v>7970</v>
      </c>
      <c r="J569">
        <v>764884</v>
      </c>
      <c r="K569">
        <v>3</v>
      </c>
      <c r="L569" t="s">
        <v>935</v>
      </c>
      <c r="M569" t="s">
        <v>96</v>
      </c>
      <c r="N569" t="s">
        <v>66</v>
      </c>
      <c r="O569" s="2">
        <v>46128</v>
      </c>
      <c r="P569" s="1">
        <v>249</v>
      </c>
      <c r="Q569" t="s">
        <v>67</v>
      </c>
      <c r="R569">
        <v>11.56</v>
      </c>
      <c r="S569">
        <v>1.47</v>
      </c>
      <c r="T569">
        <v>0.26</v>
      </c>
      <c r="U569">
        <v>237.18</v>
      </c>
      <c r="V569" s="1">
        <v>0</v>
      </c>
      <c r="X569">
        <v>20260417</v>
      </c>
      <c r="AA569">
        <v>3974527</v>
      </c>
      <c r="AB569" t="s">
        <v>93</v>
      </c>
      <c r="AC569" t="s">
        <v>120</v>
      </c>
      <c r="AE569">
        <v>0.57576388888888885</v>
      </c>
      <c r="AF569" t="s">
        <v>70</v>
      </c>
    </row>
    <row r="570" spans="1:32">
      <c r="A570">
        <v>1023366</v>
      </c>
      <c r="B570" t="s">
        <v>75</v>
      </c>
      <c r="C570" t="s">
        <v>62</v>
      </c>
      <c r="D570">
        <v>46128</v>
      </c>
      <c r="E570">
        <v>46128</v>
      </c>
      <c r="G570">
        <v>363</v>
      </c>
      <c r="H570" t="s">
        <v>63</v>
      </c>
      <c r="I570">
        <v>7972</v>
      </c>
      <c r="J570">
        <v>772197</v>
      </c>
      <c r="K570">
        <v>3</v>
      </c>
      <c r="L570" t="s">
        <v>936</v>
      </c>
      <c r="M570" t="s">
        <v>96</v>
      </c>
      <c r="N570" t="s">
        <v>66</v>
      </c>
      <c r="O570" s="2">
        <v>46128</v>
      </c>
      <c r="P570" s="1">
        <v>388</v>
      </c>
      <c r="Q570" t="s">
        <v>67</v>
      </c>
      <c r="R570">
        <v>18</v>
      </c>
      <c r="S570">
        <v>2.29</v>
      </c>
      <c r="T570">
        <v>0.41</v>
      </c>
      <c r="U570">
        <v>369.59</v>
      </c>
      <c r="V570" s="1">
        <v>0</v>
      </c>
      <c r="X570">
        <v>20260417</v>
      </c>
      <c r="AA570">
        <v>3974527</v>
      </c>
      <c r="AB570" t="s">
        <v>93</v>
      </c>
      <c r="AC570" t="s">
        <v>120</v>
      </c>
      <c r="AE570">
        <v>0.57707175925925924</v>
      </c>
      <c r="AF570" t="s">
        <v>70</v>
      </c>
    </row>
    <row r="571" spans="1:32">
      <c r="A571">
        <v>1023366</v>
      </c>
      <c r="B571" t="s">
        <v>75</v>
      </c>
      <c r="C571" t="s">
        <v>62</v>
      </c>
      <c r="D571">
        <v>46128</v>
      </c>
      <c r="E571">
        <v>46128</v>
      </c>
      <c r="G571">
        <v>363</v>
      </c>
      <c r="H571" t="s">
        <v>63</v>
      </c>
      <c r="I571">
        <v>7974</v>
      </c>
      <c r="J571">
        <v>834137</v>
      </c>
      <c r="L571" t="s">
        <v>937</v>
      </c>
      <c r="M571" t="s">
        <v>96</v>
      </c>
      <c r="N571" t="s">
        <v>66</v>
      </c>
      <c r="O571" s="2">
        <v>46128</v>
      </c>
      <c r="P571" s="1">
        <v>189</v>
      </c>
      <c r="Q571" t="s">
        <v>67</v>
      </c>
      <c r="R571">
        <v>5.46</v>
      </c>
      <c r="S571">
        <v>2.44</v>
      </c>
      <c r="T571">
        <v>0.44</v>
      </c>
      <c r="U571">
        <v>183.1</v>
      </c>
      <c r="V571" s="1">
        <v>0</v>
      </c>
      <c r="X571">
        <v>20260417</v>
      </c>
      <c r="AA571">
        <v>3974527</v>
      </c>
      <c r="AB571" t="s">
        <v>93</v>
      </c>
      <c r="AE571">
        <v>0.58873842592592596</v>
      </c>
      <c r="AF571" t="s">
        <v>70</v>
      </c>
    </row>
    <row r="572" spans="1:32">
      <c r="A572">
        <v>1023366</v>
      </c>
      <c r="B572" t="s">
        <v>75</v>
      </c>
      <c r="C572" t="s">
        <v>62</v>
      </c>
      <c r="D572">
        <v>46128</v>
      </c>
      <c r="E572">
        <v>46128</v>
      </c>
      <c r="G572">
        <v>363</v>
      </c>
      <c r="H572" t="s">
        <v>63</v>
      </c>
      <c r="I572">
        <v>7978</v>
      </c>
      <c r="J572">
        <v>109366</v>
      </c>
      <c r="L572" t="s">
        <v>938</v>
      </c>
      <c r="M572" t="s">
        <v>96</v>
      </c>
      <c r="N572" t="s">
        <v>66</v>
      </c>
      <c r="O572" s="2">
        <v>46128</v>
      </c>
      <c r="P572" s="1">
        <v>149</v>
      </c>
      <c r="Q572" t="s">
        <v>67</v>
      </c>
      <c r="R572">
        <v>4.3099999999999996</v>
      </c>
      <c r="S572">
        <v>1.93</v>
      </c>
      <c r="T572">
        <v>0.35</v>
      </c>
      <c r="U572">
        <v>144.34</v>
      </c>
      <c r="V572" s="1">
        <v>0</v>
      </c>
      <c r="X572">
        <v>20260417</v>
      </c>
      <c r="AA572">
        <v>3974527</v>
      </c>
      <c r="AB572" t="s">
        <v>79</v>
      </c>
      <c r="AE572">
        <v>0.62186342592592592</v>
      </c>
      <c r="AF572" t="s">
        <v>70</v>
      </c>
    </row>
    <row r="573" spans="1:32">
      <c r="A573">
        <v>1023366</v>
      </c>
      <c r="B573" t="s">
        <v>75</v>
      </c>
      <c r="C573" t="s">
        <v>62</v>
      </c>
      <c r="D573">
        <v>46128</v>
      </c>
      <c r="E573">
        <v>46128</v>
      </c>
      <c r="G573">
        <v>363</v>
      </c>
      <c r="H573" t="s">
        <v>63</v>
      </c>
      <c r="I573">
        <v>7980</v>
      </c>
      <c r="J573">
        <v>5657</v>
      </c>
      <c r="L573" t="s">
        <v>939</v>
      </c>
      <c r="M573" t="s">
        <v>96</v>
      </c>
      <c r="N573" t="s">
        <v>66</v>
      </c>
      <c r="O573" s="2">
        <v>46128</v>
      </c>
      <c r="P573" s="1">
        <v>17.899999999999999</v>
      </c>
      <c r="Q573" t="s">
        <v>67</v>
      </c>
      <c r="R573">
        <v>0.52</v>
      </c>
      <c r="S573">
        <v>0.14000000000000001</v>
      </c>
      <c r="T573">
        <v>0.03</v>
      </c>
      <c r="U573">
        <v>17.350000000000001</v>
      </c>
      <c r="V573" s="1">
        <v>0</v>
      </c>
      <c r="X573">
        <v>20260417</v>
      </c>
      <c r="AA573">
        <v>3974527</v>
      </c>
      <c r="AB573" t="s">
        <v>79</v>
      </c>
      <c r="AE573">
        <v>0.62631944444444443</v>
      </c>
      <c r="AF573" t="s">
        <v>70</v>
      </c>
    </row>
    <row r="574" spans="1:32">
      <c r="A574">
        <v>1023366</v>
      </c>
      <c r="B574" t="s">
        <v>75</v>
      </c>
      <c r="C574" t="s">
        <v>62</v>
      </c>
      <c r="D574">
        <v>46128</v>
      </c>
      <c r="E574">
        <v>46128</v>
      </c>
      <c r="G574">
        <v>363</v>
      </c>
      <c r="H574" t="s">
        <v>63</v>
      </c>
      <c r="I574">
        <v>7982</v>
      </c>
      <c r="J574">
        <v>2398</v>
      </c>
      <c r="K574">
        <v>2</v>
      </c>
      <c r="L574" t="s">
        <v>940</v>
      </c>
      <c r="M574" t="s">
        <v>96</v>
      </c>
      <c r="N574" t="s">
        <v>66</v>
      </c>
      <c r="O574" s="2">
        <v>46128</v>
      </c>
      <c r="P574" s="1">
        <v>349</v>
      </c>
      <c r="Q574" t="s">
        <v>67</v>
      </c>
      <c r="R574">
        <v>10.09</v>
      </c>
      <c r="S574">
        <v>2.76</v>
      </c>
      <c r="T574">
        <v>0.5</v>
      </c>
      <c r="U574">
        <v>338.41</v>
      </c>
      <c r="V574" s="1">
        <v>0</v>
      </c>
      <c r="X574">
        <v>20260417</v>
      </c>
      <c r="AA574">
        <v>3974527</v>
      </c>
      <c r="AB574" t="s">
        <v>79</v>
      </c>
      <c r="AC574" t="s">
        <v>74</v>
      </c>
      <c r="AE574">
        <v>0.63498842592592597</v>
      </c>
      <c r="AF574" t="s">
        <v>70</v>
      </c>
    </row>
    <row r="575" spans="1:32">
      <c r="A575">
        <v>1023366</v>
      </c>
      <c r="B575" t="s">
        <v>75</v>
      </c>
      <c r="C575" t="s">
        <v>62</v>
      </c>
      <c r="D575">
        <v>46128</v>
      </c>
      <c r="E575">
        <v>46128</v>
      </c>
      <c r="G575">
        <v>363</v>
      </c>
      <c r="H575" t="s">
        <v>63</v>
      </c>
      <c r="I575">
        <v>7984</v>
      </c>
      <c r="J575">
        <v>634978</v>
      </c>
      <c r="L575" t="s">
        <v>941</v>
      </c>
      <c r="M575" t="s">
        <v>65</v>
      </c>
      <c r="N575" t="s">
        <v>66</v>
      </c>
      <c r="O575" s="2">
        <v>46128</v>
      </c>
      <c r="P575" s="1">
        <v>89.9</v>
      </c>
      <c r="Q575" t="s">
        <v>67</v>
      </c>
      <c r="R575">
        <v>2.6</v>
      </c>
      <c r="S575">
        <v>1.1599999999999999</v>
      </c>
      <c r="T575">
        <v>0.21</v>
      </c>
      <c r="U575">
        <v>87.09</v>
      </c>
      <c r="V575" s="1">
        <v>0</v>
      </c>
      <c r="X575">
        <v>20260417</v>
      </c>
      <c r="Z575" t="s">
        <v>68</v>
      </c>
      <c r="AA575">
        <v>3974527</v>
      </c>
      <c r="AB575" t="s">
        <v>77</v>
      </c>
      <c r="AE575">
        <v>0.71091435185185181</v>
      </c>
      <c r="AF575" t="s">
        <v>70</v>
      </c>
    </row>
    <row r="576" spans="1:32">
      <c r="A576">
        <v>1023366</v>
      </c>
      <c r="B576" t="s">
        <v>75</v>
      </c>
      <c r="C576" t="s">
        <v>62</v>
      </c>
      <c r="D576">
        <v>46128</v>
      </c>
      <c r="E576">
        <v>46128</v>
      </c>
      <c r="G576">
        <v>363</v>
      </c>
      <c r="H576" t="s">
        <v>63</v>
      </c>
      <c r="I576">
        <v>7986</v>
      </c>
      <c r="J576">
        <v>230365</v>
      </c>
      <c r="K576">
        <v>3</v>
      </c>
      <c r="L576" t="s">
        <v>942</v>
      </c>
      <c r="M576" t="s">
        <v>96</v>
      </c>
      <c r="N576" t="s">
        <v>66</v>
      </c>
      <c r="O576" s="2">
        <v>46128</v>
      </c>
      <c r="P576" s="1">
        <v>105</v>
      </c>
      <c r="Q576" t="s">
        <v>67</v>
      </c>
      <c r="R576">
        <v>3.03</v>
      </c>
      <c r="S576">
        <v>0.82</v>
      </c>
      <c r="T576">
        <v>0.15</v>
      </c>
      <c r="U576">
        <v>101.82</v>
      </c>
      <c r="V576" s="1">
        <v>0</v>
      </c>
      <c r="X576">
        <v>20260417</v>
      </c>
      <c r="AA576">
        <v>3974527</v>
      </c>
      <c r="AB576" t="s">
        <v>77</v>
      </c>
      <c r="AC576" t="s">
        <v>74</v>
      </c>
      <c r="AE576">
        <v>0.72424768518518523</v>
      </c>
      <c r="AF576" t="s">
        <v>70</v>
      </c>
    </row>
    <row r="577" spans="1:32">
      <c r="A577">
        <v>1023366</v>
      </c>
      <c r="B577" t="s">
        <v>75</v>
      </c>
      <c r="C577" t="s">
        <v>62</v>
      </c>
      <c r="D577">
        <v>46128</v>
      </c>
      <c r="E577">
        <v>46128</v>
      </c>
      <c r="G577">
        <v>363</v>
      </c>
      <c r="H577" t="s">
        <v>63</v>
      </c>
      <c r="I577">
        <v>7997</v>
      </c>
      <c r="J577">
        <v>456274</v>
      </c>
      <c r="L577" t="s">
        <v>943</v>
      </c>
      <c r="M577" t="s">
        <v>96</v>
      </c>
      <c r="N577" t="s">
        <v>66</v>
      </c>
      <c r="O577" s="2">
        <v>46128</v>
      </c>
      <c r="P577" s="1">
        <v>169</v>
      </c>
      <c r="Q577" t="s">
        <v>67</v>
      </c>
      <c r="R577">
        <v>4.88</v>
      </c>
      <c r="S577">
        <v>2.1800000000000002</v>
      </c>
      <c r="T577">
        <v>0.39</v>
      </c>
      <c r="U577">
        <v>163.72999999999999</v>
      </c>
      <c r="V577" s="1">
        <v>0</v>
      </c>
      <c r="X577">
        <v>20260417</v>
      </c>
      <c r="AA577">
        <v>3974527</v>
      </c>
      <c r="AB577" t="s">
        <v>81</v>
      </c>
      <c r="AE577">
        <v>0.7650231481481482</v>
      </c>
      <c r="AF577" t="s">
        <v>70</v>
      </c>
    </row>
    <row r="578" spans="1:32">
      <c r="A578">
        <v>1023366</v>
      </c>
      <c r="B578" t="s">
        <v>75</v>
      </c>
      <c r="C578" t="s">
        <v>62</v>
      </c>
      <c r="D578">
        <v>46128</v>
      </c>
      <c r="E578">
        <v>46128</v>
      </c>
      <c r="G578">
        <v>363</v>
      </c>
      <c r="H578" t="s">
        <v>63</v>
      </c>
      <c r="I578">
        <v>7999</v>
      </c>
      <c r="J578">
        <v>845162</v>
      </c>
      <c r="L578" t="s">
        <v>944</v>
      </c>
      <c r="M578" t="s">
        <v>96</v>
      </c>
      <c r="N578" t="s">
        <v>66</v>
      </c>
      <c r="O578" s="2">
        <v>46128</v>
      </c>
      <c r="P578" s="1">
        <v>128</v>
      </c>
      <c r="Q578" t="s">
        <v>67</v>
      </c>
      <c r="R578">
        <v>3.7</v>
      </c>
      <c r="S578">
        <v>1.65</v>
      </c>
      <c r="T578">
        <v>0.3</v>
      </c>
      <c r="U578">
        <v>124</v>
      </c>
      <c r="V578" s="1">
        <v>0</v>
      </c>
      <c r="X578">
        <v>20260417</v>
      </c>
      <c r="AA578">
        <v>3974527</v>
      </c>
      <c r="AB578" t="s">
        <v>77</v>
      </c>
      <c r="AE578">
        <v>0.76761574074074079</v>
      </c>
      <c r="AF578" t="s">
        <v>70</v>
      </c>
    </row>
    <row r="579" spans="1:32">
      <c r="A579">
        <v>1023366</v>
      </c>
      <c r="B579" t="s">
        <v>75</v>
      </c>
      <c r="C579" t="s">
        <v>62</v>
      </c>
      <c r="D579">
        <v>46128</v>
      </c>
      <c r="E579">
        <v>46128</v>
      </c>
      <c r="G579">
        <v>363</v>
      </c>
      <c r="H579" t="s">
        <v>63</v>
      </c>
      <c r="I579">
        <v>8001</v>
      </c>
      <c r="J579">
        <v>35611</v>
      </c>
      <c r="L579" t="s">
        <v>945</v>
      </c>
      <c r="M579" t="s">
        <v>96</v>
      </c>
      <c r="N579" t="s">
        <v>66</v>
      </c>
      <c r="O579" s="2">
        <v>46128</v>
      </c>
      <c r="P579" s="1">
        <v>1598</v>
      </c>
      <c r="Q579" t="s">
        <v>67</v>
      </c>
      <c r="R579">
        <v>46.18</v>
      </c>
      <c r="S579">
        <v>12.62</v>
      </c>
      <c r="T579">
        <v>2.27</v>
      </c>
      <c r="U579">
        <v>1549.55</v>
      </c>
      <c r="V579" s="1">
        <v>0</v>
      </c>
      <c r="X579">
        <v>20260417</v>
      </c>
      <c r="AA579">
        <v>3974527</v>
      </c>
      <c r="AB579" t="s">
        <v>84</v>
      </c>
      <c r="AE579">
        <v>0.76937500000000003</v>
      </c>
      <c r="AF579" t="s">
        <v>70</v>
      </c>
    </row>
    <row r="580" spans="1:32">
      <c r="A580">
        <v>1023366</v>
      </c>
      <c r="B580" t="s">
        <v>75</v>
      </c>
      <c r="C580" t="s">
        <v>62</v>
      </c>
      <c r="D580">
        <v>46128</v>
      </c>
      <c r="E580">
        <v>46128</v>
      </c>
      <c r="G580">
        <v>363</v>
      </c>
      <c r="H580">
        <v>65656565</v>
      </c>
      <c r="I580">
        <v>8003</v>
      </c>
      <c r="J580">
        <v>477045</v>
      </c>
      <c r="L580" t="s">
        <v>946</v>
      </c>
      <c r="M580" t="s">
        <v>96</v>
      </c>
      <c r="N580" t="s">
        <v>66</v>
      </c>
      <c r="O580" s="2">
        <v>46128</v>
      </c>
      <c r="P580" s="1">
        <v>105</v>
      </c>
      <c r="Q580" t="s">
        <v>67</v>
      </c>
      <c r="R580">
        <v>3.03</v>
      </c>
      <c r="S580">
        <v>1.35</v>
      </c>
      <c r="T580">
        <v>0.24</v>
      </c>
      <c r="U580">
        <v>101.73</v>
      </c>
      <c r="V580" s="1">
        <v>0</v>
      </c>
      <c r="X580">
        <v>20260417</v>
      </c>
      <c r="AA580">
        <v>3974527</v>
      </c>
      <c r="AB580" t="s">
        <v>79</v>
      </c>
      <c r="AD580" t="s">
        <v>88</v>
      </c>
      <c r="AE580">
        <v>0.77226851851851852</v>
      </c>
      <c r="AF580" t="s">
        <v>70</v>
      </c>
    </row>
    <row r="581" spans="1:32">
      <c r="A581">
        <v>1023366</v>
      </c>
      <c r="B581" t="s">
        <v>75</v>
      </c>
      <c r="C581" t="s">
        <v>62</v>
      </c>
      <c r="D581">
        <v>46128</v>
      </c>
      <c r="E581">
        <v>46128</v>
      </c>
      <c r="G581">
        <v>363</v>
      </c>
      <c r="H581" t="s">
        <v>63</v>
      </c>
      <c r="I581">
        <v>8007</v>
      </c>
      <c r="J581">
        <v>995401</v>
      </c>
      <c r="L581" t="s">
        <v>947</v>
      </c>
      <c r="M581" t="s">
        <v>65</v>
      </c>
      <c r="N581" t="s">
        <v>66</v>
      </c>
      <c r="O581" s="2">
        <v>46128</v>
      </c>
      <c r="P581" s="1">
        <v>5</v>
      </c>
      <c r="Q581" t="s">
        <v>67</v>
      </c>
      <c r="R581">
        <v>0.14000000000000001</v>
      </c>
      <c r="S581">
        <v>0.06</v>
      </c>
      <c r="T581">
        <v>0.01</v>
      </c>
      <c r="U581">
        <v>4.8499999999999996</v>
      </c>
      <c r="V581" s="1">
        <v>0</v>
      </c>
      <c r="X581">
        <v>20260417</v>
      </c>
      <c r="Z581" t="s">
        <v>68</v>
      </c>
      <c r="AA581">
        <v>3974527</v>
      </c>
      <c r="AB581" t="s">
        <v>81</v>
      </c>
      <c r="AE581">
        <v>0.77357638888888891</v>
      </c>
      <c r="AF581" t="s">
        <v>70</v>
      </c>
    </row>
    <row r="582" spans="1:32">
      <c r="A582">
        <v>1023366</v>
      </c>
      <c r="B582" t="s">
        <v>75</v>
      </c>
      <c r="C582" t="s">
        <v>62</v>
      </c>
      <c r="D582">
        <v>46128</v>
      </c>
      <c r="E582">
        <v>46128</v>
      </c>
      <c r="G582">
        <v>363</v>
      </c>
      <c r="H582" t="s">
        <v>63</v>
      </c>
      <c r="I582">
        <v>8009</v>
      </c>
      <c r="J582">
        <v>394288</v>
      </c>
      <c r="L582" t="s">
        <v>948</v>
      </c>
      <c r="M582" t="s">
        <v>96</v>
      </c>
      <c r="N582" t="s">
        <v>66</v>
      </c>
      <c r="O582" s="2">
        <v>46128</v>
      </c>
      <c r="P582" s="1">
        <v>349</v>
      </c>
      <c r="Q582" t="s">
        <v>67</v>
      </c>
      <c r="R582">
        <v>10.09</v>
      </c>
      <c r="S582">
        <v>1.36</v>
      </c>
      <c r="T582">
        <v>0.24</v>
      </c>
      <c r="U582">
        <v>338.67</v>
      </c>
      <c r="V582" s="1">
        <v>0</v>
      </c>
      <c r="X582">
        <v>20260417</v>
      </c>
      <c r="AA582">
        <v>3974527</v>
      </c>
      <c r="AB582" t="s">
        <v>77</v>
      </c>
      <c r="AE582">
        <v>0.77747685185185189</v>
      </c>
      <c r="AF582" t="s">
        <v>70</v>
      </c>
    </row>
    <row r="583" spans="1:32">
      <c r="A583">
        <v>1023366</v>
      </c>
      <c r="B583" t="s">
        <v>75</v>
      </c>
      <c r="C583" t="s">
        <v>62</v>
      </c>
      <c r="D583">
        <v>46128</v>
      </c>
      <c r="E583">
        <v>46128</v>
      </c>
      <c r="G583">
        <v>363</v>
      </c>
      <c r="H583" t="s">
        <v>63</v>
      </c>
      <c r="I583">
        <v>8011</v>
      </c>
      <c r="J583">
        <v>464452</v>
      </c>
      <c r="L583" t="s">
        <v>949</v>
      </c>
      <c r="M583" t="s">
        <v>65</v>
      </c>
      <c r="N583" t="s">
        <v>66</v>
      </c>
      <c r="O583" s="2">
        <v>46128</v>
      </c>
      <c r="P583" s="1">
        <v>55</v>
      </c>
      <c r="Q583" t="s">
        <v>67</v>
      </c>
      <c r="R583">
        <v>1.59</v>
      </c>
      <c r="S583">
        <v>0.71</v>
      </c>
      <c r="T583">
        <v>0.13</v>
      </c>
      <c r="U583">
        <v>53.28</v>
      </c>
      <c r="V583" s="1">
        <v>0</v>
      </c>
      <c r="X583">
        <v>20260417</v>
      </c>
      <c r="Z583" t="s">
        <v>68</v>
      </c>
      <c r="AA583">
        <v>3974527</v>
      </c>
      <c r="AB583" t="s">
        <v>77</v>
      </c>
      <c r="AE583">
        <v>0.78021990740740743</v>
      </c>
      <c r="AF583" t="s">
        <v>70</v>
      </c>
    </row>
    <row r="584" spans="1:32">
      <c r="A584">
        <v>1023366</v>
      </c>
      <c r="B584" t="s">
        <v>75</v>
      </c>
      <c r="C584" t="s">
        <v>62</v>
      </c>
      <c r="D584">
        <v>46128</v>
      </c>
      <c r="E584">
        <v>46128</v>
      </c>
      <c r="G584">
        <v>363</v>
      </c>
      <c r="H584" t="s">
        <v>63</v>
      </c>
      <c r="I584">
        <v>8013</v>
      </c>
      <c r="J584">
        <v>39632</v>
      </c>
      <c r="L584" t="s">
        <v>950</v>
      </c>
      <c r="M584" t="s">
        <v>65</v>
      </c>
      <c r="N584" t="s">
        <v>66</v>
      </c>
      <c r="O584" s="2">
        <v>46128</v>
      </c>
      <c r="P584" s="1">
        <v>379</v>
      </c>
      <c r="Q584" t="s">
        <v>67</v>
      </c>
      <c r="R584">
        <v>10.95</v>
      </c>
      <c r="S584">
        <v>1.47</v>
      </c>
      <c r="T584">
        <v>0.26</v>
      </c>
      <c r="U584">
        <v>367.79</v>
      </c>
      <c r="V584" s="1">
        <v>0</v>
      </c>
      <c r="X584">
        <v>20260417</v>
      </c>
      <c r="Z584" t="s">
        <v>72</v>
      </c>
      <c r="AA584">
        <v>3974527</v>
      </c>
      <c r="AB584" t="s">
        <v>84</v>
      </c>
      <c r="AE584">
        <v>0.78291666666666671</v>
      </c>
      <c r="AF584" t="s">
        <v>70</v>
      </c>
    </row>
    <row r="585" spans="1:32">
      <c r="A585">
        <v>1023366</v>
      </c>
      <c r="B585" t="s">
        <v>75</v>
      </c>
      <c r="C585" t="s">
        <v>62</v>
      </c>
      <c r="D585">
        <v>46128</v>
      </c>
      <c r="E585">
        <v>46128</v>
      </c>
      <c r="G585">
        <v>363</v>
      </c>
      <c r="H585" t="s">
        <v>63</v>
      </c>
      <c r="I585">
        <v>8015</v>
      </c>
      <c r="J585">
        <v>455026</v>
      </c>
      <c r="L585" t="s">
        <v>951</v>
      </c>
      <c r="M585" t="s">
        <v>65</v>
      </c>
      <c r="N585" t="s">
        <v>66</v>
      </c>
      <c r="O585" s="2">
        <v>46128</v>
      </c>
      <c r="P585" s="1">
        <v>105</v>
      </c>
      <c r="Q585" t="s">
        <v>67</v>
      </c>
      <c r="R585">
        <v>3.03</v>
      </c>
      <c r="S585">
        <v>1.35</v>
      </c>
      <c r="T585">
        <v>0.24</v>
      </c>
      <c r="U585">
        <v>101.73</v>
      </c>
      <c r="V585" s="1">
        <v>0</v>
      </c>
      <c r="X585">
        <v>20260417</v>
      </c>
      <c r="Z585" t="s">
        <v>68</v>
      </c>
      <c r="AA585">
        <v>3974527</v>
      </c>
      <c r="AB585" t="s">
        <v>77</v>
      </c>
      <c r="AE585">
        <v>0.79424768518518518</v>
      </c>
      <c r="AF585" t="s">
        <v>70</v>
      </c>
    </row>
    <row r="586" spans="1:32">
      <c r="A586">
        <v>1023366</v>
      </c>
      <c r="B586" t="s">
        <v>75</v>
      </c>
      <c r="C586" t="s">
        <v>62</v>
      </c>
      <c r="D586">
        <v>46128</v>
      </c>
      <c r="E586">
        <v>46128</v>
      </c>
      <c r="G586">
        <v>363</v>
      </c>
      <c r="H586" t="s">
        <v>63</v>
      </c>
      <c r="I586">
        <v>8017</v>
      </c>
      <c r="J586">
        <v>882935</v>
      </c>
      <c r="L586" t="s">
        <v>952</v>
      </c>
      <c r="M586" t="s">
        <v>96</v>
      </c>
      <c r="N586" t="s">
        <v>66</v>
      </c>
      <c r="O586" s="2">
        <v>46128</v>
      </c>
      <c r="P586" s="1">
        <v>52.8</v>
      </c>
      <c r="Q586" t="s">
        <v>67</v>
      </c>
      <c r="R586">
        <v>1.53</v>
      </c>
      <c r="S586">
        <v>0.32</v>
      </c>
      <c r="T586">
        <v>0.06</v>
      </c>
      <c r="U586">
        <v>51.21</v>
      </c>
      <c r="V586" s="1">
        <v>0</v>
      </c>
      <c r="X586">
        <v>20260417</v>
      </c>
      <c r="AA586">
        <v>3974527</v>
      </c>
      <c r="AB586" t="s">
        <v>93</v>
      </c>
      <c r="AE586">
        <v>0.79957175925925927</v>
      </c>
      <c r="AF586" t="s">
        <v>70</v>
      </c>
    </row>
    <row r="587" spans="1:32">
      <c r="A587">
        <v>1023366</v>
      </c>
      <c r="B587" t="s">
        <v>75</v>
      </c>
      <c r="C587" t="s">
        <v>62</v>
      </c>
      <c r="D587">
        <v>46128</v>
      </c>
      <c r="E587">
        <v>46128</v>
      </c>
      <c r="G587">
        <v>363</v>
      </c>
      <c r="H587" t="s">
        <v>63</v>
      </c>
      <c r="I587">
        <v>8019</v>
      </c>
      <c r="J587">
        <v>595006</v>
      </c>
      <c r="L587" t="s">
        <v>953</v>
      </c>
      <c r="M587" t="s">
        <v>96</v>
      </c>
      <c r="N587" t="s">
        <v>66</v>
      </c>
      <c r="O587" s="2">
        <v>46128</v>
      </c>
      <c r="P587" s="1">
        <v>89.9</v>
      </c>
      <c r="Q587" t="s">
        <v>67</v>
      </c>
      <c r="R587">
        <v>2.6</v>
      </c>
      <c r="S587">
        <v>1.1599999999999999</v>
      </c>
      <c r="T587">
        <v>0.21</v>
      </c>
      <c r="U587">
        <v>87.09</v>
      </c>
      <c r="V587" s="1">
        <v>0</v>
      </c>
      <c r="X587">
        <v>20260417</v>
      </c>
      <c r="AA587">
        <v>3974527</v>
      </c>
      <c r="AB587" t="s">
        <v>79</v>
      </c>
      <c r="AE587">
        <v>0.81311342592592595</v>
      </c>
      <c r="AF587" t="s">
        <v>70</v>
      </c>
    </row>
    <row r="588" spans="1:32">
      <c r="A588">
        <v>1023366</v>
      </c>
      <c r="B588" t="s">
        <v>75</v>
      </c>
      <c r="C588" t="s">
        <v>62</v>
      </c>
      <c r="D588">
        <v>46128</v>
      </c>
      <c r="E588">
        <v>46128</v>
      </c>
      <c r="G588">
        <v>363</v>
      </c>
      <c r="H588" t="s">
        <v>63</v>
      </c>
      <c r="I588">
        <v>8021</v>
      </c>
      <c r="J588">
        <v>81118</v>
      </c>
      <c r="L588" t="s">
        <v>954</v>
      </c>
      <c r="M588" t="s">
        <v>96</v>
      </c>
      <c r="N588" t="s">
        <v>66</v>
      </c>
      <c r="O588" s="2">
        <v>46128</v>
      </c>
      <c r="P588" s="1">
        <v>139.80000000000001</v>
      </c>
      <c r="Q588" t="s">
        <v>67</v>
      </c>
      <c r="R588">
        <v>4.04</v>
      </c>
      <c r="S588">
        <v>0.82</v>
      </c>
      <c r="T588">
        <v>0.15</v>
      </c>
      <c r="U588">
        <v>135.61000000000001</v>
      </c>
      <c r="V588" s="1">
        <v>0</v>
      </c>
      <c r="X588">
        <v>20260417</v>
      </c>
      <c r="AA588">
        <v>3974527</v>
      </c>
      <c r="AB588" t="s">
        <v>93</v>
      </c>
      <c r="AE588">
        <v>0.83302083333333332</v>
      </c>
      <c r="AF588" t="s">
        <v>70</v>
      </c>
    </row>
    <row r="589" spans="1:32">
      <c r="A589">
        <v>1023366</v>
      </c>
      <c r="B589" t="s">
        <v>75</v>
      </c>
      <c r="C589" t="s">
        <v>62</v>
      </c>
      <c r="D589">
        <v>46128</v>
      </c>
      <c r="E589">
        <v>46128</v>
      </c>
      <c r="G589">
        <v>363</v>
      </c>
      <c r="H589" t="s">
        <v>63</v>
      </c>
      <c r="I589">
        <v>8023</v>
      </c>
      <c r="J589">
        <v>91608</v>
      </c>
      <c r="L589" t="s">
        <v>955</v>
      </c>
      <c r="M589" t="s">
        <v>96</v>
      </c>
      <c r="N589" t="s">
        <v>66</v>
      </c>
      <c r="O589" s="2">
        <v>46128</v>
      </c>
      <c r="P589" s="1">
        <v>688</v>
      </c>
      <c r="Q589" t="s">
        <v>67</v>
      </c>
      <c r="R589">
        <v>19.88</v>
      </c>
      <c r="S589">
        <v>5.43</v>
      </c>
      <c r="T589">
        <v>0.98</v>
      </c>
      <c r="U589">
        <v>667.14</v>
      </c>
      <c r="V589" s="1">
        <v>0</v>
      </c>
      <c r="X589">
        <v>20260417</v>
      </c>
      <c r="AA589">
        <v>3974527</v>
      </c>
      <c r="AB589" t="s">
        <v>93</v>
      </c>
      <c r="AE589">
        <v>0.8348726851851852</v>
      </c>
      <c r="AF589" t="s">
        <v>70</v>
      </c>
    </row>
    <row r="590" spans="1:32">
      <c r="A590">
        <v>1023366</v>
      </c>
      <c r="B590" t="s">
        <v>75</v>
      </c>
      <c r="C590" t="s">
        <v>62</v>
      </c>
      <c r="D590">
        <v>46128</v>
      </c>
      <c r="E590">
        <v>46128</v>
      </c>
      <c r="G590">
        <v>363</v>
      </c>
      <c r="H590" t="s">
        <v>63</v>
      </c>
      <c r="I590">
        <v>8025</v>
      </c>
      <c r="J590">
        <v>126922</v>
      </c>
      <c r="L590" t="s">
        <v>956</v>
      </c>
      <c r="M590" t="s">
        <v>96</v>
      </c>
      <c r="N590" t="s">
        <v>66</v>
      </c>
      <c r="O590" s="2">
        <v>46128</v>
      </c>
      <c r="P590" s="1">
        <v>49</v>
      </c>
      <c r="Q590" t="s">
        <v>67</v>
      </c>
      <c r="R590">
        <v>1.42</v>
      </c>
      <c r="S590">
        <v>0.64</v>
      </c>
      <c r="T590">
        <v>0.12</v>
      </c>
      <c r="U590">
        <v>47.46</v>
      </c>
      <c r="V590" s="1">
        <v>0</v>
      </c>
      <c r="X590">
        <v>20260417</v>
      </c>
      <c r="AA590">
        <v>3974527</v>
      </c>
      <c r="AB590" t="s">
        <v>93</v>
      </c>
      <c r="AE590">
        <v>0.84113425925925922</v>
      </c>
      <c r="AF590" t="s">
        <v>70</v>
      </c>
    </row>
    <row r="591" spans="1:32">
      <c r="A591">
        <v>1023366</v>
      </c>
      <c r="B591" t="s">
        <v>75</v>
      </c>
      <c r="C591" t="s">
        <v>62</v>
      </c>
      <c r="D591">
        <v>46128</v>
      </c>
      <c r="E591">
        <v>46128</v>
      </c>
      <c r="G591">
        <v>363</v>
      </c>
      <c r="H591" t="s">
        <v>63</v>
      </c>
      <c r="I591">
        <v>8027</v>
      </c>
      <c r="J591">
        <v>570439</v>
      </c>
      <c r="L591" t="s">
        <v>957</v>
      </c>
      <c r="M591" t="s">
        <v>96</v>
      </c>
      <c r="N591" t="s">
        <v>66</v>
      </c>
      <c r="O591" s="2">
        <v>46128</v>
      </c>
      <c r="P591" s="1">
        <v>1799</v>
      </c>
      <c r="Q591" t="s">
        <v>67</v>
      </c>
      <c r="R591">
        <v>51.99</v>
      </c>
      <c r="S591">
        <v>23.21</v>
      </c>
      <c r="T591">
        <v>4.18</v>
      </c>
      <c r="U591">
        <v>1742.83</v>
      </c>
      <c r="V591" s="1">
        <v>0</v>
      </c>
      <c r="X591">
        <v>20260417</v>
      </c>
      <c r="AA591">
        <v>3974527</v>
      </c>
      <c r="AB591" t="s">
        <v>79</v>
      </c>
      <c r="AE591">
        <v>0.85010416666666666</v>
      </c>
      <c r="AF591" t="s">
        <v>70</v>
      </c>
    </row>
    <row r="592" spans="1:32">
      <c r="A592">
        <v>1023366</v>
      </c>
      <c r="B592" t="s">
        <v>75</v>
      </c>
      <c r="C592" t="s">
        <v>62</v>
      </c>
      <c r="D592">
        <v>46128</v>
      </c>
      <c r="E592">
        <v>46128</v>
      </c>
      <c r="G592">
        <v>363</v>
      </c>
      <c r="H592" t="s">
        <v>63</v>
      </c>
      <c r="I592">
        <v>8029</v>
      </c>
      <c r="J592">
        <v>3968</v>
      </c>
      <c r="L592" t="s">
        <v>958</v>
      </c>
      <c r="M592" t="s">
        <v>96</v>
      </c>
      <c r="N592" t="s">
        <v>66</v>
      </c>
      <c r="O592" s="2">
        <v>46128</v>
      </c>
      <c r="P592" s="1">
        <v>349</v>
      </c>
      <c r="Q592" t="s">
        <v>67</v>
      </c>
      <c r="R592">
        <v>10.09</v>
      </c>
      <c r="S592">
        <v>2.06</v>
      </c>
      <c r="T592">
        <v>0.37</v>
      </c>
      <c r="U592">
        <v>338.54</v>
      </c>
      <c r="V592" s="1">
        <v>0</v>
      </c>
      <c r="X592">
        <v>20260417</v>
      </c>
      <c r="AA592">
        <v>3974527</v>
      </c>
      <c r="AB592" t="s">
        <v>79</v>
      </c>
      <c r="AE592">
        <v>0.86187499999999995</v>
      </c>
      <c r="AF592" t="s">
        <v>70</v>
      </c>
    </row>
    <row r="593" spans="1:32">
      <c r="A593">
        <v>1023366</v>
      </c>
      <c r="B593" t="s">
        <v>75</v>
      </c>
      <c r="C593" t="s">
        <v>62</v>
      </c>
      <c r="D593">
        <v>46128</v>
      </c>
      <c r="P593" s="1">
        <v>0</v>
      </c>
      <c r="R593">
        <v>0</v>
      </c>
      <c r="S593">
        <v>0</v>
      </c>
      <c r="T593">
        <v>0</v>
      </c>
      <c r="U593">
        <v>-769.76</v>
      </c>
      <c r="V593" s="1">
        <v>11493.74</v>
      </c>
      <c r="W593">
        <v>46129</v>
      </c>
      <c r="X593">
        <v>20260417</v>
      </c>
      <c r="Y593" t="s">
        <v>454</v>
      </c>
      <c r="AF593" t="s">
        <v>70</v>
      </c>
    </row>
    <row r="594" spans="1:32">
      <c r="A594">
        <v>1023366</v>
      </c>
      <c r="B594" t="s">
        <v>75</v>
      </c>
      <c r="C594" t="s">
        <v>715</v>
      </c>
      <c r="D594">
        <v>46128</v>
      </c>
      <c r="E594">
        <v>46128</v>
      </c>
      <c r="G594">
        <v>664</v>
      </c>
      <c r="H594" t="s">
        <v>720</v>
      </c>
      <c r="I594">
        <v>5710216</v>
      </c>
      <c r="J594">
        <v>9219</v>
      </c>
      <c r="L594" t="s">
        <v>959</v>
      </c>
      <c r="M594" t="s">
        <v>96</v>
      </c>
      <c r="N594" t="s">
        <v>427</v>
      </c>
      <c r="O594" s="2">
        <v>46128</v>
      </c>
      <c r="P594" s="1">
        <v>-159</v>
      </c>
      <c r="Q594" t="s">
        <v>428</v>
      </c>
      <c r="R594">
        <v>-5.3</v>
      </c>
      <c r="S594">
        <v>-2.76</v>
      </c>
      <c r="T594">
        <v>-0.5</v>
      </c>
      <c r="U594">
        <v>-153.19999999999999</v>
      </c>
      <c r="V594" s="1">
        <v>0</v>
      </c>
      <c r="X594">
        <v>20260417</v>
      </c>
      <c r="Y594" t="s">
        <v>960</v>
      </c>
      <c r="AA594" t="s">
        <v>961</v>
      </c>
      <c r="AB594" t="s">
        <v>93</v>
      </c>
      <c r="AE594">
        <v>0.7732175925925926</v>
      </c>
      <c r="AF594" t="s">
        <v>70</v>
      </c>
    </row>
    <row r="595" spans="1:32">
      <c r="A595">
        <v>1023366</v>
      </c>
      <c r="B595" t="s">
        <v>75</v>
      </c>
      <c r="C595" t="s">
        <v>715</v>
      </c>
      <c r="D595">
        <v>46128</v>
      </c>
      <c r="E595">
        <v>46128</v>
      </c>
      <c r="G595">
        <v>664</v>
      </c>
      <c r="H595" t="s">
        <v>720</v>
      </c>
      <c r="I595">
        <v>766934</v>
      </c>
      <c r="J595">
        <v>313284</v>
      </c>
      <c r="L595" t="s">
        <v>962</v>
      </c>
      <c r="M595" t="s">
        <v>96</v>
      </c>
      <c r="N595" t="s">
        <v>427</v>
      </c>
      <c r="O595" s="2">
        <v>46128</v>
      </c>
      <c r="P595" s="1">
        <v>-649</v>
      </c>
      <c r="Q595" t="s">
        <v>428</v>
      </c>
      <c r="R595">
        <v>-30.81</v>
      </c>
      <c r="S595">
        <v>-9.07</v>
      </c>
      <c r="T595">
        <v>-1.63</v>
      </c>
      <c r="U595">
        <v>-616.55999999999995</v>
      </c>
      <c r="V595" s="1">
        <v>0</v>
      </c>
      <c r="X595">
        <v>20260417</v>
      </c>
      <c r="Y595" t="s">
        <v>963</v>
      </c>
      <c r="AA595" t="s">
        <v>961</v>
      </c>
      <c r="AB595" t="s">
        <v>93</v>
      </c>
      <c r="AE595">
        <v>0.7732175925925926</v>
      </c>
      <c r="AF595" t="s">
        <v>70</v>
      </c>
    </row>
    <row r="596" spans="1:32">
      <c r="A596">
        <v>1023366</v>
      </c>
      <c r="B596" t="s">
        <v>133</v>
      </c>
      <c r="C596" t="s">
        <v>62</v>
      </c>
      <c r="D596">
        <v>46128</v>
      </c>
      <c r="E596">
        <v>46128</v>
      </c>
      <c r="G596">
        <v>363</v>
      </c>
      <c r="H596" t="s">
        <v>63</v>
      </c>
      <c r="I596">
        <v>7942</v>
      </c>
      <c r="J596">
        <v>251165</v>
      </c>
      <c r="L596" t="s">
        <v>964</v>
      </c>
      <c r="M596" t="s">
        <v>65</v>
      </c>
      <c r="N596" t="s">
        <v>66</v>
      </c>
      <c r="O596" s="2">
        <v>46128</v>
      </c>
      <c r="P596" s="1">
        <v>50</v>
      </c>
      <c r="Q596" t="s">
        <v>67</v>
      </c>
      <c r="R596">
        <v>1.45</v>
      </c>
      <c r="S596">
        <v>1.45</v>
      </c>
      <c r="T596">
        <v>0.26</v>
      </c>
      <c r="U596">
        <v>48.29</v>
      </c>
      <c r="V596" s="1">
        <v>0</v>
      </c>
      <c r="X596">
        <v>20260417</v>
      </c>
      <c r="Z596" t="s">
        <v>68</v>
      </c>
      <c r="AA596">
        <v>3974527</v>
      </c>
      <c r="AB596" t="s">
        <v>135</v>
      </c>
      <c r="AE596">
        <v>0.44785879629629627</v>
      </c>
      <c r="AF596" t="s">
        <v>70</v>
      </c>
    </row>
    <row r="597" spans="1:32">
      <c r="A597">
        <v>1023366</v>
      </c>
      <c r="B597" t="s">
        <v>133</v>
      </c>
      <c r="C597" t="s">
        <v>62</v>
      </c>
      <c r="D597">
        <v>46128</v>
      </c>
      <c r="E597">
        <v>46128</v>
      </c>
      <c r="G597">
        <v>363</v>
      </c>
      <c r="H597" t="s">
        <v>63</v>
      </c>
      <c r="I597">
        <v>7944</v>
      </c>
      <c r="J597">
        <v>7831</v>
      </c>
      <c r="L597" t="s">
        <v>965</v>
      </c>
      <c r="M597" t="s">
        <v>65</v>
      </c>
      <c r="N597" t="s">
        <v>66</v>
      </c>
      <c r="O597" s="2">
        <v>46128</v>
      </c>
      <c r="P597" s="1">
        <v>50</v>
      </c>
      <c r="Q597" t="s">
        <v>67</v>
      </c>
      <c r="R597">
        <v>1.45</v>
      </c>
      <c r="S597">
        <v>1.45</v>
      </c>
      <c r="T597">
        <v>0.26</v>
      </c>
      <c r="U597">
        <v>48.29</v>
      </c>
      <c r="V597" s="1">
        <v>0</v>
      </c>
      <c r="X597">
        <v>20260417</v>
      </c>
      <c r="Z597" t="s">
        <v>68</v>
      </c>
      <c r="AA597">
        <v>3974527</v>
      </c>
      <c r="AB597" t="s">
        <v>135</v>
      </c>
      <c r="AE597">
        <v>0.44832175925925927</v>
      </c>
      <c r="AF597" t="s">
        <v>70</v>
      </c>
    </row>
    <row r="598" spans="1:32">
      <c r="A598">
        <v>1023366</v>
      </c>
      <c r="B598" t="s">
        <v>133</v>
      </c>
      <c r="C598" t="s">
        <v>62</v>
      </c>
      <c r="D598">
        <v>46128</v>
      </c>
      <c r="E598">
        <v>46128</v>
      </c>
      <c r="G598">
        <v>363</v>
      </c>
      <c r="H598" t="s">
        <v>63</v>
      </c>
      <c r="I598">
        <v>7947</v>
      </c>
      <c r="J598">
        <v>90803</v>
      </c>
      <c r="L598" t="s">
        <v>966</v>
      </c>
      <c r="M598" t="s">
        <v>65</v>
      </c>
      <c r="N598" t="s">
        <v>66</v>
      </c>
      <c r="O598" s="2">
        <v>46128</v>
      </c>
      <c r="P598" s="1">
        <v>50</v>
      </c>
      <c r="Q598" t="s">
        <v>67</v>
      </c>
      <c r="R598">
        <v>1.45</v>
      </c>
      <c r="S598">
        <v>1.45</v>
      </c>
      <c r="T598">
        <v>0.26</v>
      </c>
      <c r="U598">
        <v>48.29</v>
      </c>
      <c r="V598" s="1">
        <v>0</v>
      </c>
      <c r="X598">
        <v>20260417</v>
      </c>
      <c r="Z598" t="s">
        <v>68</v>
      </c>
      <c r="AA598">
        <v>3974527</v>
      </c>
      <c r="AB598" t="s">
        <v>135</v>
      </c>
      <c r="AE598">
        <v>0.44984953703703706</v>
      </c>
      <c r="AF598" t="s">
        <v>70</v>
      </c>
    </row>
    <row r="599" spans="1:32">
      <c r="A599">
        <v>1023366</v>
      </c>
      <c r="B599" t="s">
        <v>133</v>
      </c>
      <c r="C599" t="s">
        <v>62</v>
      </c>
      <c r="D599">
        <v>46128</v>
      </c>
      <c r="E599">
        <v>46128</v>
      </c>
      <c r="G599">
        <v>363</v>
      </c>
      <c r="H599" t="s">
        <v>63</v>
      </c>
      <c r="I599">
        <v>7949</v>
      </c>
      <c r="J599">
        <v>152579</v>
      </c>
      <c r="L599" t="s">
        <v>967</v>
      </c>
      <c r="M599" t="s">
        <v>65</v>
      </c>
      <c r="N599" t="s">
        <v>66</v>
      </c>
      <c r="O599" s="2">
        <v>46128</v>
      </c>
      <c r="P599" s="1">
        <v>50</v>
      </c>
      <c r="Q599" t="s">
        <v>67</v>
      </c>
      <c r="R599">
        <v>1.45</v>
      </c>
      <c r="S599">
        <v>1.45</v>
      </c>
      <c r="T599">
        <v>0.26</v>
      </c>
      <c r="U599">
        <v>48.29</v>
      </c>
      <c r="V599" s="1">
        <v>0</v>
      </c>
      <c r="X599">
        <v>20260417</v>
      </c>
      <c r="Z599" t="s">
        <v>68</v>
      </c>
      <c r="AA599">
        <v>3974527</v>
      </c>
      <c r="AB599" t="s">
        <v>135</v>
      </c>
      <c r="AE599">
        <v>0.45026620370370368</v>
      </c>
      <c r="AF599" t="s">
        <v>70</v>
      </c>
    </row>
    <row r="600" spans="1:32">
      <c r="A600">
        <v>1023366</v>
      </c>
      <c r="B600" t="s">
        <v>133</v>
      </c>
      <c r="C600" t="s">
        <v>62</v>
      </c>
      <c r="D600">
        <v>46128</v>
      </c>
      <c r="E600">
        <v>46128</v>
      </c>
      <c r="G600">
        <v>363</v>
      </c>
      <c r="H600" t="s">
        <v>63</v>
      </c>
      <c r="I600">
        <v>7951</v>
      </c>
      <c r="J600">
        <v>193029</v>
      </c>
      <c r="L600" t="s">
        <v>968</v>
      </c>
      <c r="M600" t="s">
        <v>65</v>
      </c>
      <c r="N600" t="s">
        <v>66</v>
      </c>
      <c r="O600" s="2">
        <v>46128</v>
      </c>
      <c r="P600" s="1">
        <v>20</v>
      </c>
      <c r="Q600" t="s">
        <v>67</v>
      </c>
      <c r="R600">
        <v>0.57999999999999996</v>
      </c>
      <c r="S600">
        <v>0.57999999999999996</v>
      </c>
      <c r="T600">
        <v>0.1</v>
      </c>
      <c r="U600">
        <v>19.32</v>
      </c>
      <c r="V600" s="1">
        <v>212.48</v>
      </c>
      <c r="W600">
        <v>46129</v>
      </c>
      <c r="X600">
        <v>20260417</v>
      </c>
      <c r="Z600" t="s">
        <v>68</v>
      </c>
      <c r="AA600">
        <v>3974527</v>
      </c>
      <c r="AB600" t="s">
        <v>135</v>
      </c>
      <c r="AE600">
        <v>0.45082175925925927</v>
      </c>
      <c r="AF600" t="s">
        <v>70</v>
      </c>
    </row>
    <row r="601" spans="1:32">
      <c r="A601">
        <v>1023366</v>
      </c>
      <c r="B601" t="s">
        <v>61</v>
      </c>
      <c r="C601" t="s">
        <v>62</v>
      </c>
      <c r="D601">
        <v>46129</v>
      </c>
      <c r="E601">
        <v>46129</v>
      </c>
      <c r="G601">
        <v>364</v>
      </c>
      <c r="H601" t="s">
        <v>63</v>
      </c>
      <c r="I601">
        <v>8058</v>
      </c>
      <c r="J601">
        <v>64470</v>
      </c>
      <c r="L601" t="s">
        <v>969</v>
      </c>
      <c r="M601" t="s">
        <v>65</v>
      </c>
      <c r="N601" t="s">
        <v>66</v>
      </c>
      <c r="O601" s="2">
        <v>46129</v>
      </c>
      <c r="P601" s="1">
        <v>105</v>
      </c>
      <c r="Q601" t="s">
        <v>67</v>
      </c>
      <c r="R601">
        <v>3.03</v>
      </c>
      <c r="S601">
        <v>0.82</v>
      </c>
      <c r="T601">
        <v>0.15</v>
      </c>
      <c r="U601">
        <v>101.82</v>
      </c>
      <c r="V601" s="1">
        <v>0</v>
      </c>
      <c r="X601">
        <v>20260420</v>
      </c>
      <c r="Z601" t="s">
        <v>72</v>
      </c>
      <c r="AA601">
        <v>3974527</v>
      </c>
      <c r="AB601" t="s">
        <v>73</v>
      </c>
      <c r="AE601">
        <v>0.48783564814814817</v>
      </c>
      <c r="AF601" t="s">
        <v>70</v>
      </c>
    </row>
    <row r="602" spans="1:32">
      <c r="A602">
        <v>1023366</v>
      </c>
      <c r="B602" t="s">
        <v>61</v>
      </c>
      <c r="C602" t="s">
        <v>62</v>
      </c>
      <c r="D602">
        <v>46129</v>
      </c>
      <c r="E602">
        <v>46129</v>
      </c>
      <c r="G602">
        <v>364</v>
      </c>
      <c r="H602" t="s">
        <v>63</v>
      </c>
      <c r="I602">
        <v>8062</v>
      </c>
      <c r="J602">
        <v>719718</v>
      </c>
      <c r="L602" t="s">
        <v>970</v>
      </c>
      <c r="M602" t="s">
        <v>65</v>
      </c>
      <c r="N602" t="s">
        <v>66</v>
      </c>
      <c r="O602" s="2">
        <v>46129</v>
      </c>
      <c r="P602" s="1">
        <v>89.9</v>
      </c>
      <c r="Q602" t="s">
        <v>67</v>
      </c>
      <c r="R602">
        <v>2.6</v>
      </c>
      <c r="S602">
        <v>1.03</v>
      </c>
      <c r="T602">
        <v>0.19</v>
      </c>
      <c r="U602">
        <v>87.11</v>
      </c>
      <c r="V602" s="1">
        <v>0</v>
      </c>
      <c r="X602">
        <v>20260420</v>
      </c>
      <c r="Z602" t="s">
        <v>68</v>
      </c>
      <c r="AA602">
        <v>3974527</v>
      </c>
      <c r="AB602" t="s">
        <v>93</v>
      </c>
      <c r="AE602">
        <v>0.50866898148148143</v>
      </c>
      <c r="AF602" t="s">
        <v>70</v>
      </c>
    </row>
    <row r="603" spans="1:32">
      <c r="A603">
        <v>1023366</v>
      </c>
      <c r="B603" t="s">
        <v>61</v>
      </c>
      <c r="C603" t="s">
        <v>62</v>
      </c>
      <c r="D603">
        <v>46129</v>
      </c>
      <c r="E603">
        <v>46129</v>
      </c>
      <c r="G603">
        <v>364</v>
      </c>
      <c r="H603" t="s">
        <v>63</v>
      </c>
      <c r="I603">
        <v>8090</v>
      </c>
      <c r="J603" t="s">
        <v>971</v>
      </c>
      <c r="L603" t="s">
        <v>972</v>
      </c>
      <c r="M603" t="s">
        <v>65</v>
      </c>
      <c r="N603" t="s">
        <v>66</v>
      </c>
      <c r="O603" s="2">
        <v>46129</v>
      </c>
      <c r="P603" s="1">
        <v>89.9</v>
      </c>
      <c r="Q603" t="s">
        <v>67</v>
      </c>
      <c r="R603">
        <v>2.6</v>
      </c>
      <c r="S603">
        <v>0.31</v>
      </c>
      <c r="T603">
        <v>0.06</v>
      </c>
      <c r="U603">
        <v>87.24</v>
      </c>
      <c r="V603" s="1">
        <v>0</v>
      </c>
      <c r="X603">
        <v>20260420</v>
      </c>
      <c r="Z603" t="s">
        <v>72</v>
      </c>
      <c r="AA603">
        <v>3974527</v>
      </c>
      <c r="AB603" t="s">
        <v>139</v>
      </c>
      <c r="AE603">
        <v>0.70384259259259263</v>
      </c>
      <c r="AF603" t="s">
        <v>70</v>
      </c>
    </row>
    <row r="604" spans="1:32">
      <c r="A604">
        <v>1023366</v>
      </c>
      <c r="B604" t="s">
        <v>61</v>
      </c>
      <c r="C604" t="s">
        <v>62</v>
      </c>
      <c r="D604">
        <v>46129</v>
      </c>
      <c r="E604">
        <v>46129</v>
      </c>
      <c r="G604">
        <v>364</v>
      </c>
      <c r="H604" t="s">
        <v>63</v>
      </c>
      <c r="I604">
        <v>8096</v>
      </c>
      <c r="J604">
        <v>53770</v>
      </c>
      <c r="K604">
        <v>12</v>
      </c>
      <c r="L604" t="s">
        <v>973</v>
      </c>
      <c r="M604" t="s">
        <v>65</v>
      </c>
      <c r="N604" t="s">
        <v>66</v>
      </c>
      <c r="O604" s="2">
        <v>46129</v>
      </c>
      <c r="P604" s="1">
        <v>3899</v>
      </c>
      <c r="Q604" t="s">
        <v>67</v>
      </c>
      <c r="R604">
        <v>112.68</v>
      </c>
      <c r="S604">
        <v>30.8</v>
      </c>
      <c r="T604">
        <v>5.54</v>
      </c>
      <c r="U604">
        <v>3780.78</v>
      </c>
      <c r="V604" s="1">
        <v>0</v>
      </c>
      <c r="X604">
        <v>20260420</v>
      </c>
      <c r="Z604" t="s">
        <v>72</v>
      </c>
      <c r="AA604">
        <v>3974527</v>
      </c>
      <c r="AB604" t="s">
        <v>73</v>
      </c>
      <c r="AC604" t="s">
        <v>74</v>
      </c>
      <c r="AE604">
        <v>0.73850694444444442</v>
      </c>
      <c r="AF604" t="s">
        <v>70</v>
      </c>
    </row>
    <row r="605" spans="1:32">
      <c r="A605">
        <v>1023366</v>
      </c>
      <c r="B605" t="s">
        <v>61</v>
      </c>
      <c r="C605" t="s">
        <v>62</v>
      </c>
      <c r="D605">
        <v>46129</v>
      </c>
      <c r="E605">
        <v>46129</v>
      </c>
      <c r="G605">
        <v>364</v>
      </c>
      <c r="H605" t="s">
        <v>63</v>
      </c>
      <c r="I605">
        <v>8102</v>
      </c>
      <c r="J605" t="s">
        <v>974</v>
      </c>
      <c r="L605" t="s">
        <v>975</v>
      </c>
      <c r="M605" t="s">
        <v>96</v>
      </c>
      <c r="N605" t="s">
        <v>66</v>
      </c>
      <c r="O605" s="2">
        <v>46129</v>
      </c>
      <c r="P605" s="1">
        <v>105</v>
      </c>
      <c r="Q605" t="s">
        <v>67</v>
      </c>
      <c r="R605">
        <v>4.0999999999999996</v>
      </c>
      <c r="S605">
        <v>2</v>
      </c>
      <c r="T605">
        <v>0.36</v>
      </c>
      <c r="U605">
        <v>100.54</v>
      </c>
      <c r="V605" s="1">
        <v>0</v>
      </c>
      <c r="X605">
        <v>20260420</v>
      </c>
      <c r="Z605" t="s">
        <v>72</v>
      </c>
      <c r="AA605">
        <v>3974527</v>
      </c>
      <c r="AB605" t="s">
        <v>234</v>
      </c>
      <c r="AE605">
        <v>0.76653935185185185</v>
      </c>
      <c r="AF605" t="s">
        <v>70</v>
      </c>
    </row>
    <row r="606" spans="1:32">
      <c r="A606">
        <v>1023366</v>
      </c>
      <c r="B606" t="s">
        <v>61</v>
      </c>
      <c r="C606" t="s">
        <v>62</v>
      </c>
      <c r="D606">
        <v>46129</v>
      </c>
      <c r="E606">
        <v>46129</v>
      </c>
      <c r="G606">
        <v>364</v>
      </c>
      <c r="H606" t="s">
        <v>63</v>
      </c>
      <c r="I606">
        <v>8105</v>
      </c>
      <c r="J606">
        <v>897424</v>
      </c>
      <c r="L606" t="s">
        <v>976</v>
      </c>
      <c r="M606" t="s">
        <v>96</v>
      </c>
      <c r="N606" t="s">
        <v>66</v>
      </c>
      <c r="O606" s="2">
        <v>46129</v>
      </c>
      <c r="P606" s="1">
        <v>89.9</v>
      </c>
      <c r="Q606" t="s">
        <v>67</v>
      </c>
      <c r="R606">
        <v>3.51</v>
      </c>
      <c r="S606">
        <v>2.0699999999999998</v>
      </c>
      <c r="T606">
        <v>0.37</v>
      </c>
      <c r="U606">
        <v>86.02</v>
      </c>
      <c r="V606" s="1">
        <v>0</v>
      </c>
      <c r="X606">
        <v>20260420</v>
      </c>
      <c r="Z606" t="s">
        <v>72</v>
      </c>
      <c r="AA606">
        <v>3974527</v>
      </c>
      <c r="AB606" t="s">
        <v>234</v>
      </c>
      <c r="AE606">
        <v>0.76862268518518517</v>
      </c>
      <c r="AF606" t="s">
        <v>70</v>
      </c>
    </row>
    <row r="607" spans="1:32">
      <c r="A607">
        <v>1023366</v>
      </c>
      <c r="B607" t="s">
        <v>61</v>
      </c>
      <c r="C607" t="s">
        <v>62</v>
      </c>
      <c r="D607">
        <v>46129</v>
      </c>
      <c r="E607">
        <v>46129</v>
      </c>
      <c r="G607">
        <v>364</v>
      </c>
      <c r="H607" t="s">
        <v>63</v>
      </c>
      <c r="I607">
        <v>8112</v>
      </c>
      <c r="J607">
        <v>101183</v>
      </c>
      <c r="L607" t="s">
        <v>977</v>
      </c>
      <c r="M607" t="s">
        <v>65</v>
      </c>
      <c r="N607" t="s">
        <v>66</v>
      </c>
      <c r="O607" s="2">
        <v>46129</v>
      </c>
      <c r="P607" s="1">
        <v>99</v>
      </c>
      <c r="Q607" t="s">
        <v>67</v>
      </c>
      <c r="R607">
        <v>2.86</v>
      </c>
      <c r="S607">
        <v>1.1299999999999999</v>
      </c>
      <c r="T607">
        <v>0.2</v>
      </c>
      <c r="U607">
        <v>95.94</v>
      </c>
      <c r="V607" s="1">
        <v>4339.45</v>
      </c>
      <c r="W607">
        <v>46132</v>
      </c>
      <c r="X607">
        <v>20260420</v>
      </c>
      <c r="Z607" t="s">
        <v>68</v>
      </c>
      <c r="AA607">
        <v>3974527</v>
      </c>
      <c r="AB607" t="s">
        <v>69</v>
      </c>
      <c r="AE607">
        <v>0.77771990740740737</v>
      </c>
      <c r="AF607" t="s">
        <v>70</v>
      </c>
    </row>
    <row r="608" spans="1:32">
      <c r="A608">
        <v>1023366</v>
      </c>
      <c r="B608" t="s">
        <v>75</v>
      </c>
      <c r="C608" t="s">
        <v>62</v>
      </c>
      <c r="D608">
        <v>46129</v>
      </c>
      <c r="E608">
        <v>46129</v>
      </c>
      <c r="G608">
        <v>364</v>
      </c>
      <c r="H608" t="s">
        <v>63</v>
      </c>
      <c r="I608">
        <v>8045</v>
      </c>
      <c r="J608">
        <v>117221</v>
      </c>
      <c r="L608" t="s">
        <v>978</v>
      </c>
      <c r="M608" t="s">
        <v>65</v>
      </c>
      <c r="N608" t="s">
        <v>66</v>
      </c>
      <c r="O608" s="2">
        <v>46129</v>
      </c>
      <c r="P608" s="1">
        <v>67.25</v>
      </c>
      <c r="Q608" t="s">
        <v>67</v>
      </c>
      <c r="R608">
        <v>1.94</v>
      </c>
      <c r="S608">
        <v>0.86</v>
      </c>
      <c r="T608">
        <v>0.15</v>
      </c>
      <c r="U608">
        <v>65.16</v>
      </c>
      <c r="V608" s="1">
        <v>0</v>
      </c>
      <c r="X608">
        <v>20260420</v>
      </c>
      <c r="Z608" t="s">
        <v>68</v>
      </c>
      <c r="AA608">
        <v>3974527</v>
      </c>
      <c r="AB608" t="s">
        <v>77</v>
      </c>
      <c r="AE608">
        <v>0.43462962962962964</v>
      </c>
      <c r="AF608" t="s">
        <v>70</v>
      </c>
    </row>
    <row r="609" spans="1:32">
      <c r="A609">
        <v>1023366</v>
      </c>
      <c r="B609" t="s">
        <v>75</v>
      </c>
      <c r="C609" t="s">
        <v>62</v>
      </c>
      <c r="D609">
        <v>46129</v>
      </c>
      <c r="E609">
        <v>46129</v>
      </c>
      <c r="G609">
        <v>364</v>
      </c>
      <c r="H609" t="s">
        <v>63</v>
      </c>
      <c r="I609">
        <v>8047</v>
      </c>
      <c r="J609">
        <v>802588</v>
      </c>
      <c r="L609" t="s">
        <v>979</v>
      </c>
      <c r="M609" t="s">
        <v>65</v>
      </c>
      <c r="N609" t="s">
        <v>66</v>
      </c>
      <c r="O609" s="2">
        <v>46129</v>
      </c>
      <c r="P609" s="1">
        <v>69</v>
      </c>
      <c r="Q609" t="s">
        <v>67</v>
      </c>
      <c r="R609">
        <v>1.99</v>
      </c>
      <c r="S609">
        <v>0.89</v>
      </c>
      <c r="T609">
        <v>0.16</v>
      </c>
      <c r="U609">
        <v>66.849999999999994</v>
      </c>
      <c r="V609" s="1">
        <v>0</v>
      </c>
      <c r="X609">
        <v>20260420</v>
      </c>
      <c r="Z609" t="s">
        <v>68</v>
      </c>
      <c r="AA609">
        <v>3974527</v>
      </c>
      <c r="AB609" t="s">
        <v>77</v>
      </c>
      <c r="AE609">
        <v>0.43594907407407407</v>
      </c>
      <c r="AF609" t="s">
        <v>70</v>
      </c>
    </row>
    <row r="610" spans="1:32">
      <c r="A610">
        <v>1023366</v>
      </c>
      <c r="B610" t="s">
        <v>75</v>
      </c>
      <c r="C610" t="s">
        <v>62</v>
      </c>
      <c r="D610">
        <v>46129</v>
      </c>
      <c r="E610">
        <v>46129</v>
      </c>
      <c r="G610">
        <v>364</v>
      </c>
      <c r="H610" t="s">
        <v>63</v>
      </c>
      <c r="I610">
        <v>8049</v>
      </c>
      <c r="J610">
        <v>76577</v>
      </c>
      <c r="L610" t="s">
        <v>980</v>
      </c>
      <c r="M610" t="s">
        <v>65</v>
      </c>
      <c r="N610" t="s">
        <v>66</v>
      </c>
      <c r="O610" s="2">
        <v>46129</v>
      </c>
      <c r="P610" s="1">
        <v>100</v>
      </c>
      <c r="Q610" t="s">
        <v>67</v>
      </c>
      <c r="R610">
        <v>2.89</v>
      </c>
      <c r="S610">
        <v>1.29</v>
      </c>
      <c r="T610">
        <v>0.23</v>
      </c>
      <c r="U610">
        <v>96.88</v>
      </c>
      <c r="V610" s="1">
        <v>0</v>
      </c>
      <c r="X610">
        <v>20260420</v>
      </c>
      <c r="Z610" t="s">
        <v>68</v>
      </c>
      <c r="AA610">
        <v>3974527</v>
      </c>
      <c r="AB610" t="s">
        <v>79</v>
      </c>
      <c r="AE610">
        <v>0.44197916666666665</v>
      </c>
      <c r="AF610" t="s">
        <v>70</v>
      </c>
    </row>
    <row r="611" spans="1:32">
      <c r="A611">
        <v>1023366</v>
      </c>
      <c r="B611" t="s">
        <v>75</v>
      </c>
      <c r="C611" t="s">
        <v>62</v>
      </c>
      <c r="D611">
        <v>46129</v>
      </c>
      <c r="E611">
        <v>46129</v>
      </c>
      <c r="G611">
        <v>364</v>
      </c>
      <c r="H611" t="s">
        <v>63</v>
      </c>
      <c r="I611">
        <v>8051</v>
      </c>
      <c r="J611">
        <v>774639</v>
      </c>
      <c r="L611" t="s">
        <v>981</v>
      </c>
      <c r="M611" t="s">
        <v>65</v>
      </c>
      <c r="N611" t="s">
        <v>66</v>
      </c>
      <c r="O611" s="2">
        <v>46129</v>
      </c>
      <c r="P611" s="1">
        <v>74.5</v>
      </c>
      <c r="Q611" t="s">
        <v>67</v>
      </c>
      <c r="R611">
        <v>2.15</v>
      </c>
      <c r="S611">
        <v>0.96</v>
      </c>
      <c r="T611">
        <v>0.17</v>
      </c>
      <c r="U611">
        <v>72.180000000000007</v>
      </c>
      <c r="V611" s="1">
        <v>0</v>
      </c>
      <c r="X611">
        <v>20260420</v>
      </c>
      <c r="Z611" t="s">
        <v>68</v>
      </c>
      <c r="AA611">
        <v>3974527</v>
      </c>
      <c r="AB611" t="s">
        <v>79</v>
      </c>
      <c r="AE611">
        <v>0.46003472222222225</v>
      </c>
      <c r="AF611" t="s">
        <v>70</v>
      </c>
    </row>
    <row r="612" spans="1:32">
      <c r="A612">
        <v>1023366</v>
      </c>
      <c r="B612" t="s">
        <v>75</v>
      </c>
      <c r="C612" t="s">
        <v>62</v>
      </c>
      <c r="D612">
        <v>46129</v>
      </c>
      <c r="E612">
        <v>46129</v>
      </c>
      <c r="G612">
        <v>364</v>
      </c>
      <c r="H612" t="s">
        <v>63</v>
      </c>
      <c r="I612">
        <v>8053</v>
      </c>
      <c r="J612">
        <v>9209</v>
      </c>
      <c r="L612" t="s">
        <v>982</v>
      </c>
      <c r="M612" t="s">
        <v>65</v>
      </c>
      <c r="N612" t="s">
        <v>66</v>
      </c>
      <c r="O612" s="2">
        <v>46129</v>
      </c>
      <c r="P612" s="1">
        <v>69</v>
      </c>
      <c r="Q612" t="s">
        <v>67</v>
      </c>
      <c r="R612">
        <v>1.99</v>
      </c>
      <c r="S612">
        <v>0.4</v>
      </c>
      <c r="T612">
        <v>7.0000000000000007E-2</v>
      </c>
      <c r="U612">
        <v>66.94</v>
      </c>
      <c r="V612" s="1">
        <v>0</v>
      </c>
      <c r="X612">
        <v>20260420</v>
      </c>
      <c r="Z612" t="s">
        <v>72</v>
      </c>
      <c r="AA612">
        <v>3974527</v>
      </c>
      <c r="AB612" t="s">
        <v>79</v>
      </c>
      <c r="AE612">
        <v>0.48350694444444442</v>
      </c>
      <c r="AF612" t="s">
        <v>70</v>
      </c>
    </row>
    <row r="613" spans="1:32">
      <c r="A613">
        <v>1023366</v>
      </c>
      <c r="B613" t="s">
        <v>75</v>
      </c>
      <c r="C613" t="s">
        <v>62</v>
      </c>
      <c r="D613">
        <v>46129</v>
      </c>
      <c r="E613">
        <v>46129</v>
      </c>
      <c r="G613">
        <v>364</v>
      </c>
      <c r="H613" t="s">
        <v>63</v>
      </c>
      <c r="I613">
        <v>8055</v>
      </c>
      <c r="J613">
        <v>245527</v>
      </c>
      <c r="L613" t="s">
        <v>983</v>
      </c>
      <c r="M613" t="s">
        <v>65</v>
      </c>
      <c r="N613" t="s">
        <v>66</v>
      </c>
      <c r="O613" s="2">
        <v>46129</v>
      </c>
      <c r="P613" s="1">
        <v>86.9</v>
      </c>
      <c r="Q613" t="s">
        <v>67</v>
      </c>
      <c r="R613">
        <v>2.5099999999999998</v>
      </c>
      <c r="S613">
        <v>1.1200000000000001</v>
      </c>
      <c r="T613">
        <v>0.2</v>
      </c>
      <c r="U613">
        <v>84.19</v>
      </c>
      <c r="V613" s="1">
        <v>0</v>
      </c>
      <c r="X613">
        <v>20260420</v>
      </c>
      <c r="Z613" t="s">
        <v>68</v>
      </c>
      <c r="AA613">
        <v>3974527</v>
      </c>
      <c r="AB613" t="s">
        <v>79</v>
      </c>
      <c r="AE613">
        <v>0.4861111111111111</v>
      </c>
      <c r="AF613" t="s">
        <v>70</v>
      </c>
    </row>
    <row r="614" spans="1:32">
      <c r="A614">
        <v>1023366</v>
      </c>
      <c r="B614" t="s">
        <v>75</v>
      </c>
      <c r="C614" t="s">
        <v>62</v>
      </c>
      <c r="D614">
        <v>46129</v>
      </c>
      <c r="E614">
        <v>46129</v>
      </c>
      <c r="G614">
        <v>364</v>
      </c>
      <c r="H614" t="s">
        <v>63</v>
      </c>
      <c r="I614">
        <v>8060</v>
      </c>
      <c r="J614">
        <v>4467</v>
      </c>
      <c r="L614" t="s">
        <v>984</v>
      </c>
      <c r="M614" t="s">
        <v>65</v>
      </c>
      <c r="N614" t="s">
        <v>66</v>
      </c>
      <c r="O614" s="2">
        <v>46129</v>
      </c>
      <c r="P614" s="1">
        <v>4276</v>
      </c>
      <c r="Q614" t="s">
        <v>67</v>
      </c>
      <c r="R614">
        <v>123.58</v>
      </c>
      <c r="S614">
        <v>16.68</v>
      </c>
      <c r="T614">
        <v>3</v>
      </c>
      <c r="U614">
        <v>4149.42</v>
      </c>
      <c r="V614" s="1">
        <v>0</v>
      </c>
      <c r="X614">
        <v>20260420</v>
      </c>
      <c r="Z614" t="s">
        <v>72</v>
      </c>
      <c r="AA614">
        <v>3974527</v>
      </c>
      <c r="AB614" t="s">
        <v>79</v>
      </c>
      <c r="AE614">
        <v>0.50287037037037041</v>
      </c>
      <c r="AF614" t="s">
        <v>70</v>
      </c>
    </row>
    <row r="615" spans="1:32">
      <c r="A615">
        <v>1023366</v>
      </c>
      <c r="B615" t="s">
        <v>75</v>
      </c>
      <c r="C615" t="s">
        <v>62</v>
      </c>
      <c r="D615">
        <v>46129</v>
      </c>
      <c r="E615">
        <v>46129</v>
      </c>
      <c r="G615">
        <v>364</v>
      </c>
      <c r="H615" t="s">
        <v>63</v>
      </c>
      <c r="I615">
        <v>8065</v>
      </c>
      <c r="J615">
        <v>20919</v>
      </c>
      <c r="L615" t="s">
        <v>985</v>
      </c>
      <c r="M615" t="s">
        <v>65</v>
      </c>
      <c r="N615" t="s">
        <v>66</v>
      </c>
      <c r="O615" s="2">
        <v>46129</v>
      </c>
      <c r="P615" s="1">
        <v>98</v>
      </c>
      <c r="Q615" t="s">
        <v>67</v>
      </c>
      <c r="R615">
        <v>2.83</v>
      </c>
      <c r="S615">
        <v>0.38</v>
      </c>
      <c r="T615">
        <v>7.0000000000000007E-2</v>
      </c>
      <c r="U615">
        <v>95.1</v>
      </c>
      <c r="V615" s="1">
        <v>0</v>
      </c>
      <c r="X615">
        <v>20260420</v>
      </c>
      <c r="Z615" t="s">
        <v>72</v>
      </c>
      <c r="AA615">
        <v>3974527</v>
      </c>
      <c r="AB615" t="s">
        <v>81</v>
      </c>
      <c r="AE615">
        <v>0.56521990740740746</v>
      </c>
      <c r="AF615" t="s">
        <v>70</v>
      </c>
    </row>
    <row r="616" spans="1:32">
      <c r="A616">
        <v>1023366</v>
      </c>
      <c r="B616" t="s">
        <v>75</v>
      </c>
      <c r="C616" t="s">
        <v>62</v>
      </c>
      <c r="D616">
        <v>46129</v>
      </c>
      <c r="E616">
        <v>46129</v>
      </c>
      <c r="G616">
        <v>364</v>
      </c>
      <c r="H616">
        <v>65656565</v>
      </c>
      <c r="I616">
        <v>8067</v>
      </c>
      <c r="J616">
        <v>416949</v>
      </c>
      <c r="L616" t="s">
        <v>986</v>
      </c>
      <c r="M616" t="s">
        <v>65</v>
      </c>
      <c r="N616" t="s">
        <v>66</v>
      </c>
      <c r="O616" s="2">
        <v>46129</v>
      </c>
      <c r="P616" s="1">
        <v>105</v>
      </c>
      <c r="Q616" t="s">
        <v>67</v>
      </c>
      <c r="R616">
        <v>3.03</v>
      </c>
      <c r="S616">
        <v>1.35</v>
      </c>
      <c r="T616">
        <v>0.24</v>
      </c>
      <c r="U616">
        <v>101.73</v>
      </c>
      <c r="V616" s="1">
        <v>0</v>
      </c>
      <c r="X616">
        <v>20260420</v>
      </c>
      <c r="Z616" t="s">
        <v>68</v>
      </c>
      <c r="AA616">
        <v>3974527</v>
      </c>
      <c r="AB616" t="s">
        <v>77</v>
      </c>
      <c r="AD616" t="s">
        <v>298</v>
      </c>
      <c r="AE616">
        <v>0.58788194444444442</v>
      </c>
      <c r="AF616" t="s">
        <v>70</v>
      </c>
    </row>
    <row r="617" spans="1:32">
      <c r="A617">
        <v>1023366</v>
      </c>
      <c r="B617" t="s">
        <v>75</v>
      </c>
      <c r="C617" t="s">
        <v>62</v>
      </c>
      <c r="D617">
        <v>46129</v>
      </c>
      <c r="E617">
        <v>46129</v>
      </c>
      <c r="G617">
        <v>364</v>
      </c>
      <c r="H617" t="s">
        <v>63</v>
      </c>
      <c r="I617">
        <v>8070</v>
      </c>
      <c r="J617">
        <v>1655</v>
      </c>
      <c r="L617" t="s">
        <v>987</v>
      </c>
      <c r="M617" t="s">
        <v>65</v>
      </c>
      <c r="N617" t="s">
        <v>66</v>
      </c>
      <c r="O617" s="2">
        <v>46129</v>
      </c>
      <c r="P617" s="1">
        <v>228</v>
      </c>
      <c r="Q617" t="s">
        <v>67</v>
      </c>
      <c r="R617">
        <v>6.59</v>
      </c>
      <c r="S617">
        <v>1.8</v>
      </c>
      <c r="T617">
        <v>0.32</v>
      </c>
      <c r="U617">
        <v>221.09</v>
      </c>
      <c r="V617" s="1">
        <v>0</v>
      </c>
      <c r="X617">
        <v>20260420</v>
      </c>
      <c r="Z617" t="s">
        <v>72</v>
      </c>
      <c r="AA617">
        <v>3974527</v>
      </c>
      <c r="AB617" t="s">
        <v>79</v>
      </c>
      <c r="AE617">
        <v>0.58835648148148145</v>
      </c>
      <c r="AF617" t="s">
        <v>70</v>
      </c>
    </row>
    <row r="618" spans="1:32">
      <c r="A618">
        <v>1023366</v>
      </c>
      <c r="B618" t="s">
        <v>75</v>
      </c>
      <c r="C618" t="s">
        <v>62</v>
      </c>
      <c r="D618">
        <v>46129</v>
      </c>
      <c r="E618">
        <v>46129</v>
      </c>
      <c r="G618">
        <v>364</v>
      </c>
      <c r="H618" t="s">
        <v>63</v>
      </c>
      <c r="I618">
        <v>8072</v>
      </c>
      <c r="J618">
        <v>3068</v>
      </c>
      <c r="L618" t="s">
        <v>988</v>
      </c>
      <c r="M618" t="s">
        <v>65</v>
      </c>
      <c r="N618" t="s">
        <v>66</v>
      </c>
      <c r="O618" s="2">
        <v>46129</v>
      </c>
      <c r="P618" s="1">
        <v>149</v>
      </c>
      <c r="Q618" t="s">
        <v>67</v>
      </c>
      <c r="R618">
        <v>4.3099999999999996</v>
      </c>
      <c r="S618">
        <v>0.88</v>
      </c>
      <c r="T618">
        <v>0.16</v>
      </c>
      <c r="U618">
        <v>144.53</v>
      </c>
      <c r="V618" s="1">
        <v>0</v>
      </c>
      <c r="X618">
        <v>20260420</v>
      </c>
      <c r="Z618" t="s">
        <v>72</v>
      </c>
      <c r="AA618">
        <v>3974527</v>
      </c>
      <c r="AB618" t="s">
        <v>79</v>
      </c>
      <c r="AE618">
        <v>0.58982638888888894</v>
      </c>
      <c r="AF618" t="s">
        <v>70</v>
      </c>
    </row>
    <row r="619" spans="1:32">
      <c r="A619">
        <v>1023366</v>
      </c>
      <c r="B619" t="s">
        <v>75</v>
      </c>
      <c r="C619" t="s">
        <v>62</v>
      </c>
      <c r="D619">
        <v>46129</v>
      </c>
      <c r="E619">
        <v>46129</v>
      </c>
      <c r="G619">
        <v>364</v>
      </c>
      <c r="H619" t="s">
        <v>63</v>
      </c>
      <c r="I619">
        <v>8075</v>
      </c>
      <c r="J619">
        <v>113314</v>
      </c>
      <c r="L619" t="s">
        <v>989</v>
      </c>
      <c r="M619" t="s">
        <v>65</v>
      </c>
      <c r="N619" t="s">
        <v>66</v>
      </c>
      <c r="O619" s="2">
        <v>46129</v>
      </c>
      <c r="P619" s="1">
        <v>149</v>
      </c>
      <c r="Q619" t="s">
        <v>67</v>
      </c>
      <c r="R619">
        <v>4.3099999999999996</v>
      </c>
      <c r="S619">
        <v>1.93</v>
      </c>
      <c r="T619">
        <v>0.35</v>
      </c>
      <c r="U619">
        <v>144.34</v>
      </c>
      <c r="V619" s="1">
        <v>0</v>
      </c>
      <c r="X619">
        <v>20260420</v>
      </c>
      <c r="Z619" t="s">
        <v>68</v>
      </c>
      <c r="AA619">
        <v>3974527</v>
      </c>
      <c r="AB619" t="s">
        <v>81</v>
      </c>
      <c r="AE619">
        <v>0.60106481481481477</v>
      </c>
      <c r="AF619" t="s">
        <v>70</v>
      </c>
    </row>
    <row r="620" spans="1:32">
      <c r="A620">
        <v>1023366</v>
      </c>
      <c r="B620" t="s">
        <v>75</v>
      </c>
      <c r="C620" t="s">
        <v>62</v>
      </c>
      <c r="D620">
        <v>46129</v>
      </c>
      <c r="E620">
        <v>46129</v>
      </c>
      <c r="G620">
        <v>364</v>
      </c>
      <c r="H620">
        <v>65656565</v>
      </c>
      <c r="I620">
        <v>8077</v>
      </c>
      <c r="J620">
        <v>476302</v>
      </c>
      <c r="L620" t="s">
        <v>990</v>
      </c>
      <c r="M620" t="s">
        <v>65</v>
      </c>
      <c r="N620" t="s">
        <v>66</v>
      </c>
      <c r="O620" s="2">
        <v>46129</v>
      </c>
      <c r="P620" s="1">
        <v>105</v>
      </c>
      <c r="Q620" t="s">
        <v>67</v>
      </c>
      <c r="R620">
        <v>3.03</v>
      </c>
      <c r="S620">
        <v>1.35</v>
      </c>
      <c r="T620">
        <v>0.24</v>
      </c>
      <c r="U620">
        <v>101.73</v>
      </c>
      <c r="V620" s="1">
        <v>0</v>
      </c>
      <c r="X620">
        <v>20260420</v>
      </c>
      <c r="Z620" t="s">
        <v>68</v>
      </c>
      <c r="AA620">
        <v>3974527</v>
      </c>
      <c r="AB620" t="s">
        <v>79</v>
      </c>
      <c r="AD620" t="s">
        <v>88</v>
      </c>
      <c r="AE620">
        <v>0.60857638888888888</v>
      </c>
      <c r="AF620" t="s">
        <v>70</v>
      </c>
    </row>
    <row r="621" spans="1:32">
      <c r="A621">
        <v>1023366</v>
      </c>
      <c r="B621" t="s">
        <v>75</v>
      </c>
      <c r="C621" t="s">
        <v>62</v>
      </c>
      <c r="D621">
        <v>46129</v>
      </c>
      <c r="E621">
        <v>46129</v>
      </c>
      <c r="G621">
        <v>364</v>
      </c>
      <c r="H621">
        <v>65656565</v>
      </c>
      <c r="I621">
        <v>8080</v>
      </c>
      <c r="J621">
        <v>166460</v>
      </c>
      <c r="L621" t="s">
        <v>758</v>
      </c>
      <c r="M621" t="s">
        <v>65</v>
      </c>
      <c r="N621" t="s">
        <v>66</v>
      </c>
      <c r="O621" s="2">
        <v>46129</v>
      </c>
      <c r="P621" s="1">
        <v>69</v>
      </c>
      <c r="Q621" t="s">
        <v>67</v>
      </c>
      <c r="R621">
        <v>1.99</v>
      </c>
      <c r="S621">
        <v>0.89</v>
      </c>
      <c r="T621">
        <v>0.16</v>
      </c>
      <c r="U621">
        <v>66.849999999999994</v>
      </c>
      <c r="V621" s="1">
        <v>0</v>
      </c>
      <c r="X621">
        <v>20260420</v>
      </c>
      <c r="Z621" t="s">
        <v>68</v>
      </c>
      <c r="AA621">
        <v>3974527</v>
      </c>
      <c r="AB621" t="s">
        <v>79</v>
      </c>
      <c r="AD621" t="s">
        <v>88</v>
      </c>
      <c r="AE621">
        <v>0.61994212962962958</v>
      </c>
      <c r="AF621" t="s">
        <v>70</v>
      </c>
    </row>
    <row r="622" spans="1:32">
      <c r="A622">
        <v>1023366</v>
      </c>
      <c r="B622" t="s">
        <v>75</v>
      </c>
      <c r="C622" t="s">
        <v>62</v>
      </c>
      <c r="D622">
        <v>46129</v>
      </c>
      <c r="E622">
        <v>46129</v>
      </c>
      <c r="G622">
        <v>364</v>
      </c>
      <c r="H622" t="s">
        <v>63</v>
      </c>
      <c r="I622">
        <v>8083</v>
      </c>
      <c r="J622">
        <v>403036</v>
      </c>
      <c r="L622" t="s">
        <v>991</v>
      </c>
      <c r="M622" t="s">
        <v>65</v>
      </c>
      <c r="N622" t="s">
        <v>66</v>
      </c>
      <c r="O622" s="2">
        <v>46129</v>
      </c>
      <c r="P622" s="1">
        <v>1851.74</v>
      </c>
      <c r="Q622" t="s">
        <v>67</v>
      </c>
      <c r="R622">
        <v>53.52</v>
      </c>
      <c r="S622">
        <v>23.89</v>
      </c>
      <c r="T622">
        <v>4.3</v>
      </c>
      <c r="U622">
        <v>1793.92</v>
      </c>
      <c r="V622" s="1">
        <v>0</v>
      </c>
      <c r="X622">
        <v>20260420</v>
      </c>
      <c r="Z622" t="s">
        <v>68</v>
      </c>
      <c r="AA622">
        <v>3974527</v>
      </c>
      <c r="AB622" t="s">
        <v>93</v>
      </c>
      <c r="AE622">
        <v>0.6439583333333333</v>
      </c>
      <c r="AF622" t="s">
        <v>70</v>
      </c>
    </row>
    <row r="623" spans="1:32">
      <c r="A623">
        <v>1023366</v>
      </c>
      <c r="B623" t="s">
        <v>75</v>
      </c>
      <c r="C623" t="s">
        <v>62</v>
      </c>
      <c r="D623">
        <v>46129</v>
      </c>
      <c r="E623">
        <v>46129</v>
      </c>
      <c r="G623">
        <v>364</v>
      </c>
      <c r="H623" t="s">
        <v>63</v>
      </c>
      <c r="I623">
        <v>8087</v>
      </c>
      <c r="J623">
        <v>152734</v>
      </c>
      <c r="L623" t="s">
        <v>992</v>
      </c>
      <c r="M623" t="s">
        <v>65</v>
      </c>
      <c r="N623" t="s">
        <v>66</v>
      </c>
      <c r="O623" s="2">
        <v>46129</v>
      </c>
      <c r="P623" s="1">
        <v>105</v>
      </c>
      <c r="Q623" t="s">
        <v>67</v>
      </c>
      <c r="R623">
        <v>3.03</v>
      </c>
      <c r="S623">
        <v>0.61</v>
      </c>
      <c r="T623">
        <v>0.11</v>
      </c>
      <c r="U623">
        <v>101.86</v>
      </c>
      <c r="V623" s="1">
        <v>0</v>
      </c>
      <c r="X623">
        <v>20260420</v>
      </c>
      <c r="Z623" t="s">
        <v>72</v>
      </c>
      <c r="AA623">
        <v>3974527</v>
      </c>
      <c r="AB623" t="s">
        <v>77</v>
      </c>
      <c r="AE623">
        <v>0.67730324074074078</v>
      </c>
      <c r="AF623" t="s">
        <v>70</v>
      </c>
    </row>
    <row r="624" spans="1:32">
      <c r="A624">
        <v>1023366</v>
      </c>
      <c r="B624" t="s">
        <v>75</v>
      </c>
      <c r="C624" t="s">
        <v>62</v>
      </c>
      <c r="D624">
        <v>46129</v>
      </c>
      <c r="E624">
        <v>46129</v>
      </c>
      <c r="G624">
        <v>364</v>
      </c>
      <c r="H624" t="s">
        <v>63</v>
      </c>
      <c r="I624">
        <v>8092</v>
      </c>
      <c r="J624">
        <v>698323</v>
      </c>
      <c r="L624" t="s">
        <v>993</v>
      </c>
      <c r="M624" t="s">
        <v>65</v>
      </c>
      <c r="N624" t="s">
        <v>66</v>
      </c>
      <c r="O624" s="2">
        <v>46129</v>
      </c>
      <c r="P624" s="1">
        <v>54.9</v>
      </c>
      <c r="Q624" t="s">
        <v>67</v>
      </c>
      <c r="R624">
        <v>1.59</v>
      </c>
      <c r="S624">
        <v>0.71</v>
      </c>
      <c r="T624">
        <v>0.13</v>
      </c>
      <c r="U624">
        <v>53.18</v>
      </c>
      <c r="V624" s="1">
        <v>0</v>
      </c>
      <c r="X624">
        <v>20260420</v>
      </c>
      <c r="Z624" t="s">
        <v>68</v>
      </c>
      <c r="AA624">
        <v>3974527</v>
      </c>
      <c r="AB624" t="s">
        <v>79</v>
      </c>
      <c r="AE624">
        <v>0.70523148148148151</v>
      </c>
      <c r="AF624" t="s">
        <v>70</v>
      </c>
    </row>
    <row r="625" spans="1:32">
      <c r="A625">
        <v>1023366</v>
      </c>
      <c r="B625" t="s">
        <v>75</v>
      </c>
      <c r="C625" t="s">
        <v>62</v>
      </c>
      <c r="D625">
        <v>46129</v>
      </c>
      <c r="E625">
        <v>46129</v>
      </c>
      <c r="G625">
        <v>364</v>
      </c>
      <c r="H625" t="s">
        <v>63</v>
      </c>
      <c r="I625">
        <v>8094</v>
      </c>
      <c r="J625">
        <v>811522</v>
      </c>
      <c r="K625">
        <v>3</v>
      </c>
      <c r="L625" t="s">
        <v>994</v>
      </c>
      <c r="M625" t="s">
        <v>65</v>
      </c>
      <c r="N625" t="s">
        <v>66</v>
      </c>
      <c r="O625" s="2">
        <v>46129</v>
      </c>
      <c r="P625" s="1">
        <v>1499</v>
      </c>
      <c r="Q625" t="s">
        <v>67</v>
      </c>
      <c r="R625">
        <v>69.55</v>
      </c>
      <c r="S625">
        <v>11.84</v>
      </c>
      <c r="T625">
        <v>2.13</v>
      </c>
      <c r="U625">
        <v>1427.32</v>
      </c>
      <c r="V625" s="1">
        <v>0</v>
      </c>
      <c r="X625">
        <v>20260420</v>
      </c>
      <c r="Z625" t="s">
        <v>72</v>
      </c>
      <c r="AA625">
        <v>3974527</v>
      </c>
      <c r="AB625" t="s">
        <v>93</v>
      </c>
      <c r="AC625" t="s">
        <v>120</v>
      </c>
      <c r="AE625">
        <v>0.73181712962962964</v>
      </c>
      <c r="AF625" t="s">
        <v>70</v>
      </c>
    </row>
    <row r="626" spans="1:32">
      <c r="A626">
        <v>1023366</v>
      </c>
      <c r="B626" t="s">
        <v>75</v>
      </c>
      <c r="C626" t="s">
        <v>62</v>
      </c>
      <c r="D626">
        <v>46129</v>
      </c>
      <c r="E626">
        <v>46129</v>
      </c>
      <c r="G626">
        <v>364</v>
      </c>
      <c r="H626" t="s">
        <v>63</v>
      </c>
      <c r="I626">
        <v>8099</v>
      </c>
      <c r="J626" t="s">
        <v>995</v>
      </c>
      <c r="L626" t="s">
        <v>996</v>
      </c>
      <c r="M626" t="s">
        <v>96</v>
      </c>
      <c r="N626" t="s">
        <v>66</v>
      </c>
      <c r="O626" s="2">
        <v>46129</v>
      </c>
      <c r="P626" s="1">
        <v>69</v>
      </c>
      <c r="Q626" t="s">
        <v>67</v>
      </c>
      <c r="R626">
        <v>2.69</v>
      </c>
      <c r="S626">
        <v>1.94</v>
      </c>
      <c r="T626">
        <v>0.35</v>
      </c>
      <c r="U626">
        <v>65.959999999999994</v>
      </c>
      <c r="V626" s="1">
        <v>0</v>
      </c>
      <c r="X626">
        <v>20260420</v>
      </c>
      <c r="Z626" t="s">
        <v>68</v>
      </c>
      <c r="AA626">
        <v>3974527</v>
      </c>
      <c r="AB626" t="s">
        <v>97</v>
      </c>
      <c r="AE626">
        <v>0.75212962962962959</v>
      </c>
      <c r="AF626" t="s">
        <v>70</v>
      </c>
    </row>
    <row r="627" spans="1:32">
      <c r="A627">
        <v>1023366</v>
      </c>
      <c r="B627" t="s">
        <v>75</v>
      </c>
      <c r="C627" t="s">
        <v>62</v>
      </c>
      <c r="D627">
        <v>46129</v>
      </c>
      <c r="E627">
        <v>46129</v>
      </c>
      <c r="G627">
        <v>364</v>
      </c>
      <c r="H627" t="s">
        <v>63</v>
      </c>
      <c r="I627">
        <v>8107</v>
      </c>
      <c r="J627">
        <v>26333</v>
      </c>
      <c r="L627" t="s">
        <v>997</v>
      </c>
      <c r="M627" t="s">
        <v>65</v>
      </c>
      <c r="N627" t="s">
        <v>66</v>
      </c>
      <c r="O627" s="2">
        <v>46129</v>
      </c>
      <c r="P627" s="1">
        <v>89</v>
      </c>
      <c r="Q627" t="s">
        <v>67</v>
      </c>
      <c r="R627">
        <v>2.57</v>
      </c>
      <c r="S627">
        <v>0.34</v>
      </c>
      <c r="T627">
        <v>0.06</v>
      </c>
      <c r="U627">
        <v>86.37</v>
      </c>
      <c r="V627" s="1">
        <v>0</v>
      </c>
      <c r="X627">
        <v>20260420</v>
      </c>
      <c r="Z627" t="s">
        <v>72</v>
      </c>
      <c r="AA627">
        <v>3974527</v>
      </c>
      <c r="AB627" t="s">
        <v>93</v>
      </c>
      <c r="AE627">
        <v>0.77006944444444447</v>
      </c>
      <c r="AF627" t="s">
        <v>70</v>
      </c>
    </row>
    <row r="628" spans="1:32">
      <c r="A628">
        <v>1023366</v>
      </c>
      <c r="B628" t="s">
        <v>75</v>
      </c>
      <c r="C628" t="s">
        <v>62</v>
      </c>
      <c r="D628">
        <v>46129</v>
      </c>
      <c r="E628">
        <v>46129</v>
      </c>
      <c r="G628">
        <v>364</v>
      </c>
      <c r="H628">
        <v>65656565</v>
      </c>
      <c r="I628">
        <v>8109</v>
      </c>
      <c r="J628">
        <v>600359</v>
      </c>
      <c r="L628" t="s">
        <v>998</v>
      </c>
      <c r="M628" t="s">
        <v>65</v>
      </c>
      <c r="N628" t="s">
        <v>66</v>
      </c>
      <c r="O628" s="2">
        <v>46129</v>
      </c>
      <c r="P628" s="1">
        <v>49</v>
      </c>
      <c r="Q628" t="s">
        <v>67</v>
      </c>
      <c r="R628">
        <v>1.41</v>
      </c>
      <c r="S628">
        <v>0.63</v>
      </c>
      <c r="T628">
        <v>0.11</v>
      </c>
      <c r="U628">
        <v>47.48</v>
      </c>
      <c r="V628" s="1">
        <v>0</v>
      </c>
      <c r="X628">
        <v>20260420</v>
      </c>
      <c r="Z628" t="s">
        <v>68</v>
      </c>
      <c r="AA628">
        <v>3974527</v>
      </c>
      <c r="AB628" t="s">
        <v>77</v>
      </c>
      <c r="AD628" t="s">
        <v>298</v>
      </c>
      <c r="AE628">
        <v>0.7724537037037037</v>
      </c>
      <c r="AF628" t="s">
        <v>70</v>
      </c>
    </row>
    <row r="629" spans="1:32">
      <c r="A629">
        <v>1023366</v>
      </c>
      <c r="B629" t="s">
        <v>75</v>
      </c>
      <c r="C629" t="s">
        <v>62</v>
      </c>
      <c r="D629">
        <v>46129</v>
      </c>
      <c r="E629">
        <v>46129</v>
      </c>
      <c r="G629">
        <v>364</v>
      </c>
      <c r="H629">
        <v>65656565</v>
      </c>
      <c r="I629">
        <v>8114</v>
      </c>
      <c r="J629">
        <v>90533</v>
      </c>
      <c r="L629" t="s">
        <v>999</v>
      </c>
      <c r="M629" t="s">
        <v>65</v>
      </c>
      <c r="N629" t="s">
        <v>66</v>
      </c>
      <c r="O629" s="2">
        <v>46129</v>
      </c>
      <c r="P629" s="1">
        <v>49.9</v>
      </c>
      <c r="Q629" t="s">
        <v>67</v>
      </c>
      <c r="R629">
        <v>1.44</v>
      </c>
      <c r="S629">
        <v>0.64</v>
      </c>
      <c r="T629">
        <v>0.12</v>
      </c>
      <c r="U629">
        <v>48.34</v>
      </c>
      <c r="V629" s="1">
        <v>0</v>
      </c>
      <c r="X629">
        <v>20260420</v>
      </c>
      <c r="Z629" t="s">
        <v>68</v>
      </c>
      <c r="AA629">
        <v>3974527</v>
      </c>
      <c r="AB629" t="s">
        <v>93</v>
      </c>
      <c r="AD629" t="s">
        <v>155</v>
      </c>
      <c r="AE629">
        <v>0.78091435185185187</v>
      </c>
      <c r="AF629" t="s">
        <v>70</v>
      </c>
    </row>
    <row r="630" spans="1:32">
      <c r="A630">
        <v>1023366</v>
      </c>
      <c r="B630" t="s">
        <v>75</v>
      </c>
      <c r="C630" t="s">
        <v>62</v>
      </c>
      <c r="D630">
        <v>46129</v>
      </c>
      <c r="E630">
        <v>46129</v>
      </c>
      <c r="G630">
        <v>364</v>
      </c>
      <c r="H630" t="s">
        <v>63</v>
      </c>
      <c r="I630">
        <v>8117</v>
      </c>
      <c r="J630">
        <v>393163</v>
      </c>
      <c r="K630">
        <v>3</v>
      </c>
      <c r="L630" t="s">
        <v>1000</v>
      </c>
      <c r="M630" t="s">
        <v>65</v>
      </c>
      <c r="N630" t="s">
        <v>66</v>
      </c>
      <c r="O630" s="2">
        <v>46129</v>
      </c>
      <c r="P630" s="1">
        <v>149</v>
      </c>
      <c r="Q630" t="s">
        <v>67</v>
      </c>
      <c r="R630">
        <v>6.92</v>
      </c>
      <c r="S630">
        <v>0.88</v>
      </c>
      <c r="T630">
        <v>0.16</v>
      </c>
      <c r="U630">
        <v>141.91999999999999</v>
      </c>
      <c r="V630" s="1">
        <v>0</v>
      </c>
      <c r="X630">
        <v>20260420</v>
      </c>
      <c r="Z630" t="s">
        <v>72</v>
      </c>
      <c r="AA630">
        <v>3974527</v>
      </c>
      <c r="AB630" t="s">
        <v>93</v>
      </c>
      <c r="AC630" t="s">
        <v>120</v>
      </c>
      <c r="AE630">
        <v>0.83208333333333329</v>
      </c>
      <c r="AF630" t="s">
        <v>70</v>
      </c>
    </row>
    <row r="631" spans="1:32">
      <c r="A631">
        <v>1023366</v>
      </c>
      <c r="B631" t="s">
        <v>75</v>
      </c>
      <c r="C631" t="s">
        <v>62</v>
      </c>
      <c r="D631">
        <v>46129</v>
      </c>
      <c r="E631">
        <v>46129</v>
      </c>
      <c r="G631">
        <v>364</v>
      </c>
      <c r="H631" t="s">
        <v>63</v>
      </c>
      <c r="I631">
        <v>8119</v>
      </c>
      <c r="J631">
        <v>52272</v>
      </c>
      <c r="L631" t="s">
        <v>1001</v>
      </c>
      <c r="M631" t="s">
        <v>65</v>
      </c>
      <c r="N631" t="s">
        <v>66</v>
      </c>
      <c r="O631" s="2">
        <v>46129</v>
      </c>
      <c r="P631" s="1">
        <v>54.9</v>
      </c>
      <c r="Q631" t="s">
        <v>67</v>
      </c>
      <c r="R631">
        <v>1.59</v>
      </c>
      <c r="S631">
        <v>0.71</v>
      </c>
      <c r="T631">
        <v>0.13</v>
      </c>
      <c r="U631">
        <v>53.18</v>
      </c>
      <c r="V631" s="1">
        <v>0</v>
      </c>
      <c r="X631">
        <v>20260420</v>
      </c>
      <c r="Z631" t="s">
        <v>68</v>
      </c>
      <c r="AA631">
        <v>3974527</v>
      </c>
      <c r="AB631" t="s">
        <v>81</v>
      </c>
      <c r="AE631">
        <v>0.83461805555555557</v>
      </c>
      <c r="AF631" t="s">
        <v>70</v>
      </c>
    </row>
    <row r="632" spans="1:32">
      <c r="A632">
        <v>1023366</v>
      </c>
      <c r="B632" t="s">
        <v>75</v>
      </c>
      <c r="C632" t="s">
        <v>62</v>
      </c>
      <c r="D632">
        <v>46129</v>
      </c>
      <c r="E632">
        <v>46129</v>
      </c>
      <c r="G632">
        <v>364</v>
      </c>
      <c r="H632" t="s">
        <v>63</v>
      </c>
      <c r="I632">
        <v>8121</v>
      </c>
      <c r="J632">
        <v>527807</v>
      </c>
      <c r="K632">
        <v>3</v>
      </c>
      <c r="L632" t="s">
        <v>1002</v>
      </c>
      <c r="M632" t="s">
        <v>65</v>
      </c>
      <c r="N632" t="s">
        <v>66</v>
      </c>
      <c r="O632" s="2">
        <v>46129</v>
      </c>
      <c r="P632" s="1">
        <v>105</v>
      </c>
      <c r="Q632" t="s">
        <v>67</v>
      </c>
      <c r="R632">
        <v>4.87</v>
      </c>
      <c r="S632">
        <v>0.4</v>
      </c>
      <c r="T632">
        <v>7.0000000000000007E-2</v>
      </c>
      <c r="U632">
        <v>100.06</v>
      </c>
      <c r="V632" s="1">
        <v>0</v>
      </c>
      <c r="X632">
        <v>20260420</v>
      </c>
      <c r="Z632" t="s">
        <v>72</v>
      </c>
      <c r="AA632">
        <v>3974527</v>
      </c>
      <c r="AB632" t="s">
        <v>93</v>
      </c>
      <c r="AC632" t="s">
        <v>120</v>
      </c>
      <c r="AE632">
        <v>0.85646990740740736</v>
      </c>
      <c r="AF632" t="s">
        <v>70</v>
      </c>
    </row>
    <row r="633" spans="1:32">
      <c r="A633">
        <v>1023366</v>
      </c>
      <c r="B633" t="s">
        <v>75</v>
      </c>
      <c r="C633" t="s">
        <v>62</v>
      </c>
      <c r="D633">
        <v>46129</v>
      </c>
      <c r="E633">
        <v>46129</v>
      </c>
      <c r="G633">
        <v>364</v>
      </c>
      <c r="H633" t="s">
        <v>63</v>
      </c>
      <c r="I633">
        <v>8124</v>
      </c>
      <c r="J633">
        <v>579634</v>
      </c>
      <c r="L633" t="s">
        <v>1003</v>
      </c>
      <c r="M633" t="s">
        <v>65</v>
      </c>
      <c r="N633" t="s">
        <v>66</v>
      </c>
      <c r="O633" s="2">
        <v>46129</v>
      </c>
      <c r="P633" s="1">
        <v>1032</v>
      </c>
      <c r="Q633" t="s">
        <v>67</v>
      </c>
      <c r="R633">
        <v>29.82</v>
      </c>
      <c r="S633">
        <v>13.31</v>
      </c>
      <c r="T633">
        <v>2.4</v>
      </c>
      <c r="U633">
        <v>999.78</v>
      </c>
      <c r="V633" s="1">
        <v>10396.36</v>
      </c>
      <c r="W633">
        <v>46132</v>
      </c>
      <c r="X633">
        <v>20260420</v>
      </c>
      <c r="Z633" t="s">
        <v>68</v>
      </c>
      <c r="AA633">
        <v>3974527</v>
      </c>
      <c r="AB633" t="s">
        <v>93</v>
      </c>
      <c r="AE633">
        <v>0.86641203703703706</v>
      </c>
      <c r="AF633" t="s">
        <v>70</v>
      </c>
    </row>
    <row r="634" spans="1:32">
      <c r="A634">
        <v>1023366</v>
      </c>
      <c r="B634" t="s">
        <v>61</v>
      </c>
      <c r="C634" t="s">
        <v>62</v>
      </c>
      <c r="D634">
        <v>46130</v>
      </c>
      <c r="E634">
        <v>46130</v>
      </c>
      <c r="G634">
        <v>365</v>
      </c>
      <c r="H634" t="s">
        <v>63</v>
      </c>
      <c r="I634">
        <v>8149</v>
      </c>
      <c r="J634">
        <v>905487</v>
      </c>
      <c r="L634" t="s">
        <v>1004</v>
      </c>
      <c r="M634" t="s">
        <v>65</v>
      </c>
      <c r="N634" t="s">
        <v>66</v>
      </c>
      <c r="O634" s="2">
        <v>46130</v>
      </c>
      <c r="P634" s="1">
        <v>99.9</v>
      </c>
      <c r="Q634" t="s">
        <v>67</v>
      </c>
      <c r="R634">
        <v>2.89</v>
      </c>
      <c r="S634">
        <v>0.59</v>
      </c>
      <c r="T634">
        <v>0.11</v>
      </c>
      <c r="U634">
        <v>96.9</v>
      </c>
      <c r="V634" s="1">
        <v>0</v>
      </c>
      <c r="X634">
        <v>20260420</v>
      </c>
      <c r="Z634" t="s">
        <v>72</v>
      </c>
      <c r="AA634">
        <v>3974527</v>
      </c>
      <c r="AB634" t="s">
        <v>93</v>
      </c>
      <c r="AE634">
        <v>0.46091435185185187</v>
      </c>
      <c r="AF634" t="s">
        <v>70</v>
      </c>
    </row>
    <row r="635" spans="1:32">
      <c r="A635">
        <v>1023366</v>
      </c>
      <c r="B635" t="s">
        <v>61</v>
      </c>
      <c r="C635" t="s">
        <v>62</v>
      </c>
      <c r="D635">
        <v>46130</v>
      </c>
      <c r="E635">
        <v>46130</v>
      </c>
      <c r="G635">
        <v>365</v>
      </c>
      <c r="H635" t="s">
        <v>63</v>
      </c>
      <c r="I635">
        <v>8175</v>
      </c>
      <c r="J635">
        <v>185812</v>
      </c>
      <c r="L635" t="s">
        <v>1005</v>
      </c>
      <c r="M635" t="s">
        <v>96</v>
      </c>
      <c r="N635" t="s">
        <v>66</v>
      </c>
      <c r="O635" s="2">
        <v>46130</v>
      </c>
      <c r="P635" s="1">
        <v>3899</v>
      </c>
      <c r="Q635" t="s">
        <v>67</v>
      </c>
      <c r="R635">
        <v>152.06</v>
      </c>
      <c r="S635">
        <v>89.68</v>
      </c>
      <c r="T635">
        <v>16.14</v>
      </c>
      <c r="U635">
        <v>3730.8</v>
      </c>
      <c r="V635" s="1">
        <v>0</v>
      </c>
      <c r="X635">
        <v>20260420</v>
      </c>
      <c r="Z635" t="s">
        <v>68</v>
      </c>
      <c r="AA635">
        <v>3974527</v>
      </c>
      <c r="AB635" t="s">
        <v>234</v>
      </c>
      <c r="AE635">
        <v>0.58208333333333329</v>
      </c>
      <c r="AF635" t="s">
        <v>70</v>
      </c>
    </row>
    <row r="636" spans="1:32">
      <c r="A636">
        <v>1023366</v>
      </c>
      <c r="B636" t="s">
        <v>61</v>
      </c>
      <c r="C636" t="s">
        <v>62</v>
      </c>
      <c r="D636">
        <v>46130</v>
      </c>
      <c r="E636">
        <v>46130</v>
      </c>
      <c r="G636">
        <v>365</v>
      </c>
      <c r="H636" t="s">
        <v>63</v>
      </c>
      <c r="I636">
        <v>8236</v>
      </c>
      <c r="J636" t="s">
        <v>1006</v>
      </c>
      <c r="L636" t="s">
        <v>1007</v>
      </c>
      <c r="M636" t="s">
        <v>96</v>
      </c>
      <c r="N636" t="s">
        <v>66</v>
      </c>
      <c r="O636" s="2">
        <v>46130</v>
      </c>
      <c r="P636" s="1">
        <v>189</v>
      </c>
      <c r="Q636" t="s">
        <v>67</v>
      </c>
      <c r="R636">
        <v>7.37</v>
      </c>
      <c r="S636">
        <v>3.59</v>
      </c>
      <c r="T636">
        <v>0.65</v>
      </c>
      <c r="U636">
        <v>180.98</v>
      </c>
      <c r="V636" s="1">
        <v>0</v>
      </c>
      <c r="X636">
        <v>20260420</v>
      </c>
      <c r="Z636" t="s">
        <v>68</v>
      </c>
      <c r="AA636">
        <v>3974527</v>
      </c>
      <c r="AB636" t="s">
        <v>234</v>
      </c>
      <c r="AE636">
        <v>0.78276620370370376</v>
      </c>
      <c r="AF636" t="s">
        <v>70</v>
      </c>
    </row>
    <row r="637" spans="1:32">
      <c r="A637">
        <v>1023366</v>
      </c>
      <c r="B637" t="s">
        <v>61</v>
      </c>
      <c r="C637" t="s">
        <v>62</v>
      </c>
      <c r="D637">
        <v>46130</v>
      </c>
      <c r="E637">
        <v>46130</v>
      </c>
      <c r="G637">
        <v>365</v>
      </c>
      <c r="H637" t="s">
        <v>63</v>
      </c>
      <c r="I637">
        <v>8238</v>
      </c>
      <c r="J637">
        <v>139775</v>
      </c>
      <c r="L637" t="s">
        <v>1008</v>
      </c>
      <c r="M637" t="s">
        <v>65</v>
      </c>
      <c r="N637" t="s">
        <v>66</v>
      </c>
      <c r="O637" s="2">
        <v>46130</v>
      </c>
      <c r="P637" s="1">
        <v>35</v>
      </c>
      <c r="Q637" t="s">
        <v>67</v>
      </c>
      <c r="R637">
        <v>1.01</v>
      </c>
      <c r="S637">
        <v>0.4</v>
      </c>
      <c r="T637">
        <v>7.0000000000000007E-2</v>
      </c>
      <c r="U637">
        <v>33.92</v>
      </c>
      <c r="V637" s="1">
        <v>0</v>
      </c>
      <c r="X637">
        <v>20260420</v>
      </c>
      <c r="Z637" t="s">
        <v>68</v>
      </c>
      <c r="AA637">
        <v>3974527</v>
      </c>
      <c r="AB637" t="s">
        <v>69</v>
      </c>
      <c r="AE637">
        <v>0.84370370370370373</v>
      </c>
      <c r="AF637" t="s">
        <v>70</v>
      </c>
    </row>
    <row r="638" spans="1:32">
      <c r="A638">
        <v>1023366</v>
      </c>
      <c r="B638" t="s">
        <v>61</v>
      </c>
      <c r="C638" t="s">
        <v>62</v>
      </c>
      <c r="D638">
        <v>46130</v>
      </c>
      <c r="E638">
        <v>46130</v>
      </c>
      <c r="G638">
        <v>365</v>
      </c>
      <c r="H638" t="s">
        <v>63</v>
      </c>
      <c r="I638">
        <v>8242</v>
      </c>
      <c r="J638">
        <v>172158</v>
      </c>
      <c r="L638" t="s">
        <v>1009</v>
      </c>
      <c r="M638" t="s">
        <v>65</v>
      </c>
      <c r="N638" t="s">
        <v>66</v>
      </c>
      <c r="O638" s="2">
        <v>46130</v>
      </c>
      <c r="P638" s="1">
        <v>169.9</v>
      </c>
      <c r="Q638" t="s">
        <v>67</v>
      </c>
      <c r="R638">
        <v>4.91</v>
      </c>
      <c r="S638">
        <v>0.57999999999999996</v>
      </c>
      <c r="T638">
        <v>0.1</v>
      </c>
      <c r="U638">
        <v>164.89</v>
      </c>
      <c r="V638" s="1">
        <v>4207.49</v>
      </c>
      <c r="W638">
        <v>46132</v>
      </c>
      <c r="X638">
        <v>20260420</v>
      </c>
      <c r="Z638" t="s">
        <v>72</v>
      </c>
      <c r="AA638">
        <v>3974527</v>
      </c>
      <c r="AB638" t="s">
        <v>93</v>
      </c>
      <c r="AE638">
        <v>0.86170138888888892</v>
      </c>
      <c r="AF638" t="s">
        <v>70</v>
      </c>
    </row>
    <row r="639" spans="1:32">
      <c r="A639">
        <v>1023366</v>
      </c>
      <c r="B639" t="s">
        <v>860</v>
      </c>
      <c r="C639" t="s">
        <v>62</v>
      </c>
      <c r="D639">
        <v>46130</v>
      </c>
      <c r="E639">
        <v>46130</v>
      </c>
      <c r="G639">
        <v>365</v>
      </c>
      <c r="H639" t="s">
        <v>63</v>
      </c>
      <c r="I639">
        <v>8147</v>
      </c>
      <c r="J639">
        <v>855507</v>
      </c>
      <c r="L639" t="s">
        <v>1010</v>
      </c>
      <c r="M639" t="s">
        <v>96</v>
      </c>
      <c r="N639" t="s">
        <v>66</v>
      </c>
      <c r="O639" s="2">
        <v>46130</v>
      </c>
      <c r="P639" s="1">
        <v>159</v>
      </c>
      <c r="Q639" t="s">
        <v>67</v>
      </c>
      <c r="R639">
        <v>4.5999999999999996</v>
      </c>
      <c r="S639">
        <v>2.7</v>
      </c>
      <c r="T639">
        <v>0.49</v>
      </c>
      <c r="U639">
        <v>153.91</v>
      </c>
      <c r="V639" s="1">
        <v>0</v>
      </c>
      <c r="X639">
        <v>20260420</v>
      </c>
      <c r="Z639" t="s">
        <v>72</v>
      </c>
      <c r="AA639">
        <v>3974527</v>
      </c>
      <c r="AB639" t="s">
        <v>862</v>
      </c>
      <c r="AE639">
        <v>0.44709490740740743</v>
      </c>
      <c r="AF639" t="s">
        <v>70</v>
      </c>
    </row>
    <row r="640" spans="1:32">
      <c r="A640">
        <v>1023366</v>
      </c>
      <c r="B640" t="s">
        <v>860</v>
      </c>
      <c r="C640" t="s">
        <v>62</v>
      </c>
      <c r="D640">
        <v>46130</v>
      </c>
      <c r="E640">
        <v>46130</v>
      </c>
      <c r="G640">
        <v>365</v>
      </c>
      <c r="H640" t="s">
        <v>63</v>
      </c>
      <c r="I640">
        <v>8189</v>
      </c>
      <c r="J640">
        <v>45621</v>
      </c>
      <c r="L640" t="s">
        <v>1010</v>
      </c>
      <c r="M640" t="s">
        <v>96</v>
      </c>
      <c r="N640" t="s">
        <v>66</v>
      </c>
      <c r="O640" s="2">
        <v>46130</v>
      </c>
      <c r="P640" s="1">
        <v>159</v>
      </c>
      <c r="Q640" t="s">
        <v>67</v>
      </c>
      <c r="R640">
        <v>4.5999999999999996</v>
      </c>
      <c r="S640">
        <v>2.7</v>
      </c>
      <c r="T640">
        <v>0.49</v>
      </c>
      <c r="U640">
        <v>153.91</v>
      </c>
      <c r="V640" s="1">
        <v>307.82</v>
      </c>
      <c r="W640">
        <v>46132</v>
      </c>
      <c r="X640">
        <v>20260420</v>
      </c>
      <c r="Z640" t="s">
        <v>72</v>
      </c>
      <c r="AA640">
        <v>3974527</v>
      </c>
      <c r="AB640" t="s">
        <v>862</v>
      </c>
      <c r="AE640">
        <v>0.6268055555555555</v>
      </c>
      <c r="AF640" t="s">
        <v>70</v>
      </c>
    </row>
    <row r="641" spans="1:32">
      <c r="A641">
        <v>1023366</v>
      </c>
      <c r="B641" t="s">
        <v>75</v>
      </c>
      <c r="C641" t="s">
        <v>62</v>
      </c>
      <c r="D641">
        <v>46130</v>
      </c>
      <c r="E641">
        <v>46130</v>
      </c>
      <c r="G641">
        <v>365</v>
      </c>
      <c r="H641" t="s">
        <v>63</v>
      </c>
      <c r="I641">
        <v>8139</v>
      </c>
      <c r="J641">
        <v>6792</v>
      </c>
      <c r="L641" t="s">
        <v>1011</v>
      </c>
      <c r="M641" t="s">
        <v>65</v>
      </c>
      <c r="N641" t="s">
        <v>66</v>
      </c>
      <c r="O641" s="2">
        <v>46130</v>
      </c>
      <c r="P641" s="1">
        <v>149</v>
      </c>
      <c r="Q641" t="s">
        <v>67</v>
      </c>
      <c r="R641">
        <v>4.3099999999999996</v>
      </c>
      <c r="S641">
        <v>1.18</v>
      </c>
      <c r="T641">
        <v>0.21</v>
      </c>
      <c r="U641">
        <v>144.47999999999999</v>
      </c>
      <c r="V641" s="1">
        <v>0</v>
      </c>
      <c r="X641">
        <v>20260420</v>
      </c>
      <c r="Z641" t="s">
        <v>72</v>
      </c>
      <c r="AA641">
        <v>3974527</v>
      </c>
      <c r="AB641" t="s">
        <v>79</v>
      </c>
      <c r="AE641">
        <v>0.42689814814814814</v>
      </c>
      <c r="AF641" t="s">
        <v>70</v>
      </c>
    </row>
    <row r="642" spans="1:32">
      <c r="A642">
        <v>1023366</v>
      </c>
      <c r="B642" t="s">
        <v>75</v>
      </c>
      <c r="C642" t="s">
        <v>62</v>
      </c>
      <c r="D642">
        <v>46130</v>
      </c>
      <c r="E642">
        <v>46130</v>
      </c>
      <c r="G642">
        <v>365</v>
      </c>
      <c r="H642" t="s">
        <v>63</v>
      </c>
      <c r="I642">
        <v>8141</v>
      </c>
      <c r="J642">
        <v>511856</v>
      </c>
      <c r="L642" t="s">
        <v>1012</v>
      </c>
      <c r="M642" t="s">
        <v>65</v>
      </c>
      <c r="N642" t="s">
        <v>66</v>
      </c>
      <c r="O642" s="2">
        <v>46130</v>
      </c>
      <c r="P642" s="1">
        <v>105</v>
      </c>
      <c r="Q642" t="s">
        <v>67</v>
      </c>
      <c r="R642">
        <v>3.03</v>
      </c>
      <c r="S642">
        <v>1.35</v>
      </c>
      <c r="T642">
        <v>0.24</v>
      </c>
      <c r="U642">
        <v>101.73</v>
      </c>
      <c r="V642" s="1">
        <v>0</v>
      </c>
      <c r="X642">
        <v>20260420</v>
      </c>
      <c r="Z642" t="s">
        <v>68</v>
      </c>
      <c r="AA642">
        <v>3974527</v>
      </c>
      <c r="AB642" t="s">
        <v>77</v>
      </c>
      <c r="AE642">
        <v>0.42806712962962962</v>
      </c>
      <c r="AF642" t="s">
        <v>70</v>
      </c>
    </row>
    <row r="643" spans="1:32">
      <c r="A643">
        <v>1023366</v>
      </c>
      <c r="B643" t="s">
        <v>75</v>
      </c>
      <c r="C643" t="s">
        <v>62</v>
      </c>
      <c r="D643">
        <v>46130</v>
      </c>
      <c r="E643">
        <v>46130</v>
      </c>
      <c r="G643">
        <v>365</v>
      </c>
      <c r="H643" t="s">
        <v>63</v>
      </c>
      <c r="I643">
        <v>8144</v>
      </c>
      <c r="J643" t="s">
        <v>1013</v>
      </c>
      <c r="L643" t="s">
        <v>1014</v>
      </c>
      <c r="M643" t="s">
        <v>65</v>
      </c>
      <c r="N643" t="s">
        <v>66</v>
      </c>
      <c r="O643" s="2">
        <v>46130</v>
      </c>
      <c r="P643" s="1">
        <v>149</v>
      </c>
      <c r="Q643" t="s">
        <v>67</v>
      </c>
      <c r="R643">
        <v>4.3099999999999996</v>
      </c>
      <c r="S643">
        <v>1.18</v>
      </c>
      <c r="T643">
        <v>0.21</v>
      </c>
      <c r="U643">
        <v>144.47999999999999</v>
      </c>
      <c r="V643" s="1">
        <v>0</v>
      </c>
      <c r="X643">
        <v>20260420</v>
      </c>
      <c r="Z643" t="s">
        <v>72</v>
      </c>
      <c r="AA643">
        <v>3974527</v>
      </c>
      <c r="AB643" t="s">
        <v>79</v>
      </c>
      <c r="AE643">
        <v>0.43384259259259261</v>
      </c>
      <c r="AF643" t="s">
        <v>70</v>
      </c>
    </row>
    <row r="644" spans="1:32">
      <c r="A644">
        <v>1023366</v>
      </c>
      <c r="B644" t="s">
        <v>75</v>
      </c>
      <c r="C644" t="s">
        <v>62</v>
      </c>
      <c r="D644">
        <v>46130</v>
      </c>
      <c r="E644">
        <v>46130</v>
      </c>
      <c r="G644">
        <v>365</v>
      </c>
      <c r="H644" t="s">
        <v>63</v>
      </c>
      <c r="I644">
        <v>8151</v>
      </c>
      <c r="J644">
        <v>936720</v>
      </c>
      <c r="K644">
        <v>3</v>
      </c>
      <c r="L644" t="s">
        <v>1015</v>
      </c>
      <c r="M644" t="s">
        <v>65</v>
      </c>
      <c r="N644" t="s">
        <v>66</v>
      </c>
      <c r="O644" s="2">
        <v>46130</v>
      </c>
      <c r="P644" s="1">
        <v>149</v>
      </c>
      <c r="Q644" t="s">
        <v>67</v>
      </c>
      <c r="R644">
        <v>6.92</v>
      </c>
      <c r="S644">
        <v>0.88</v>
      </c>
      <c r="T644">
        <v>0.16</v>
      </c>
      <c r="U644">
        <v>141.91999999999999</v>
      </c>
      <c r="V644" s="1">
        <v>0</v>
      </c>
      <c r="X644">
        <v>20260420</v>
      </c>
      <c r="Z644" t="s">
        <v>72</v>
      </c>
      <c r="AA644">
        <v>3974527</v>
      </c>
      <c r="AB644" t="s">
        <v>93</v>
      </c>
      <c r="AC644" t="s">
        <v>120</v>
      </c>
      <c r="AE644">
        <v>0.4667824074074074</v>
      </c>
      <c r="AF644" t="s">
        <v>70</v>
      </c>
    </row>
    <row r="645" spans="1:32">
      <c r="A645">
        <v>1023366</v>
      </c>
      <c r="B645" t="s">
        <v>75</v>
      </c>
      <c r="C645" t="s">
        <v>62</v>
      </c>
      <c r="D645">
        <v>46130</v>
      </c>
      <c r="E645">
        <v>46130</v>
      </c>
      <c r="G645">
        <v>365</v>
      </c>
      <c r="H645" t="s">
        <v>63</v>
      </c>
      <c r="I645">
        <v>8153</v>
      </c>
      <c r="J645">
        <v>11071</v>
      </c>
      <c r="K645">
        <v>3</v>
      </c>
      <c r="L645" t="s">
        <v>1016</v>
      </c>
      <c r="M645" t="s">
        <v>65</v>
      </c>
      <c r="N645" t="s">
        <v>66</v>
      </c>
      <c r="O645" s="2">
        <v>46130</v>
      </c>
      <c r="P645" s="1">
        <v>144</v>
      </c>
      <c r="Q645" t="s">
        <v>67</v>
      </c>
      <c r="R645">
        <v>6.68</v>
      </c>
      <c r="S645">
        <v>1.1399999999999999</v>
      </c>
      <c r="T645">
        <v>0.21</v>
      </c>
      <c r="U645">
        <v>137.11000000000001</v>
      </c>
      <c r="V645" s="1">
        <v>0</v>
      </c>
      <c r="X645">
        <v>20260420</v>
      </c>
      <c r="Z645" t="s">
        <v>72</v>
      </c>
      <c r="AA645">
        <v>3974527</v>
      </c>
      <c r="AB645" t="s">
        <v>93</v>
      </c>
      <c r="AC645" t="s">
        <v>120</v>
      </c>
      <c r="AE645">
        <v>0.4803587962962963</v>
      </c>
      <c r="AF645" t="s">
        <v>70</v>
      </c>
    </row>
    <row r="646" spans="1:32">
      <c r="A646">
        <v>1023366</v>
      </c>
      <c r="B646" t="s">
        <v>75</v>
      </c>
      <c r="C646" t="s">
        <v>62</v>
      </c>
      <c r="D646">
        <v>46130</v>
      </c>
      <c r="E646">
        <v>46130</v>
      </c>
      <c r="G646">
        <v>365</v>
      </c>
      <c r="H646" t="s">
        <v>63</v>
      </c>
      <c r="I646">
        <v>8155</v>
      </c>
      <c r="J646">
        <v>538955</v>
      </c>
      <c r="L646" t="s">
        <v>1017</v>
      </c>
      <c r="M646" t="s">
        <v>65</v>
      </c>
      <c r="N646" t="s">
        <v>66</v>
      </c>
      <c r="O646" s="2">
        <v>46130</v>
      </c>
      <c r="P646" s="1">
        <v>349</v>
      </c>
      <c r="Q646" t="s">
        <v>67</v>
      </c>
      <c r="R646">
        <v>10.09</v>
      </c>
      <c r="S646">
        <v>4.51</v>
      </c>
      <c r="T646">
        <v>0.81</v>
      </c>
      <c r="U646">
        <v>338.1</v>
      </c>
      <c r="V646" s="1">
        <v>0</v>
      </c>
      <c r="X646">
        <v>20260420</v>
      </c>
      <c r="Z646" t="s">
        <v>68</v>
      </c>
      <c r="AA646">
        <v>3974527</v>
      </c>
      <c r="AB646" t="s">
        <v>79</v>
      </c>
      <c r="AE646">
        <v>0.49</v>
      </c>
      <c r="AF646" t="s">
        <v>70</v>
      </c>
    </row>
    <row r="647" spans="1:32">
      <c r="A647">
        <v>1023366</v>
      </c>
      <c r="B647" t="s">
        <v>75</v>
      </c>
      <c r="C647" t="s">
        <v>62</v>
      </c>
      <c r="D647">
        <v>46130</v>
      </c>
      <c r="E647">
        <v>46130</v>
      </c>
      <c r="G647">
        <v>365</v>
      </c>
      <c r="H647" t="s">
        <v>63</v>
      </c>
      <c r="I647">
        <v>8157</v>
      </c>
      <c r="J647">
        <v>8791</v>
      </c>
      <c r="L647" t="s">
        <v>1018</v>
      </c>
      <c r="M647" t="s">
        <v>65</v>
      </c>
      <c r="N647" t="s">
        <v>66</v>
      </c>
      <c r="O647" s="2">
        <v>46130</v>
      </c>
      <c r="P647" s="1">
        <v>109</v>
      </c>
      <c r="Q647" t="s">
        <v>67</v>
      </c>
      <c r="R647">
        <v>3.15</v>
      </c>
      <c r="S647">
        <v>0.86</v>
      </c>
      <c r="T647">
        <v>0.15</v>
      </c>
      <c r="U647">
        <v>105.7</v>
      </c>
      <c r="V647" s="1">
        <v>0</v>
      </c>
      <c r="X647">
        <v>20260420</v>
      </c>
      <c r="Z647" t="s">
        <v>72</v>
      </c>
      <c r="AA647">
        <v>3974527</v>
      </c>
      <c r="AB647" t="s">
        <v>79</v>
      </c>
      <c r="AE647">
        <v>0.49489583333333331</v>
      </c>
      <c r="AF647" t="s">
        <v>70</v>
      </c>
    </row>
    <row r="648" spans="1:32">
      <c r="A648">
        <v>1023366</v>
      </c>
      <c r="B648" t="s">
        <v>75</v>
      </c>
      <c r="C648" t="s">
        <v>62</v>
      </c>
      <c r="D648">
        <v>46130</v>
      </c>
      <c r="E648">
        <v>46130</v>
      </c>
      <c r="G648">
        <v>365</v>
      </c>
      <c r="H648" t="s">
        <v>63</v>
      </c>
      <c r="I648">
        <v>8159</v>
      </c>
      <c r="J648">
        <v>871260</v>
      </c>
      <c r="L648" t="s">
        <v>1019</v>
      </c>
      <c r="M648" t="s">
        <v>65</v>
      </c>
      <c r="N648" t="s">
        <v>66</v>
      </c>
      <c r="O648" s="2">
        <v>46130</v>
      </c>
      <c r="P648" s="1">
        <v>54.9</v>
      </c>
      <c r="Q648" t="s">
        <v>67</v>
      </c>
      <c r="R648">
        <v>1.59</v>
      </c>
      <c r="S648">
        <v>0.71</v>
      </c>
      <c r="T648">
        <v>0.13</v>
      </c>
      <c r="U648">
        <v>53.18</v>
      </c>
      <c r="V648" s="1">
        <v>0</v>
      </c>
      <c r="X648">
        <v>20260420</v>
      </c>
      <c r="Z648" t="s">
        <v>68</v>
      </c>
      <c r="AA648">
        <v>3974527</v>
      </c>
      <c r="AB648" t="s">
        <v>79</v>
      </c>
      <c r="AE648">
        <v>0.50327546296296299</v>
      </c>
      <c r="AF648" t="s">
        <v>70</v>
      </c>
    </row>
    <row r="649" spans="1:32">
      <c r="A649">
        <v>1023366</v>
      </c>
      <c r="B649" t="s">
        <v>75</v>
      </c>
      <c r="C649" t="s">
        <v>62</v>
      </c>
      <c r="D649">
        <v>46130</v>
      </c>
      <c r="E649">
        <v>46130</v>
      </c>
      <c r="G649">
        <v>365</v>
      </c>
      <c r="H649" t="s">
        <v>63</v>
      </c>
      <c r="I649">
        <v>8161</v>
      </c>
      <c r="J649">
        <v>44570</v>
      </c>
      <c r="L649" t="s">
        <v>1020</v>
      </c>
      <c r="M649" t="s">
        <v>65</v>
      </c>
      <c r="N649" t="s">
        <v>66</v>
      </c>
      <c r="O649" s="2">
        <v>46130</v>
      </c>
      <c r="P649" s="1">
        <v>318</v>
      </c>
      <c r="Q649" t="s">
        <v>67</v>
      </c>
      <c r="R649">
        <v>9.19</v>
      </c>
      <c r="S649">
        <v>4.0999999999999996</v>
      </c>
      <c r="T649">
        <v>0.74</v>
      </c>
      <c r="U649">
        <v>308.07</v>
      </c>
      <c r="V649" s="1">
        <v>0</v>
      </c>
      <c r="X649">
        <v>20260420</v>
      </c>
      <c r="Z649" t="s">
        <v>68</v>
      </c>
      <c r="AA649">
        <v>3974527</v>
      </c>
      <c r="AB649" t="s">
        <v>84</v>
      </c>
      <c r="AE649">
        <v>0.50552083333333331</v>
      </c>
      <c r="AF649" t="s">
        <v>70</v>
      </c>
    </row>
    <row r="650" spans="1:32">
      <c r="A650">
        <v>1023366</v>
      </c>
      <c r="B650" t="s">
        <v>75</v>
      </c>
      <c r="C650" t="s">
        <v>62</v>
      </c>
      <c r="D650">
        <v>46130</v>
      </c>
      <c r="E650">
        <v>46130</v>
      </c>
      <c r="G650">
        <v>365</v>
      </c>
      <c r="H650" t="s">
        <v>63</v>
      </c>
      <c r="I650">
        <v>8163</v>
      </c>
      <c r="J650">
        <v>23351</v>
      </c>
      <c r="L650" t="s">
        <v>1021</v>
      </c>
      <c r="M650" t="s">
        <v>65</v>
      </c>
      <c r="N650" t="s">
        <v>66</v>
      </c>
      <c r="O650" s="2">
        <v>46130</v>
      </c>
      <c r="P650" s="1">
        <v>49</v>
      </c>
      <c r="Q650" t="s">
        <v>67</v>
      </c>
      <c r="R650">
        <v>1.42</v>
      </c>
      <c r="S650">
        <v>0.64</v>
      </c>
      <c r="T650">
        <v>0.12</v>
      </c>
      <c r="U650">
        <v>47.46</v>
      </c>
      <c r="V650" s="1">
        <v>0</v>
      </c>
      <c r="X650">
        <v>20260420</v>
      </c>
      <c r="Z650" t="s">
        <v>68</v>
      </c>
      <c r="AA650">
        <v>3974527</v>
      </c>
      <c r="AB650" t="s">
        <v>79</v>
      </c>
      <c r="AE650">
        <v>0.50940972222222225</v>
      </c>
      <c r="AF650" t="s">
        <v>70</v>
      </c>
    </row>
    <row r="651" spans="1:32">
      <c r="A651">
        <v>1023366</v>
      </c>
      <c r="B651" t="s">
        <v>75</v>
      </c>
      <c r="C651" t="s">
        <v>62</v>
      </c>
      <c r="D651">
        <v>46130</v>
      </c>
      <c r="E651">
        <v>46130</v>
      </c>
      <c r="G651">
        <v>365</v>
      </c>
      <c r="H651" t="s">
        <v>63</v>
      </c>
      <c r="I651">
        <v>8165</v>
      </c>
      <c r="J651">
        <v>7357</v>
      </c>
      <c r="L651" t="s">
        <v>1022</v>
      </c>
      <c r="M651" t="s">
        <v>65</v>
      </c>
      <c r="N651" t="s">
        <v>66</v>
      </c>
      <c r="O651" s="2">
        <v>46130</v>
      </c>
      <c r="P651" s="1">
        <v>899</v>
      </c>
      <c r="Q651" t="s">
        <v>67</v>
      </c>
      <c r="R651">
        <v>25.98</v>
      </c>
      <c r="S651">
        <v>3.5</v>
      </c>
      <c r="T651">
        <v>0.63</v>
      </c>
      <c r="U651">
        <v>872.39</v>
      </c>
      <c r="V651" s="1">
        <v>0</v>
      </c>
      <c r="X651">
        <v>20260420</v>
      </c>
      <c r="Z651" t="s">
        <v>72</v>
      </c>
      <c r="AA651">
        <v>3974527</v>
      </c>
      <c r="AB651" t="s">
        <v>79</v>
      </c>
      <c r="AE651">
        <v>0.5208680555555556</v>
      </c>
      <c r="AF651" t="s">
        <v>70</v>
      </c>
    </row>
    <row r="652" spans="1:32">
      <c r="A652">
        <v>1023366</v>
      </c>
      <c r="B652" t="s">
        <v>75</v>
      </c>
      <c r="C652" t="s">
        <v>62</v>
      </c>
      <c r="D652">
        <v>46130</v>
      </c>
      <c r="E652">
        <v>46130</v>
      </c>
      <c r="G652">
        <v>365</v>
      </c>
      <c r="H652" t="s">
        <v>63</v>
      </c>
      <c r="I652">
        <v>8170</v>
      </c>
      <c r="J652">
        <v>497739</v>
      </c>
      <c r="L652" t="s">
        <v>1023</v>
      </c>
      <c r="M652" t="s">
        <v>65</v>
      </c>
      <c r="N652" t="s">
        <v>66</v>
      </c>
      <c r="O652" s="2">
        <v>46130</v>
      </c>
      <c r="P652" s="1">
        <v>35</v>
      </c>
      <c r="Q652" t="s">
        <v>67</v>
      </c>
      <c r="R652">
        <v>1.01</v>
      </c>
      <c r="S652">
        <v>0.45</v>
      </c>
      <c r="T652">
        <v>0.08</v>
      </c>
      <c r="U652">
        <v>33.909999999999997</v>
      </c>
      <c r="V652" s="1">
        <v>0</v>
      </c>
      <c r="X652">
        <v>20260420</v>
      </c>
      <c r="Z652" t="s">
        <v>68</v>
      </c>
      <c r="AA652">
        <v>3974527</v>
      </c>
      <c r="AB652" t="s">
        <v>81</v>
      </c>
      <c r="AE652">
        <v>0.56114583333333334</v>
      </c>
      <c r="AF652" t="s">
        <v>70</v>
      </c>
    </row>
    <row r="653" spans="1:32">
      <c r="A653">
        <v>1023366</v>
      </c>
      <c r="B653" t="s">
        <v>75</v>
      </c>
      <c r="C653" t="s">
        <v>62</v>
      </c>
      <c r="D653">
        <v>46130</v>
      </c>
      <c r="E653">
        <v>46130</v>
      </c>
      <c r="G653">
        <v>365</v>
      </c>
      <c r="H653" t="s">
        <v>63</v>
      </c>
      <c r="I653">
        <v>8172</v>
      </c>
      <c r="J653">
        <v>525004</v>
      </c>
      <c r="L653" t="s">
        <v>1024</v>
      </c>
      <c r="M653" t="s">
        <v>65</v>
      </c>
      <c r="N653" t="s">
        <v>66</v>
      </c>
      <c r="O653" s="2">
        <v>46130</v>
      </c>
      <c r="P653" s="1">
        <v>69</v>
      </c>
      <c r="Q653" t="s">
        <v>67</v>
      </c>
      <c r="R653">
        <v>1.99</v>
      </c>
      <c r="S653">
        <v>0.89</v>
      </c>
      <c r="T653">
        <v>0.16</v>
      </c>
      <c r="U653">
        <v>66.849999999999994</v>
      </c>
      <c r="V653" s="1">
        <v>0</v>
      </c>
      <c r="X653">
        <v>20260420</v>
      </c>
      <c r="Z653" t="s">
        <v>68</v>
      </c>
      <c r="AA653">
        <v>3974527</v>
      </c>
      <c r="AB653" t="s">
        <v>77</v>
      </c>
      <c r="AE653">
        <v>0.57709490740740743</v>
      </c>
      <c r="AF653" t="s">
        <v>70</v>
      </c>
    </row>
    <row r="654" spans="1:32">
      <c r="A654">
        <v>1023366</v>
      </c>
      <c r="B654" t="s">
        <v>75</v>
      </c>
      <c r="C654" t="s">
        <v>62</v>
      </c>
      <c r="D654">
        <v>46130</v>
      </c>
      <c r="E654">
        <v>46130</v>
      </c>
      <c r="G654">
        <v>365</v>
      </c>
      <c r="H654" t="s">
        <v>63</v>
      </c>
      <c r="I654">
        <v>8177</v>
      </c>
      <c r="J654">
        <v>92329</v>
      </c>
      <c r="L654" t="s">
        <v>1025</v>
      </c>
      <c r="M654" t="s">
        <v>65</v>
      </c>
      <c r="N654" t="s">
        <v>66</v>
      </c>
      <c r="O654" s="2">
        <v>46130</v>
      </c>
      <c r="P654" s="1">
        <v>288</v>
      </c>
      <c r="Q654" t="s">
        <v>67</v>
      </c>
      <c r="R654">
        <v>8.32</v>
      </c>
      <c r="S654">
        <v>2.27</v>
      </c>
      <c r="T654">
        <v>0.41</v>
      </c>
      <c r="U654">
        <v>279.27</v>
      </c>
      <c r="V654" s="1">
        <v>0</v>
      </c>
      <c r="X654">
        <v>20260420</v>
      </c>
      <c r="Z654" t="s">
        <v>72</v>
      </c>
      <c r="AA654">
        <v>3974527</v>
      </c>
      <c r="AB654" t="s">
        <v>84</v>
      </c>
      <c r="AE654">
        <v>0.58788194444444442</v>
      </c>
      <c r="AF654" t="s">
        <v>70</v>
      </c>
    </row>
    <row r="655" spans="1:32">
      <c r="A655">
        <v>1023366</v>
      </c>
      <c r="B655" t="s">
        <v>75</v>
      </c>
      <c r="C655" t="s">
        <v>62</v>
      </c>
      <c r="D655">
        <v>46130</v>
      </c>
      <c r="E655">
        <v>46130</v>
      </c>
      <c r="G655">
        <v>365</v>
      </c>
      <c r="H655" t="s">
        <v>63</v>
      </c>
      <c r="I655">
        <v>8179</v>
      </c>
      <c r="J655">
        <v>217901</v>
      </c>
      <c r="L655" t="s">
        <v>1026</v>
      </c>
      <c r="M655" t="s">
        <v>65</v>
      </c>
      <c r="N655" t="s">
        <v>66</v>
      </c>
      <c r="O655" s="2">
        <v>46130</v>
      </c>
      <c r="P655" s="1">
        <v>35.799999999999997</v>
      </c>
      <c r="Q655" t="s">
        <v>67</v>
      </c>
      <c r="R655">
        <v>1.03</v>
      </c>
      <c r="S655">
        <v>0.46</v>
      </c>
      <c r="T655">
        <v>0.08</v>
      </c>
      <c r="U655">
        <v>34.69</v>
      </c>
      <c r="V655" s="1">
        <v>0</v>
      </c>
      <c r="X655">
        <v>20260420</v>
      </c>
      <c r="Z655" t="s">
        <v>68</v>
      </c>
      <c r="AA655">
        <v>3974527</v>
      </c>
      <c r="AB655" t="s">
        <v>79</v>
      </c>
      <c r="AE655">
        <v>0.59859953703703705</v>
      </c>
      <c r="AF655" t="s">
        <v>70</v>
      </c>
    </row>
    <row r="656" spans="1:32">
      <c r="A656">
        <v>1023366</v>
      </c>
      <c r="B656" t="s">
        <v>75</v>
      </c>
      <c r="C656" t="s">
        <v>62</v>
      </c>
      <c r="D656">
        <v>46130</v>
      </c>
      <c r="E656">
        <v>46130</v>
      </c>
      <c r="G656">
        <v>365</v>
      </c>
      <c r="H656" t="s">
        <v>63</v>
      </c>
      <c r="I656">
        <v>8181</v>
      </c>
      <c r="J656">
        <v>280562</v>
      </c>
      <c r="L656" t="s">
        <v>1027</v>
      </c>
      <c r="M656" t="s">
        <v>65</v>
      </c>
      <c r="N656" t="s">
        <v>66</v>
      </c>
      <c r="O656" s="2">
        <v>46130</v>
      </c>
      <c r="P656" s="1">
        <v>94</v>
      </c>
      <c r="Q656" t="s">
        <v>67</v>
      </c>
      <c r="R656">
        <v>2.72</v>
      </c>
      <c r="S656">
        <v>1.22</v>
      </c>
      <c r="T656">
        <v>0.22</v>
      </c>
      <c r="U656">
        <v>91.06</v>
      </c>
      <c r="V656" s="1">
        <v>0</v>
      </c>
      <c r="X656">
        <v>20260420</v>
      </c>
      <c r="Z656" t="s">
        <v>68</v>
      </c>
      <c r="AA656">
        <v>3974527</v>
      </c>
      <c r="AB656" t="s">
        <v>79</v>
      </c>
      <c r="AE656">
        <v>0.60221064814814818</v>
      </c>
      <c r="AF656" t="s">
        <v>70</v>
      </c>
    </row>
    <row r="657" spans="1:32">
      <c r="A657">
        <v>1023366</v>
      </c>
      <c r="B657" t="s">
        <v>75</v>
      </c>
      <c r="C657" t="s">
        <v>62</v>
      </c>
      <c r="D657">
        <v>46130</v>
      </c>
      <c r="E657">
        <v>46130</v>
      </c>
      <c r="G657">
        <v>365</v>
      </c>
      <c r="H657" t="s">
        <v>63</v>
      </c>
      <c r="I657">
        <v>8183</v>
      </c>
      <c r="J657">
        <v>986</v>
      </c>
      <c r="L657" t="s">
        <v>1028</v>
      </c>
      <c r="M657" t="s">
        <v>65</v>
      </c>
      <c r="N657" t="s">
        <v>66</v>
      </c>
      <c r="O657" s="2">
        <v>46130</v>
      </c>
      <c r="P657" s="1">
        <v>149</v>
      </c>
      <c r="Q657" t="s">
        <v>67</v>
      </c>
      <c r="R657">
        <v>4.3099999999999996</v>
      </c>
      <c r="S657">
        <v>0.88</v>
      </c>
      <c r="T657">
        <v>0.16</v>
      </c>
      <c r="U657">
        <v>144.53</v>
      </c>
      <c r="V657" s="1">
        <v>0</v>
      </c>
      <c r="X657">
        <v>20260420</v>
      </c>
      <c r="Z657" t="s">
        <v>72</v>
      </c>
      <c r="AA657">
        <v>3974527</v>
      </c>
      <c r="AB657" t="s">
        <v>79</v>
      </c>
      <c r="AE657">
        <v>0.60584490740740737</v>
      </c>
      <c r="AF657" t="s">
        <v>70</v>
      </c>
    </row>
    <row r="658" spans="1:32">
      <c r="A658">
        <v>1023366</v>
      </c>
      <c r="B658" t="s">
        <v>75</v>
      </c>
      <c r="C658" t="s">
        <v>62</v>
      </c>
      <c r="D658">
        <v>46130</v>
      </c>
      <c r="E658">
        <v>46130</v>
      </c>
      <c r="G658">
        <v>365</v>
      </c>
      <c r="H658">
        <v>65656565</v>
      </c>
      <c r="I658">
        <v>8185</v>
      </c>
      <c r="J658">
        <v>528002</v>
      </c>
      <c r="L658" t="s">
        <v>1029</v>
      </c>
      <c r="M658" t="s">
        <v>65</v>
      </c>
      <c r="N658" t="s">
        <v>66</v>
      </c>
      <c r="O658" s="2">
        <v>46130</v>
      </c>
      <c r="P658" s="1">
        <v>34.9</v>
      </c>
      <c r="Q658" t="s">
        <v>67</v>
      </c>
      <c r="R658">
        <v>1</v>
      </c>
      <c r="S658">
        <v>0.44</v>
      </c>
      <c r="T658">
        <v>0.08</v>
      </c>
      <c r="U658">
        <v>33.82</v>
      </c>
      <c r="V658" s="1">
        <v>0</v>
      </c>
      <c r="X658">
        <v>20260420</v>
      </c>
      <c r="Z658" t="s">
        <v>68</v>
      </c>
      <c r="AA658">
        <v>3974527</v>
      </c>
      <c r="AB658" t="s">
        <v>77</v>
      </c>
      <c r="AD658" t="s">
        <v>298</v>
      </c>
      <c r="AE658">
        <v>0.60946759259259264</v>
      </c>
      <c r="AF658" t="s">
        <v>70</v>
      </c>
    </row>
    <row r="659" spans="1:32">
      <c r="A659">
        <v>1023366</v>
      </c>
      <c r="B659" t="s">
        <v>75</v>
      </c>
      <c r="C659" t="s">
        <v>62</v>
      </c>
      <c r="D659">
        <v>46130</v>
      </c>
      <c r="E659">
        <v>46130</v>
      </c>
      <c r="G659">
        <v>365</v>
      </c>
      <c r="H659" t="s">
        <v>63</v>
      </c>
      <c r="I659">
        <v>8191</v>
      </c>
      <c r="J659">
        <v>8710</v>
      </c>
      <c r="L659" t="s">
        <v>1030</v>
      </c>
      <c r="M659" t="s">
        <v>65</v>
      </c>
      <c r="N659" t="s">
        <v>66</v>
      </c>
      <c r="O659" s="2">
        <v>46130</v>
      </c>
      <c r="P659" s="1">
        <v>124.9</v>
      </c>
      <c r="Q659" t="s">
        <v>67</v>
      </c>
      <c r="R659">
        <v>3.61</v>
      </c>
      <c r="S659">
        <v>0.99</v>
      </c>
      <c r="T659">
        <v>0.18</v>
      </c>
      <c r="U659">
        <v>121.11</v>
      </c>
      <c r="V659" s="1">
        <v>0</v>
      </c>
      <c r="X659">
        <v>20260420</v>
      </c>
      <c r="Z659" t="s">
        <v>72</v>
      </c>
      <c r="AA659">
        <v>3974527</v>
      </c>
      <c r="AB659" t="s">
        <v>883</v>
      </c>
      <c r="AE659">
        <v>0.63665509259259256</v>
      </c>
      <c r="AF659" t="s">
        <v>70</v>
      </c>
    </row>
    <row r="660" spans="1:32">
      <c r="A660">
        <v>1023366</v>
      </c>
      <c r="B660" t="s">
        <v>75</v>
      </c>
      <c r="C660" t="s">
        <v>62</v>
      </c>
      <c r="D660">
        <v>46130</v>
      </c>
      <c r="E660">
        <v>46130</v>
      </c>
      <c r="G660">
        <v>365</v>
      </c>
      <c r="H660" t="s">
        <v>63</v>
      </c>
      <c r="I660">
        <v>8193</v>
      </c>
      <c r="J660">
        <v>336729</v>
      </c>
      <c r="L660" t="s">
        <v>1031</v>
      </c>
      <c r="M660" t="s">
        <v>65</v>
      </c>
      <c r="N660" t="s">
        <v>66</v>
      </c>
      <c r="O660" s="2">
        <v>46130</v>
      </c>
      <c r="P660" s="1">
        <v>89</v>
      </c>
      <c r="Q660" t="s">
        <v>67</v>
      </c>
      <c r="R660">
        <v>2.57</v>
      </c>
      <c r="S660">
        <v>1.1499999999999999</v>
      </c>
      <c r="T660">
        <v>0.21</v>
      </c>
      <c r="U660">
        <v>86.22</v>
      </c>
      <c r="V660" s="1">
        <v>0</v>
      </c>
      <c r="X660">
        <v>20260420</v>
      </c>
      <c r="Z660" t="s">
        <v>68</v>
      </c>
      <c r="AA660">
        <v>3974527</v>
      </c>
      <c r="AB660" t="s">
        <v>79</v>
      </c>
      <c r="AE660">
        <v>0.64471064814814816</v>
      </c>
      <c r="AF660" t="s">
        <v>70</v>
      </c>
    </row>
    <row r="661" spans="1:32">
      <c r="A661">
        <v>1023366</v>
      </c>
      <c r="B661" t="s">
        <v>75</v>
      </c>
      <c r="C661" t="s">
        <v>62</v>
      </c>
      <c r="D661">
        <v>46130</v>
      </c>
      <c r="E661">
        <v>46130</v>
      </c>
      <c r="G661">
        <v>365</v>
      </c>
      <c r="H661" t="s">
        <v>63</v>
      </c>
      <c r="I661">
        <v>8200</v>
      </c>
      <c r="J661">
        <v>63341</v>
      </c>
      <c r="K661">
        <v>3</v>
      </c>
      <c r="L661" t="s">
        <v>1032</v>
      </c>
      <c r="M661" t="s">
        <v>65</v>
      </c>
      <c r="N661" t="s">
        <v>66</v>
      </c>
      <c r="O661" s="2">
        <v>46130</v>
      </c>
      <c r="P661" s="1">
        <v>3447</v>
      </c>
      <c r="Q661" t="s">
        <v>67</v>
      </c>
      <c r="R661">
        <v>159.94</v>
      </c>
      <c r="S661">
        <v>20.34</v>
      </c>
      <c r="T661">
        <v>3.66</v>
      </c>
      <c r="U661">
        <v>3283.4</v>
      </c>
      <c r="V661" s="1">
        <v>0</v>
      </c>
      <c r="X661">
        <v>20260420</v>
      </c>
      <c r="Z661" t="s">
        <v>72</v>
      </c>
      <c r="AA661">
        <v>3974527</v>
      </c>
      <c r="AB661" t="s">
        <v>93</v>
      </c>
      <c r="AC661" t="s">
        <v>120</v>
      </c>
      <c r="AE661">
        <v>0.66189814814814818</v>
      </c>
      <c r="AF661" t="s">
        <v>70</v>
      </c>
    </row>
    <row r="662" spans="1:32">
      <c r="A662">
        <v>1023366</v>
      </c>
      <c r="B662" t="s">
        <v>75</v>
      </c>
      <c r="C662" t="s">
        <v>62</v>
      </c>
      <c r="D662">
        <v>46130</v>
      </c>
      <c r="E662">
        <v>46130</v>
      </c>
      <c r="G662">
        <v>365</v>
      </c>
      <c r="H662" t="s">
        <v>63</v>
      </c>
      <c r="I662">
        <v>8204</v>
      </c>
      <c r="J662">
        <v>686635</v>
      </c>
      <c r="L662" t="s">
        <v>1033</v>
      </c>
      <c r="M662" t="s">
        <v>65</v>
      </c>
      <c r="N662" t="s">
        <v>66</v>
      </c>
      <c r="O662" s="2">
        <v>46130</v>
      </c>
      <c r="P662" s="1">
        <v>229</v>
      </c>
      <c r="Q662" t="s">
        <v>67</v>
      </c>
      <c r="R662">
        <v>6.62</v>
      </c>
      <c r="S662">
        <v>1.81</v>
      </c>
      <c r="T662">
        <v>0.33</v>
      </c>
      <c r="U662">
        <v>222.05</v>
      </c>
      <c r="V662" s="1">
        <v>0</v>
      </c>
      <c r="X662">
        <v>20260420</v>
      </c>
      <c r="Z662" t="s">
        <v>72</v>
      </c>
      <c r="AA662">
        <v>3974527</v>
      </c>
      <c r="AB662" t="s">
        <v>106</v>
      </c>
      <c r="AE662">
        <v>0.68040509259259263</v>
      </c>
      <c r="AF662" t="s">
        <v>70</v>
      </c>
    </row>
    <row r="663" spans="1:32">
      <c r="A663">
        <v>1023366</v>
      </c>
      <c r="B663" t="s">
        <v>75</v>
      </c>
      <c r="C663" t="s">
        <v>62</v>
      </c>
      <c r="D663">
        <v>46130</v>
      </c>
      <c r="E663">
        <v>46130</v>
      </c>
      <c r="G663">
        <v>365</v>
      </c>
      <c r="H663" t="s">
        <v>63</v>
      </c>
      <c r="I663">
        <v>8206</v>
      </c>
      <c r="J663">
        <v>105690</v>
      </c>
      <c r="L663" t="s">
        <v>1034</v>
      </c>
      <c r="M663" t="s">
        <v>65</v>
      </c>
      <c r="N663" t="s">
        <v>66</v>
      </c>
      <c r="O663" s="2">
        <v>46130</v>
      </c>
      <c r="P663" s="1">
        <v>269</v>
      </c>
      <c r="Q663" t="s">
        <v>67</v>
      </c>
      <c r="R663">
        <v>7.77</v>
      </c>
      <c r="S663">
        <v>3.47</v>
      </c>
      <c r="T663">
        <v>0.62</v>
      </c>
      <c r="U663">
        <v>260.61</v>
      </c>
      <c r="V663" s="1">
        <v>0</v>
      </c>
      <c r="X663">
        <v>20260420</v>
      </c>
      <c r="Z663" t="s">
        <v>68</v>
      </c>
      <c r="AA663">
        <v>3974527</v>
      </c>
      <c r="AB663" t="s">
        <v>122</v>
      </c>
      <c r="AE663">
        <v>0.69641203703703702</v>
      </c>
      <c r="AF663" t="s">
        <v>70</v>
      </c>
    </row>
    <row r="664" spans="1:32">
      <c r="A664">
        <v>1023366</v>
      </c>
      <c r="B664" t="s">
        <v>75</v>
      </c>
      <c r="C664" t="s">
        <v>62</v>
      </c>
      <c r="D664">
        <v>46130</v>
      </c>
      <c r="E664">
        <v>46130</v>
      </c>
      <c r="G664">
        <v>365</v>
      </c>
      <c r="H664" t="s">
        <v>63</v>
      </c>
      <c r="I664">
        <v>8209</v>
      </c>
      <c r="J664">
        <v>471195</v>
      </c>
      <c r="L664" t="s">
        <v>1035</v>
      </c>
      <c r="M664" t="s">
        <v>65</v>
      </c>
      <c r="N664" t="s">
        <v>66</v>
      </c>
      <c r="O664" s="2">
        <v>46130</v>
      </c>
      <c r="P664" s="1">
        <v>570</v>
      </c>
      <c r="Q664" t="s">
        <v>67</v>
      </c>
      <c r="R664">
        <v>16.47</v>
      </c>
      <c r="S664">
        <v>7.35</v>
      </c>
      <c r="T664">
        <v>1.32</v>
      </c>
      <c r="U664">
        <v>552.21</v>
      </c>
      <c r="V664" s="1">
        <v>0</v>
      </c>
      <c r="X664">
        <v>20260420</v>
      </c>
      <c r="Z664" t="s">
        <v>68</v>
      </c>
      <c r="AA664">
        <v>3974527</v>
      </c>
      <c r="AB664" t="s">
        <v>81</v>
      </c>
      <c r="AE664">
        <v>0.72932870370370373</v>
      </c>
      <c r="AF664" t="s">
        <v>70</v>
      </c>
    </row>
    <row r="665" spans="1:32">
      <c r="A665">
        <v>1023366</v>
      </c>
      <c r="B665" t="s">
        <v>75</v>
      </c>
      <c r="C665" t="s">
        <v>62</v>
      </c>
      <c r="D665">
        <v>46130</v>
      </c>
      <c r="E665">
        <v>46130</v>
      </c>
      <c r="G665">
        <v>365</v>
      </c>
      <c r="H665" t="s">
        <v>63</v>
      </c>
      <c r="I665">
        <v>8211</v>
      </c>
      <c r="J665">
        <v>423182</v>
      </c>
      <c r="L665" t="s">
        <v>1036</v>
      </c>
      <c r="M665" t="s">
        <v>65</v>
      </c>
      <c r="N665" t="s">
        <v>66</v>
      </c>
      <c r="O665" s="2">
        <v>46130</v>
      </c>
      <c r="P665" s="1">
        <v>69</v>
      </c>
      <c r="Q665" t="s">
        <v>67</v>
      </c>
      <c r="R665">
        <v>1.99</v>
      </c>
      <c r="S665">
        <v>0.89</v>
      </c>
      <c r="T665">
        <v>0.16</v>
      </c>
      <c r="U665">
        <v>66.849999999999994</v>
      </c>
      <c r="V665" s="1">
        <v>0</v>
      </c>
      <c r="X665">
        <v>20260420</v>
      </c>
      <c r="Z665" t="s">
        <v>68</v>
      </c>
      <c r="AA665">
        <v>3974527</v>
      </c>
      <c r="AB665" t="s">
        <v>93</v>
      </c>
      <c r="AE665">
        <v>0.73093750000000002</v>
      </c>
      <c r="AF665" t="s">
        <v>70</v>
      </c>
    </row>
    <row r="666" spans="1:32">
      <c r="A666">
        <v>1023366</v>
      </c>
      <c r="B666" t="s">
        <v>75</v>
      </c>
      <c r="C666" t="s">
        <v>62</v>
      </c>
      <c r="D666">
        <v>46130</v>
      </c>
      <c r="E666">
        <v>46130</v>
      </c>
      <c r="G666">
        <v>365</v>
      </c>
      <c r="H666" t="s">
        <v>63</v>
      </c>
      <c r="I666">
        <v>8216</v>
      </c>
      <c r="J666">
        <v>18052</v>
      </c>
      <c r="L666" t="s">
        <v>1037</v>
      </c>
      <c r="M666" t="s">
        <v>96</v>
      </c>
      <c r="N666" t="s">
        <v>66</v>
      </c>
      <c r="O666" s="2">
        <v>46130</v>
      </c>
      <c r="P666" s="1">
        <v>2117</v>
      </c>
      <c r="Q666" t="s">
        <v>67</v>
      </c>
      <c r="R666">
        <v>82.56</v>
      </c>
      <c r="S666">
        <v>43.4</v>
      </c>
      <c r="T666">
        <v>7.81</v>
      </c>
      <c r="U666">
        <v>2026.63</v>
      </c>
      <c r="V666" s="1">
        <v>0</v>
      </c>
      <c r="X666">
        <v>20260420</v>
      </c>
      <c r="Z666" t="s">
        <v>72</v>
      </c>
      <c r="AA666">
        <v>3974527</v>
      </c>
      <c r="AB666" t="s">
        <v>97</v>
      </c>
      <c r="AE666">
        <v>0.73819444444444449</v>
      </c>
      <c r="AF666" t="s">
        <v>70</v>
      </c>
    </row>
    <row r="667" spans="1:32">
      <c r="A667">
        <v>1023366</v>
      </c>
      <c r="B667" t="s">
        <v>75</v>
      </c>
      <c r="C667" t="s">
        <v>62</v>
      </c>
      <c r="D667">
        <v>46130</v>
      </c>
      <c r="E667">
        <v>46130</v>
      </c>
      <c r="G667">
        <v>365</v>
      </c>
      <c r="H667" t="s">
        <v>63</v>
      </c>
      <c r="I667">
        <v>8218</v>
      </c>
      <c r="J667">
        <v>563539</v>
      </c>
      <c r="L667" t="s">
        <v>1038</v>
      </c>
      <c r="M667" t="s">
        <v>65</v>
      </c>
      <c r="N667" t="s">
        <v>66</v>
      </c>
      <c r="O667" s="2">
        <v>46130</v>
      </c>
      <c r="P667" s="1">
        <v>428</v>
      </c>
      <c r="Q667" t="s">
        <v>67</v>
      </c>
      <c r="R667">
        <v>12.37</v>
      </c>
      <c r="S667">
        <v>1.67</v>
      </c>
      <c r="T667">
        <v>0.3</v>
      </c>
      <c r="U667">
        <v>415.33</v>
      </c>
      <c r="V667" s="1">
        <v>0</v>
      </c>
      <c r="X667">
        <v>20260420</v>
      </c>
      <c r="Z667" t="s">
        <v>72</v>
      </c>
      <c r="AA667">
        <v>3974527</v>
      </c>
      <c r="AB667" t="s">
        <v>93</v>
      </c>
      <c r="AE667">
        <v>0.75626157407407413</v>
      </c>
      <c r="AF667" t="s">
        <v>70</v>
      </c>
    </row>
    <row r="668" spans="1:32">
      <c r="A668">
        <v>1023366</v>
      </c>
      <c r="B668" t="s">
        <v>75</v>
      </c>
      <c r="C668" t="s">
        <v>62</v>
      </c>
      <c r="D668">
        <v>46130</v>
      </c>
      <c r="E668">
        <v>46130</v>
      </c>
      <c r="G668">
        <v>365</v>
      </c>
      <c r="H668" t="s">
        <v>63</v>
      </c>
      <c r="I668">
        <v>8220</v>
      </c>
      <c r="J668">
        <v>650212</v>
      </c>
      <c r="L668" t="s">
        <v>1039</v>
      </c>
      <c r="M668" t="s">
        <v>65</v>
      </c>
      <c r="N668" t="s">
        <v>66</v>
      </c>
      <c r="O668" s="2">
        <v>46130</v>
      </c>
      <c r="P668" s="1">
        <v>2899</v>
      </c>
      <c r="Q668" t="s">
        <v>67</v>
      </c>
      <c r="R668">
        <v>83.78</v>
      </c>
      <c r="S668">
        <v>37.4</v>
      </c>
      <c r="T668">
        <v>6.73</v>
      </c>
      <c r="U668">
        <v>2808.49</v>
      </c>
      <c r="V668" s="1">
        <v>0</v>
      </c>
      <c r="X668">
        <v>20260420</v>
      </c>
      <c r="Z668" t="s">
        <v>68</v>
      </c>
      <c r="AA668">
        <v>3974527</v>
      </c>
      <c r="AB668" t="s">
        <v>79</v>
      </c>
      <c r="AE668">
        <v>0.76431712962962961</v>
      </c>
      <c r="AF668" t="s">
        <v>70</v>
      </c>
    </row>
    <row r="669" spans="1:32">
      <c r="A669">
        <v>1023366</v>
      </c>
      <c r="B669" t="s">
        <v>75</v>
      </c>
      <c r="C669" t="s">
        <v>62</v>
      </c>
      <c r="D669">
        <v>46130</v>
      </c>
      <c r="E669">
        <v>46130</v>
      </c>
      <c r="G669">
        <v>365</v>
      </c>
      <c r="H669" t="s">
        <v>63</v>
      </c>
      <c r="I669">
        <v>8222</v>
      </c>
      <c r="J669">
        <v>126058</v>
      </c>
      <c r="L669" t="s">
        <v>1040</v>
      </c>
      <c r="M669" t="s">
        <v>65</v>
      </c>
      <c r="N669" t="s">
        <v>66</v>
      </c>
      <c r="O669" s="2">
        <v>46130</v>
      </c>
      <c r="P669" s="1">
        <v>130</v>
      </c>
      <c r="Q669" t="s">
        <v>67</v>
      </c>
      <c r="R669">
        <v>3.76</v>
      </c>
      <c r="S669">
        <v>1.68</v>
      </c>
      <c r="T669">
        <v>0.3</v>
      </c>
      <c r="U669">
        <v>125.94</v>
      </c>
      <c r="V669" s="1">
        <v>0</v>
      </c>
      <c r="X669">
        <v>20260420</v>
      </c>
      <c r="Z669" t="s">
        <v>68</v>
      </c>
      <c r="AA669">
        <v>3974527</v>
      </c>
      <c r="AB669" t="s">
        <v>122</v>
      </c>
      <c r="AE669">
        <v>0.76960648148148147</v>
      </c>
      <c r="AF669" t="s">
        <v>70</v>
      </c>
    </row>
    <row r="670" spans="1:32">
      <c r="A670">
        <v>1023366</v>
      </c>
      <c r="B670" t="s">
        <v>75</v>
      </c>
      <c r="C670" t="s">
        <v>62</v>
      </c>
      <c r="D670">
        <v>46130</v>
      </c>
      <c r="E670">
        <v>46130</v>
      </c>
      <c r="G670">
        <v>365</v>
      </c>
      <c r="H670" t="s">
        <v>63</v>
      </c>
      <c r="I670">
        <v>8226</v>
      </c>
      <c r="J670">
        <v>354887</v>
      </c>
      <c r="L670" t="s">
        <v>1041</v>
      </c>
      <c r="M670" t="s">
        <v>65</v>
      </c>
      <c r="N670" t="s">
        <v>66</v>
      </c>
      <c r="O670" s="2">
        <v>46130</v>
      </c>
      <c r="P670" s="1">
        <v>269</v>
      </c>
      <c r="Q670" t="s">
        <v>67</v>
      </c>
      <c r="R670">
        <v>7.77</v>
      </c>
      <c r="S670">
        <v>1.04</v>
      </c>
      <c r="T670">
        <v>0.19</v>
      </c>
      <c r="U670">
        <v>261.04000000000002</v>
      </c>
      <c r="V670" s="1">
        <v>0</v>
      </c>
      <c r="X670">
        <v>20260420</v>
      </c>
      <c r="Z670" t="s">
        <v>72</v>
      </c>
      <c r="AA670">
        <v>3974527</v>
      </c>
      <c r="AB670" t="s">
        <v>77</v>
      </c>
      <c r="AE670">
        <v>0.77476851851851847</v>
      </c>
      <c r="AF670" t="s">
        <v>70</v>
      </c>
    </row>
    <row r="671" spans="1:32">
      <c r="A671">
        <v>1023366</v>
      </c>
      <c r="B671" t="s">
        <v>75</v>
      </c>
      <c r="C671" t="s">
        <v>62</v>
      </c>
      <c r="D671">
        <v>46130</v>
      </c>
      <c r="E671">
        <v>46130</v>
      </c>
      <c r="G671">
        <v>365</v>
      </c>
      <c r="H671">
        <v>65656565</v>
      </c>
      <c r="I671">
        <v>8232</v>
      </c>
      <c r="J671">
        <v>698578</v>
      </c>
      <c r="L671" t="s">
        <v>1042</v>
      </c>
      <c r="M671" t="s">
        <v>65</v>
      </c>
      <c r="N671" t="s">
        <v>66</v>
      </c>
      <c r="O671" s="2">
        <v>46130</v>
      </c>
      <c r="P671" s="1">
        <v>49</v>
      </c>
      <c r="Q671" t="s">
        <v>67</v>
      </c>
      <c r="R671">
        <v>1.41</v>
      </c>
      <c r="S671">
        <v>0.63</v>
      </c>
      <c r="T671">
        <v>0.11</v>
      </c>
      <c r="U671">
        <v>47.48</v>
      </c>
      <c r="V671" s="1">
        <v>0</v>
      </c>
      <c r="X671">
        <v>20260420</v>
      </c>
      <c r="Z671" t="s">
        <v>68</v>
      </c>
      <c r="AA671">
        <v>3974527</v>
      </c>
      <c r="AB671" t="s">
        <v>79</v>
      </c>
      <c r="AD671" t="s">
        <v>88</v>
      </c>
      <c r="AE671">
        <v>0.78104166666666663</v>
      </c>
      <c r="AF671" t="s">
        <v>70</v>
      </c>
    </row>
    <row r="672" spans="1:32">
      <c r="A672">
        <v>1023366</v>
      </c>
      <c r="B672" t="s">
        <v>75</v>
      </c>
      <c r="C672" t="s">
        <v>62</v>
      </c>
      <c r="D672">
        <v>46130</v>
      </c>
      <c r="E672">
        <v>46130</v>
      </c>
      <c r="G672">
        <v>365</v>
      </c>
      <c r="H672" t="s">
        <v>63</v>
      </c>
      <c r="I672">
        <v>8240</v>
      </c>
      <c r="J672">
        <v>780300</v>
      </c>
      <c r="L672" t="s">
        <v>1043</v>
      </c>
      <c r="M672" t="s">
        <v>65</v>
      </c>
      <c r="N672" t="s">
        <v>66</v>
      </c>
      <c r="O672" s="2">
        <v>46130</v>
      </c>
      <c r="P672" s="1">
        <v>269</v>
      </c>
      <c r="Q672" t="s">
        <v>67</v>
      </c>
      <c r="R672">
        <v>7.77</v>
      </c>
      <c r="S672">
        <v>1.58</v>
      </c>
      <c r="T672">
        <v>0.28000000000000003</v>
      </c>
      <c r="U672">
        <v>260.95</v>
      </c>
      <c r="V672" s="1">
        <v>0</v>
      </c>
      <c r="X672">
        <v>20260420</v>
      </c>
      <c r="Z672" t="s">
        <v>72</v>
      </c>
      <c r="AA672">
        <v>3974527</v>
      </c>
      <c r="AB672" t="s">
        <v>106</v>
      </c>
      <c r="AE672">
        <v>0.85457175925925921</v>
      </c>
      <c r="AF672" t="s">
        <v>70</v>
      </c>
    </row>
    <row r="673" spans="1:32">
      <c r="A673">
        <v>1023366</v>
      </c>
      <c r="B673" t="s">
        <v>75</v>
      </c>
      <c r="C673" t="s">
        <v>62</v>
      </c>
      <c r="D673">
        <v>46130</v>
      </c>
      <c r="E673">
        <v>46130</v>
      </c>
      <c r="G673">
        <v>365</v>
      </c>
      <c r="H673" t="s">
        <v>63</v>
      </c>
      <c r="I673">
        <v>8244</v>
      </c>
      <c r="J673">
        <v>4513</v>
      </c>
      <c r="L673" t="s">
        <v>1044</v>
      </c>
      <c r="M673" t="s">
        <v>65</v>
      </c>
      <c r="N673" t="s">
        <v>66</v>
      </c>
      <c r="O673" s="2">
        <v>46130</v>
      </c>
      <c r="P673" s="1">
        <v>1899</v>
      </c>
      <c r="Q673" t="s">
        <v>67</v>
      </c>
      <c r="R673">
        <v>54.88</v>
      </c>
      <c r="S673">
        <v>7.4</v>
      </c>
      <c r="T673">
        <v>1.33</v>
      </c>
      <c r="U673">
        <v>1842.79</v>
      </c>
      <c r="V673" s="1">
        <v>0</v>
      </c>
      <c r="X673">
        <v>20260420</v>
      </c>
      <c r="Z673" t="s">
        <v>72</v>
      </c>
      <c r="AA673">
        <v>3974527</v>
      </c>
      <c r="AB673" t="s">
        <v>79</v>
      </c>
      <c r="AE673">
        <v>0.87048611111111107</v>
      </c>
      <c r="AF673" t="s">
        <v>70</v>
      </c>
    </row>
    <row r="674" spans="1:32">
      <c r="A674">
        <v>1023366</v>
      </c>
      <c r="B674" t="s">
        <v>75</v>
      </c>
      <c r="C674" t="s">
        <v>62</v>
      </c>
      <c r="D674">
        <v>46130</v>
      </c>
      <c r="E674">
        <v>46130</v>
      </c>
      <c r="G674">
        <v>365</v>
      </c>
      <c r="H674" t="s">
        <v>63</v>
      </c>
      <c r="I674">
        <v>8246</v>
      </c>
      <c r="J674">
        <v>7753</v>
      </c>
      <c r="L674" t="s">
        <v>1044</v>
      </c>
      <c r="M674" t="s">
        <v>65</v>
      </c>
      <c r="N674" t="s">
        <v>66</v>
      </c>
      <c r="O674" s="2">
        <v>46130</v>
      </c>
      <c r="P674" s="1">
        <v>79</v>
      </c>
      <c r="Q674" t="s">
        <v>67</v>
      </c>
      <c r="R674">
        <v>2.2799999999999998</v>
      </c>
      <c r="S674">
        <v>0.3</v>
      </c>
      <c r="T674">
        <v>0.05</v>
      </c>
      <c r="U674">
        <v>76.67</v>
      </c>
      <c r="V674" s="1">
        <v>0</v>
      </c>
      <c r="X674">
        <v>20260420</v>
      </c>
      <c r="Z674" t="s">
        <v>72</v>
      </c>
      <c r="AA674">
        <v>3974527</v>
      </c>
      <c r="AB674" t="s">
        <v>79</v>
      </c>
      <c r="AE674">
        <v>0.87390046296296298</v>
      </c>
      <c r="AF674" t="s">
        <v>70</v>
      </c>
    </row>
    <row r="675" spans="1:32">
      <c r="A675">
        <v>1023366</v>
      </c>
      <c r="B675" t="s">
        <v>75</v>
      </c>
      <c r="C675" t="s">
        <v>62</v>
      </c>
      <c r="D675">
        <v>46130</v>
      </c>
      <c r="E675">
        <v>46130</v>
      </c>
      <c r="G675">
        <v>365</v>
      </c>
      <c r="H675">
        <v>65656565</v>
      </c>
      <c r="I675">
        <v>8248</v>
      </c>
      <c r="J675">
        <v>296670</v>
      </c>
      <c r="L675" t="s">
        <v>1045</v>
      </c>
      <c r="M675" t="s">
        <v>65</v>
      </c>
      <c r="N675" t="s">
        <v>66</v>
      </c>
      <c r="O675" s="2">
        <v>46130</v>
      </c>
      <c r="P675" s="1">
        <v>54.5</v>
      </c>
      <c r="Q675" t="s">
        <v>67</v>
      </c>
      <c r="R675">
        <v>1.57</v>
      </c>
      <c r="S675">
        <v>0.7</v>
      </c>
      <c r="T675">
        <v>0.13</v>
      </c>
      <c r="U675">
        <v>52.8</v>
      </c>
      <c r="V675" s="1">
        <v>15589.32</v>
      </c>
      <c r="W675">
        <v>46132</v>
      </c>
      <c r="X675">
        <v>20260420</v>
      </c>
      <c r="Z675" t="s">
        <v>68</v>
      </c>
      <c r="AA675">
        <v>3974527</v>
      </c>
      <c r="AB675" t="s">
        <v>93</v>
      </c>
      <c r="AD675" t="s">
        <v>155</v>
      </c>
      <c r="AE675">
        <v>0.88667824074074075</v>
      </c>
      <c r="AF675" t="s">
        <v>70</v>
      </c>
    </row>
    <row r="676" spans="1:32">
      <c r="A676">
        <v>1023366</v>
      </c>
      <c r="B676" t="s">
        <v>201</v>
      </c>
      <c r="C676" t="s">
        <v>62</v>
      </c>
      <c r="D676">
        <v>46130</v>
      </c>
      <c r="E676">
        <v>46130</v>
      </c>
      <c r="G676">
        <v>365</v>
      </c>
      <c r="H676" t="s">
        <v>63</v>
      </c>
      <c r="I676">
        <v>8213</v>
      </c>
      <c r="J676">
        <v>75391</v>
      </c>
      <c r="L676" t="s">
        <v>1046</v>
      </c>
      <c r="M676" t="s">
        <v>65</v>
      </c>
      <c r="N676" t="s">
        <v>66</v>
      </c>
      <c r="O676" s="2">
        <v>46130</v>
      </c>
      <c r="P676" s="1">
        <v>52.9</v>
      </c>
      <c r="Q676" t="s">
        <v>67</v>
      </c>
      <c r="R676">
        <v>1.53</v>
      </c>
      <c r="S676">
        <v>0.42</v>
      </c>
      <c r="T676">
        <v>0.08</v>
      </c>
      <c r="U676">
        <v>51.29</v>
      </c>
      <c r="V676" s="1">
        <v>51.29</v>
      </c>
      <c r="W676">
        <v>46132</v>
      </c>
      <c r="X676">
        <v>20260420</v>
      </c>
      <c r="Z676" t="s">
        <v>72</v>
      </c>
      <c r="AA676">
        <v>3974527</v>
      </c>
      <c r="AB676" t="s">
        <v>203</v>
      </c>
      <c r="AE676">
        <v>0.73208333333333331</v>
      </c>
      <c r="AF676" t="s">
        <v>70</v>
      </c>
    </row>
    <row r="677" spans="1:32">
      <c r="A677">
        <v>1023366</v>
      </c>
      <c r="B677" t="s">
        <v>61</v>
      </c>
      <c r="C677" t="s">
        <v>62</v>
      </c>
      <c r="D677">
        <v>46131</v>
      </c>
      <c r="E677">
        <v>46131</v>
      </c>
      <c r="G677">
        <v>366</v>
      </c>
      <c r="H677" t="s">
        <v>63</v>
      </c>
      <c r="I677">
        <v>8269</v>
      </c>
      <c r="J677" t="s">
        <v>1047</v>
      </c>
      <c r="L677" t="s">
        <v>1048</v>
      </c>
      <c r="M677" t="s">
        <v>96</v>
      </c>
      <c r="N677" t="s">
        <v>66</v>
      </c>
      <c r="O677" s="2">
        <v>46131</v>
      </c>
      <c r="P677" s="1">
        <v>139</v>
      </c>
      <c r="Q677" t="s">
        <v>67</v>
      </c>
      <c r="R677">
        <v>5.42</v>
      </c>
      <c r="S677">
        <v>2.64</v>
      </c>
      <c r="T677">
        <v>0.48</v>
      </c>
      <c r="U677">
        <v>133.1</v>
      </c>
      <c r="V677" s="1">
        <v>0</v>
      </c>
      <c r="X677">
        <v>20260420</v>
      </c>
      <c r="Z677" t="s">
        <v>72</v>
      </c>
      <c r="AA677">
        <v>3974527</v>
      </c>
      <c r="AB677" t="s">
        <v>234</v>
      </c>
      <c r="AE677">
        <v>0.48814814814814816</v>
      </c>
      <c r="AF677" t="s">
        <v>70</v>
      </c>
    </row>
    <row r="678" spans="1:32">
      <c r="A678">
        <v>1023366</v>
      </c>
      <c r="B678" t="s">
        <v>61</v>
      </c>
      <c r="C678" t="s">
        <v>62</v>
      </c>
      <c r="D678">
        <v>46131</v>
      </c>
      <c r="E678">
        <v>46131</v>
      </c>
      <c r="G678">
        <v>366</v>
      </c>
      <c r="H678" t="s">
        <v>63</v>
      </c>
      <c r="I678">
        <v>8272</v>
      </c>
      <c r="J678" t="s">
        <v>1049</v>
      </c>
      <c r="L678" t="s">
        <v>1050</v>
      </c>
      <c r="M678" t="s">
        <v>96</v>
      </c>
      <c r="N678" t="s">
        <v>66</v>
      </c>
      <c r="O678" s="2">
        <v>46131</v>
      </c>
      <c r="P678" s="1">
        <v>149</v>
      </c>
      <c r="Q678" t="s">
        <v>67</v>
      </c>
      <c r="R678">
        <v>5.81</v>
      </c>
      <c r="S678">
        <v>2.86</v>
      </c>
      <c r="T678">
        <v>0.51</v>
      </c>
      <c r="U678">
        <v>142.68</v>
      </c>
      <c r="V678" s="1">
        <v>0</v>
      </c>
      <c r="X678">
        <v>20260420</v>
      </c>
      <c r="Z678" t="s">
        <v>68</v>
      </c>
      <c r="AA678">
        <v>3974527</v>
      </c>
      <c r="AB678" t="s">
        <v>234</v>
      </c>
      <c r="AE678">
        <v>0.49876157407407407</v>
      </c>
      <c r="AF678" t="s">
        <v>70</v>
      </c>
    </row>
    <row r="679" spans="1:32">
      <c r="A679">
        <v>1023366</v>
      </c>
      <c r="B679" t="s">
        <v>61</v>
      </c>
      <c r="C679" t="s">
        <v>62</v>
      </c>
      <c r="D679">
        <v>46131</v>
      </c>
      <c r="E679">
        <v>46131</v>
      </c>
      <c r="G679">
        <v>366</v>
      </c>
      <c r="H679" t="s">
        <v>63</v>
      </c>
      <c r="I679">
        <v>8305</v>
      </c>
      <c r="J679" t="s">
        <v>1051</v>
      </c>
      <c r="L679" t="s">
        <v>1052</v>
      </c>
      <c r="M679" t="s">
        <v>96</v>
      </c>
      <c r="N679" t="s">
        <v>66</v>
      </c>
      <c r="O679" s="2">
        <v>46131</v>
      </c>
      <c r="P679" s="1">
        <v>34.9</v>
      </c>
      <c r="Q679" t="s">
        <v>67</v>
      </c>
      <c r="R679">
        <v>1.36</v>
      </c>
      <c r="S679">
        <v>0.67</v>
      </c>
      <c r="T679">
        <v>0.12</v>
      </c>
      <c r="U679">
        <v>33.42</v>
      </c>
      <c r="V679" s="1">
        <v>0</v>
      </c>
      <c r="X679">
        <v>20260420</v>
      </c>
      <c r="Z679" t="s">
        <v>68</v>
      </c>
      <c r="AA679">
        <v>3974527</v>
      </c>
      <c r="AB679" t="s">
        <v>234</v>
      </c>
      <c r="AE679">
        <v>0.67049768518518515</v>
      </c>
      <c r="AF679" t="s">
        <v>70</v>
      </c>
    </row>
    <row r="680" spans="1:32">
      <c r="A680">
        <v>1023366</v>
      </c>
      <c r="B680" t="s">
        <v>61</v>
      </c>
      <c r="C680" t="s">
        <v>62</v>
      </c>
      <c r="D680">
        <v>46131</v>
      </c>
      <c r="E680">
        <v>46131</v>
      </c>
      <c r="G680">
        <v>366</v>
      </c>
      <c r="H680" t="s">
        <v>63</v>
      </c>
      <c r="I680">
        <v>8327</v>
      </c>
      <c r="J680">
        <v>94040</v>
      </c>
      <c r="L680" t="s">
        <v>1053</v>
      </c>
      <c r="M680" t="s">
        <v>65</v>
      </c>
      <c r="N680" t="s">
        <v>66</v>
      </c>
      <c r="O680" s="2">
        <v>46131</v>
      </c>
      <c r="P680" s="1">
        <v>1598</v>
      </c>
      <c r="Q680" t="s">
        <v>67</v>
      </c>
      <c r="R680">
        <v>46.18</v>
      </c>
      <c r="S680">
        <v>18.21</v>
      </c>
      <c r="T680">
        <v>3.28</v>
      </c>
      <c r="U680">
        <v>1548.54</v>
      </c>
      <c r="V680" s="1">
        <v>0</v>
      </c>
      <c r="X680">
        <v>20260420</v>
      </c>
      <c r="Z680" t="s">
        <v>68</v>
      </c>
      <c r="AA680">
        <v>3974527</v>
      </c>
      <c r="AB680" t="s">
        <v>69</v>
      </c>
      <c r="AE680">
        <v>0.71766203703703701</v>
      </c>
      <c r="AF680" t="s">
        <v>70</v>
      </c>
    </row>
    <row r="681" spans="1:32">
      <c r="A681">
        <v>1023366</v>
      </c>
      <c r="B681" t="s">
        <v>61</v>
      </c>
      <c r="C681" t="s">
        <v>62</v>
      </c>
      <c r="D681">
        <v>46131</v>
      </c>
      <c r="E681">
        <v>46131</v>
      </c>
      <c r="G681">
        <v>366</v>
      </c>
      <c r="H681" t="s">
        <v>63</v>
      </c>
      <c r="I681">
        <v>8355</v>
      </c>
      <c r="J681" t="s">
        <v>1054</v>
      </c>
      <c r="K681">
        <v>12</v>
      </c>
      <c r="L681" t="s">
        <v>1055</v>
      </c>
      <c r="M681" t="s">
        <v>65</v>
      </c>
      <c r="N681" t="s">
        <v>66</v>
      </c>
      <c r="O681" s="2">
        <v>46131</v>
      </c>
      <c r="P681" s="1">
        <v>1968</v>
      </c>
      <c r="Q681" t="s">
        <v>67</v>
      </c>
      <c r="R681">
        <v>56.88</v>
      </c>
      <c r="S681">
        <v>11.62</v>
      </c>
      <c r="T681">
        <v>2.09</v>
      </c>
      <c r="U681">
        <v>1909.03</v>
      </c>
      <c r="V681" s="1">
        <v>3766.77</v>
      </c>
      <c r="W681">
        <v>46132</v>
      </c>
      <c r="X681">
        <v>20260420</v>
      </c>
      <c r="Z681" t="s">
        <v>72</v>
      </c>
      <c r="AA681">
        <v>3974527</v>
      </c>
      <c r="AB681" t="s">
        <v>139</v>
      </c>
      <c r="AC681" t="s">
        <v>74</v>
      </c>
      <c r="AE681">
        <v>0.80899305555555556</v>
      </c>
      <c r="AF681" t="s">
        <v>70</v>
      </c>
    </row>
    <row r="682" spans="1:32">
      <c r="A682">
        <v>1023366</v>
      </c>
      <c r="B682" t="s">
        <v>75</v>
      </c>
      <c r="C682" t="s">
        <v>62</v>
      </c>
      <c r="D682">
        <v>46131</v>
      </c>
      <c r="E682">
        <v>46131</v>
      </c>
      <c r="G682">
        <v>666</v>
      </c>
      <c r="H682" t="s">
        <v>720</v>
      </c>
      <c r="I682">
        <v>9195</v>
      </c>
      <c r="J682" t="s">
        <v>1056</v>
      </c>
      <c r="L682" t="s">
        <v>1057</v>
      </c>
      <c r="M682" t="s">
        <v>96</v>
      </c>
      <c r="N682" t="s">
        <v>66</v>
      </c>
      <c r="O682" s="2">
        <v>46131</v>
      </c>
      <c r="P682" s="1">
        <v>148</v>
      </c>
      <c r="Q682" t="s">
        <v>67</v>
      </c>
      <c r="R682">
        <v>5.77</v>
      </c>
      <c r="S682">
        <v>2.84</v>
      </c>
      <c r="T682">
        <v>0.51</v>
      </c>
      <c r="U682">
        <v>141.72</v>
      </c>
      <c r="V682" s="1">
        <v>0</v>
      </c>
      <c r="X682">
        <v>20260420</v>
      </c>
      <c r="Z682" t="s">
        <v>72</v>
      </c>
      <c r="AA682" t="s">
        <v>350</v>
      </c>
      <c r="AB682" t="s">
        <v>97</v>
      </c>
      <c r="AE682">
        <v>0.83020833333333333</v>
      </c>
      <c r="AF682" t="s">
        <v>70</v>
      </c>
    </row>
    <row r="683" spans="1:32">
      <c r="A683">
        <v>1023366</v>
      </c>
      <c r="B683" t="s">
        <v>75</v>
      </c>
      <c r="C683" t="s">
        <v>62</v>
      </c>
      <c r="D683">
        <v>46131</v>
      </c>
      <c r="E683">
        <v>46131</v>
      </c>
      <c r="G683">
        <v>366</v>
      </c>
      <c r="H683" t="s">
        <v>63</v>
      </c>
      <c r="I683">
        <v>8266</v>
      </c>
      <c r="J683">
        <v>241457</v>
      </c>
      <c r="L683" t="s">
        <v>1058</v>
      </c>
      <c r="M683" t="s">
        <v>65</v>
      </c>
      <c r="N683" t="s">
        <v>66</v>
      </c>
      <c r="O683" s="2">
        <v>46131</v>
      </c>
      <c r="P683" s="1">
        <v>99</v>
      </c>
      <c r="Q683" t="s">
        <v>67</v>
      </c>
      <c r="R683">
        <v>2.86</v>
      </c>
      <c r="S683">
        <v>1.28</v>
      </c>
      <c r="T683">
        <v>0.23</v>
      </c>
      <c r="U683">
        <v>95.91</v>
      </c>
      <c r="V683" s="1">
        <v>0</v>
      </c>
      <c r="X683">
        <v>20260420</v>
      </c>
      <c r="Z683" t="s">
        <v>68</v>
      </c>
      <c r="AA683">
        <v>3974527</v>
      </c>
      <c r="AB683" t="s">
        <v>81</v>
      </c>
      <c r="AE683">
        <v>0.48131944444444447</v>
      </c>
      <c r="AF683" t="s">
        <v>70</v>
      </c>
    </row>
    <row r="684" spans="1:32">
      <c r="A684">
        <v>1023366</v>
      </c>
      <c r="B684" t="s">
        <v>75</v>
      </c>
      <c r="C684" t="s">
        <v>62</v>
      </c>
      <c r="D684">
        <v>46131</v>
      </c>
      <c r="E684">
        <v>46131</v>
      </c>
      <c r="G684">
        <v>366</v>
      </c>
      <c r="H684" t="s">
        <v>63</v>
      </c>
      <c r="I684">
        <v>8276</v>
      </c>
      <c r="J684">
        <v>516468</v>
      </c>
      <c r="L684" t="s">
        <v>1059</v>
      </c>
      <c r="M684" t="s">
        <v>65</v>
      </c>
      <c r="N684" t="s">
        <v>66</v>
      </c>
      <c r="O684" s="2">
        <v>46131</v>
      </c>
      <c r="P684" s="1">
        <v>199</v>
      </c>
      <c r="Q684" t="s">
        <v>67</v>
      </c>
      <c r="R684">
        <v>5.75</v>
      </c>
      <c r="S684">
        <v>2.57</v>
      </c>
      <c r="T684">
        <v>0.46</v>
      </c>
      <c r="U684">
        <v>192.79</v>
      </c>
      <c r="V684" s="1">
        <v>0</v>
      </c>
      <c r="X684">
        <v>20260420</v>
      </c>
      <c r="Z684" t="s">
        <v>68</v>
      </c>
      <c r="AA684">
        <v>3974527</v>
      </c>
      <c r="AB684" t="s">
        <v>79</v>
      </c>
      <c r="AE684">
        <v>0.54229166666666662</v>
      </c>
      <c r="AF684" t="s">
        <v>70</v>
      </c>
    </row>
    <row r="685" spans="1:32">
      <c r="A685">
        <v>1023366</v>
      </c>
      <c r="B685" t="s">
        <v>75</v>
      </c>
      <c r="C685" t="s">
        <v>62</v>
      </c>
      <c r="D685">
        <v>46131</v>
      </c>
      <c r="E685">
        <v>46131</v>
      </c>
      <c r="G685">
        <v>366</v>
      </c>
      <c r="H685" t="s">
        <v>63</v>
      </c>
      <c r="I685">
        <v>8278</v>
      </c>
      <c r="J685">
        <v>3958</v>
      </c>
      <c r="L685" t="s">
        <v>1060</v>
      </c>
      <c r="M685" t="s">
        <v>65</v>
      </c>
      <c r="N685" t="s">
        <v>66</v>
      </c>
      <c r="O685" s="2">
        <v>46131</v>
      </c>
      <c r="P685" s="1">
        <v>1899</v>
      </c>
      <c r="Q685" t="s">
        <v>67</v>
      </c>
      <c r="R685">
        <v>54.88</v>
      </c>
      <c r="S685">
        <v>15</v>
      </c>
      <c r="T685">
        <v>2.7</v>
      </c>
      <c r="U685">
        <v>1841.42</v>
      </c>
      <c r="V685" s="1">
        <v>0</v>
      </c>
      <c r="X685">
        <v>20260420</v>
      </c>
      <c r="Z685" t="s">
        <v>72</v>
      </c>
      <c r="AA685">
        <v>3974527</v>
      </c>
      <c r="AB685" t="s">
        <v>79</v>
      </c>
      <c r="AE685">
        <v>0.54527777777777775</v>
      </c>
      <c r="AF685" t="s">
        <v>70</v>
      </c>
    </row>
    <row r="686" spans="1:32">
      <c r="A686">
        <v>1023366</v>
      </c>
      <c r="B686" t="s">
        <v>75</v>
      </c>
      <c r="C686" t="s">
        <v>62</v>
      </c>
      <c r="D686">
        <v>46131</v>
      </c>
      <c r="E686">
        <v>46131</v>
      </c>
      <c r="G686">
        <v>366</v>
      </c>
      <c r="H686" t="s">
        <v>63</v>
      </c>
      <c r="I686">
        <v>8280</v>
      </c>
      <c r="J686">
        <v>6322</v>
      </c>
      <c r="L686" t="s">
        <v>1060</v>
      </c>
      <c r="M686" t="s">
        <v>65</v>
      </c>
      <c r="N686" t="s">
        <v>66</v>
      </c>
      <c r="O686" s="2">
        <v>46131</v>
      </c>
      <c r="P686" s="1">
        <v>55</v>
      </c>
      <c r="Q686" t="s">
        <v>67</v>
      </c>
      <c r="R686">
        <v>1.59</v>
      </c>
      <c r="S686">
        <v>0.43</v>
      </c>
      <c r="T686">
        <v>0.08</v>
      </c>
      <c r="U686">
        <v>53.33</v>
      </c>
      <c r="V686" s="1">
        <v>0</v>
      </c>
      <c r="X686">
        <v>20260420</v>
      </c>
      <c r="Z686" t="s">
        <v>72</v>
      </c>
      <c r="AA686">
        <v>3974527</v>
      </c>
      <c r="AB686" t="s">
        <v>79</v>
      </c>
      <c r="AE686">
        <v>0.54780092592592589</v>
      </c>
      <c r="AF686" t="s">
        <v>70</v>
      </c>
    </row>
    <row r="687" spans="1:32">
      <c r="A687">
        <v>1023366</v>
      </c>
      <c r="B687" t="s">
        <v>75</v>
      </c>
      <c r="C687" t="s">
        <v>62</v>
      </c>
      <c r="D687">
        <v>46131</v>
      </c>
      <c r="E687">
        <v>46131</v>
      </c>
      <c r="G687">
        <v>366</v>
      </c>
      <c r="H687" t="s">
        <v>63</v>
      </c>
      <c r="I687">
        <v>8282</v>
      </c>
      <c r="J687">
        <v>858909</v>
      </c>
      <c r="L687" t="s">
        <v>1061</v>
      </c>
      <c r="M687" t="s">
        <v>65</v>
      </c>
      <c r="N687" t="s">
        <v>66</v>
      </c>
      <c r="O687" s="2">
        <v>46131</v>
      </c>
      <c r="P687" s="1">
        <v>849</v>
      </c>
      <c r="Q687" t="s">
        <v>67</v>
      </c>
      <c r="R687">
        <v>24.54</v>
      </c>
      <c r="S687">
        <v>6.71</v>
      </c>
      <c r="T687">
        <v>1.21</v>
      </c>
      <c r="U687">
        <v>823.25</v>
      </c>
      <c r="V687" s="1">
        <v>0</v>
      </c>
      <c r="X687">
        <v>20260420</v>
      </c>
      <c r="Z687" t="s">
        <v>68</v>
      </c>
      <c r="AA687">
        <v>3974527</v>
      </c>
      <c r="AB687" t="s">
        <v>77</v>
      </c>
      <c r="AE687">
        <v>0.55008101851851854</v>
      </c>
      <c r="AF687" t="s">
        <v>70</v>
      </c>
    </row>
    <row r="688" spans="1:32">
      <c r="A688">
        <v>1023366</v>
      </c>
      <c r="B688" t="s">
        <v>75</v>
      </c>
      <c r="C688" t="s">
        <v>62</v>
      </c>
      <c r="D688">
        <v>46131</v>
      </c>
      <c r="E688">
        <v>46131</v>
      </c>
      <c r="G688">
        <v>366</v>
      </c>
      <c r="H688" t="s">
        <v>63</v>
      </c>
      <c r="I688">
        <v>8286</v>
      </c>
      <c r="J688">
        <v>4106</v>
      </c>
      <c r="L688" t="s">
        <v>1062</v>
      </c>
      <c r="M688" t="s">
        <v>65</v>
      </c>
      <c r="N688" t="s">
        <v>66</v>
      </c>
      <c r="O688" s="2">
        <v>46131</v>
      </c>
      <c r="P688" s="1">
        <v>99.9</v>
      </c>
      <c r="Q688" t="s">
        <v>67</v>
      </c>
      <c r="R688">
        <v>2.89</v>
      </c>
      <c r="S688">
        <v>0.79</v>
      </c>
      <c r="T688">
        <v>0.14000000000000001</v>
      </c>
      <c r="U688">
        <v>96.87</v>
      </c>
      <c r="V688" s="1">
        <v>0</v>
      </c>
      <c r="X688">
        <v>20260420</v>
      </c>
      <c r="Z688" t="s">
        <v>72</v>
      </c>
      <c r="AA688">
        <v>3974527</v>
      </c>
      <c r="AB688" t="s">
        <v>79</v>
      </c>
      <c r="AE688">
        <v>0.55576388888888884</v>
      </c>
      <c r="AF688" t="s">
        <v>70</v>
      </c>
    </row>
    <row r="689" spans="1:32">
      <c r="A689">
        <v>1023366</v>
      </c>
      <c r="B689" t="s">
        <v>75</v>
      </c>
      <c r="C689" t="s">
        <v>62</v>
      </c>
      <c r="D689">
        <v>46131</v>
      </c>
      <c r="E689">
        <v>46131</v>
      </c>
      <c r="G689">
        <v>366</v>
      </c>
      <c r="H689" t="s">
        <v>63</v>
      </c>
      <c r="I689">
        <v>8289</v>
      </c>
      <c r="J689">
        <v>340679</v>
      </c>
      <c r="L689" t="s">
        <v>1063</v>
      </c>
      <c r="M689" t="s">
        <v>65</v>
      </c>
      <c r="N689" t="s">
        <v>66</v>
      </c>
      <c r="O689" s="2">
        <v>46131</v>
      </c>
      <c r="P689" s="1">
        <v>178</v>
      </c>
      <c r="Q689" t="s">
        <v>67</v>
      </c>
      <c r="R689">
        <v>5.14</v>
      </c>
      <c r="S689">
        <v>0.69</v>
      </c>
      <c r="T689">
        <v>0.12</v>
      </c>
      <c r="U689">
        <v>172.74</v>
      </c>
      <c r="V689" s="1">
        <v>0</v>
      </c>
      <c r="X689">
        <v>20260420</v>
      </c>
      <c r="Z689" t="s">
        <v>72</v>
      </c>
      <c r="AA689">
        <v>3974527</v>
      </c>
      <c r="AB689" t="s">
        <v>81</v>
      </c>
      <c r="AE689">
        <v>0.56524305555555554</v>
      </c>
      <c r="AF689" t="s">
        <v>70</v>
      </c>
    </row>
    <row r="690" spans="1:32">
      <c r="A690">
        <v>1023366</v>
      </c>
      <c r="B690" t="s">
        <v>75</v>
      </c>
      <c r="C690" t="s">
        <v>62</v>
      </c>
      <c r="D690">
        <v>46131</v>
      </c>
      <c r="E690">
        <v>46131</v>
      </c>
      <c r="G690">
        <v>366</v>
      </c>
      <c r="H690" t="s">
        <v>63</v>
      </c>
      <c r="I690">
        <v>8291</v>
      </c>
      <c r="J690">
        <v>926642</v>
      </c>
      <c r="L690" t="s">
        <v>1064</v>
      </c>
      <c r="M690" t="s">
        <v>65</v>
      </c>
      <c r="N690" t="s">
        <v>66</v>
      </c>
      <c r="O690" s="2">
        <v>46131</v>
      </c>
      <c r="P690" s="1">
        <v>149</v>
      </c>
      <c r="Q690" t="s">
        <v>67</v>
      </c>
      <c r="R690">
        <v>4.3099999999999996</v>
      </c>
      <c r="S690">
        <v>1.18</v>
      </c>
      <c r="T690">
        <v>0.21</v>
      </c>
      <c r="U690">
        <v>144.47999999999999</v>
      </c>
      <c r="V690" s="1">
        <v>0</v>
      </c>
      <c r="X690">
        <v>20260420</v>
      </c>
      <c r="Z690" t="s">
        <v>72</v>
      </c>
      <c r="AA690">
        <v>3974527</v>
      </c>
      <c r="AB690" t="s">
        <v>106</v>
      </c>
      <c r="AE690">
        <v>0.59662037037037041</v>
      </c>
      <c r="AF690" t="s">
        <v>70</v>
      </c>
    </row>
    <row r="691" spans="1:32">
      <c r="A691">
        <v>1023366</v>
      </c>
      <c r="B691" t="s">
        <v>75</v>
      </c>
      <c r="C691" t="s">
        <v>62</v>
      </c>
      <c r="D691">
        <v>46131</v>
      </c>
      <c r="E691">
        <v>46131</v>
      </c>
      <c r="G691">
        <v>366</v>
      </c>
      <c r="H691" t="s">
        <v>63</v>
      </c>
      <c r="I691">
        <v>8294</v>
      </c>
      <c r="J691">
        <v>222268</v>
      </c>
      <c r="L691" t="s">
        <v>1065</v>
      </c>
      <c r="M691" t="s">
        <v>65</v>
      </c>
      <c r="N691" t="s">
        <v>66</v>
      </c>
      <c r="O691" s="2">
        <v>46131</v>
      </c>
      <c r="P691" s="1">
        <v>229</v>
      </c>
      <c r="Q691" t="s">
        <v>67</v>
      </c>
      <c r="R691">
        <v>6.62</v>
      </c>
      <c r="S691">
        <v>0.89</v>
      </c>
      <c r="T691">
        <v>0.16</v>
      </c>
      <c r="U691">
        <v>222.22</v>
      </c>
      <c r="V691" s="1">
        <v>0</v>
      </c>
      <c r="X691">
        <v>20260420</v>
      </c>
      <c r="Z691" t="s">
        <v>72</v>
      </c>
      <c r="AA691">
        <v>3974527</v>
      </c>
      <c r="AB691" t="s">
        <v>81</v>
      </c>
      <c r="AE691">
        <v>0.60532407407407407</v>
      </c>
      <c r="AF691" t="s">
        <v>70</v>
      </c>
    </row>
    <row r="692" spans="1:32">
      <c r="A692">
        <v>1023366</v>
      </c>
      <c r="B692" t="s">
        <v>75</v>
      </c>
      <c r="C692" t="s">
        <v>62</v>
      </c>
      <c r="D692">
        <v>46131</v>
      </c>
      <c r="E692">
        <v>46131</v>
      </c>
      <c r="G692">
        <v>366</v>
      </c>
      <c r="H692" t="s">
        <v>63</v>
      </c>
      <c r="I692">
        <v>8297</v>
      </c>
      <c r="J692">
        <v>664628</v>
      </c>
      <c r="L692" t="s">
        <v>1066</v>
      </c>
      <c r="M692" t="s">
        <v>96</v>
      </c>
      <c r="N692" t="s">
        <v>66</v>
      </c>
      <c r="O692" s="2">
        <v>46131</v>
      </c>
      <c r="P692" s="1">
        <v>199</v>
      </c>
      <c r="Q692" t="s">
        <v>67</v>
      </c>
      <c r="R692">
        <v>7.76</v>
      </c>
      <c r="S692">
        <v>3.82</v>
      </c>
      <c r="T692">
        <v>0.69</v>
      </c>
      <c r="U692">
        <v>190.55</v>
      </c>
      <c r="V692" s="1">
        <v>0</v>
      </c>
      <c r="X692">
        <v>20260420</v>
      </c>
      <c r="Z692" t="s">
        <v>72</v>
      </c>
      <c r="AA692">
        <v>3974527</v>
      </c>
      <c r="AB692" t="s">
        <v>97</v>
      </c>
      <c r="AE692">
        <v>0.60870370370370375</v>
      </c>
      <c r="AF692" t="s">
        <v>70</v>
      </c>
    </row>
    <row r="693" spans="1:32">
      <c r="A693">
        <v>1023366</v>
      </c>
      <c r="B693" t="s">
        <v>75</v>
      </c>
      <c r="C693" t="s">
        <v>62</v>
      </c>
      <c r="D693">
        <v>46131</v>
      </c>
      <c r="E693">
        <v>46131</v>
      </c>
      <c r="G693">
        <v>366</v>
      </c>
      <c r="H693" t="s">
        <v>63</v>
      </c>
      <c r="I693">
        <v>8299</v>
      </c>
      <c r="J693">
        <v>204562</v>
      </c>
      <c r="L693" t="s">
        <v>1067</v>
      </c>
      <c r="M693" t="s">
        <v>65</v>
      </c>
      <c r="N693" t="s">
        <v>66</v>
      </c>
      <c r="O693" s="2">
        <v>46131</v>
      </c>
      <c r="P693" s="1">
        <v>164</v>
      </c>
      <c r="Q693" t="s">
        <v>67</v>
      </c>
      <c r="R693">
        <v>4.74</v>
      </c>
      <c r="S693">
        <v>0.64</v>
      </c>
      <c r="T693">
        <v>0.12</v>
      </c>
      <c r="U693">
        <v>159.13999999999999</v>
      </c>
      <c r="V693" s="1">
        <v>0</v>
      </c>
      <c r="X693">
        <v>20260420</v>
      </c>
      <c r="Z693" t="s">
        <v>72</v>
      </c>
      <c r="AA693">
        <v>3974527</v>
      </c>
      <c r="AB693" t="s">
        <v>77</v>
      </c>
      <c r="AE693">
        <v>0.63931712962962961</v>
      </c>
      <c r="AF693" t="s">
        <v>70</v>
      </c>
    </row>
    <row r="694" spans="1:32">
      <c r="A694">
        <v>1023366</v>
      </c>
      <c r="B694" t="s">
        <v>75</v>
      </c>
      <c r="C694" t="s">
        <v>62</v>
      </c>
      <c r="D694">
        <v>46131</v>
      </c>
      <c r="E694">
        <v>46131</v>
      </c>
      <c r="G694">
        <v>366</v>
      </c>
      <c r="H694" t="s">
        <v>63</v>
      </c>
      <c r="I694">
        <v>8301</v>
      </c>
      <c r="J694">
        <v>57974</v>
      </c>
      <c r="L694" t="s">
        <v>1068</v>
      </c>
      <c r="M694" t="s">
        <v>65</v>
      </c>
      <c r="N694" t="s">
        <v>66</v>
      </c>
      <c r="O694" s="2">
        <v>46131</v>
      </c>
      <c r="P694" s="1">
        <v>379</v>
      </c>
      <c r="Q694" t="s">
        <v>67</v>
      </c>
      <c r="R694">
        <v>10.95</v>
      </c>
      <c r="S694">
        <v>4.8899999999999997</v>
      </c>
      <c r="T694">
        <v>0.88</v>
      </c>
      <c r="U694">
        <v>367.17</v>
      </c>
      <c r="V694" s="1">
        <v>0</v>
      </c>
      <c r="X694">
        <v>20260420</v>
      </c>
      <c r="Z694" t="s">
        <v>68</v>
      </c>
      <c r="AA694">
        <v>3974527</v>
      </c>
      <c r="AB694" t="s">
        <v>79</v>
      </c>
      <c r="AE694">
        <v>0.66144675925925922</v>
      </c>
      <c r="AF694" t="s">
        <v>70</v>
      </c>
    </row>
    <row r="695" spans="1:32">
      <c r="A695">
        <v>1023366</v>
      </c>
      <c r="B695" t="s">
        <v>75</v>
      </c>
      <c r="C695" t="s">
        <v>62</v>
      </c>
      <c r="D695">
        <v>46131</v>
      </c>
      <c r="E695">
        <v>46131</v>
      </c>
      <c r="G695">
        <v>366</v>
      </c>
      <c r="H695" t="s">
        <v>63</v>
      </c>
      <c r="I695">
        <v>8303</v>
      </c>
      <c r="J695">
        <v>992660</v>
      </c>
      <c r="L695" t="s">
        <v>1069</v>
      </c>
      <c r="M695" t="s">
        <v>65</v>
      </c>
      <c r="N695" t="s">
        <v>66</v>
      </c>
      <c r="O695" s="2">
        <v>46131</v>
      </c>
      <c r="P695" s="1">
        <v>69</v>
      </c>
      <c r="Q695" t="s">
        <v>67</v>
      </c>
      <c r="R695">
        <v>1.99</v>
      </c>
      <c r="S695">
        <v>0.89</v>
      </c>
      <c r="T695">
        <v>0.16</v>
      </c>
      <c r="U695">
        <v>66.849999999999994</v>
      </c>
      <c r="V695" s="1">
        <v>0</v>
      </c>
      <c r="X695">
        <v>20260420</v>
      </c>
      <c r="Z695" t="s">
        <v>68</v>
      </c>
      <c r="AA695">
        <v>3974527</v>
      </c>
      <c r="AB695" t="s">
        <v>77</v>
      </c>
      <c r="AE695">
        <v>0.66688657407407403</v>
      </c>
      <c r="AF695" t="s">
        <v>70</v>
      </c>
    </row>
    <row r="696" spans="1:32">
      <c r="A696">
        <v>1023366</v>
      </c>
      <c r="B696" t="s">
        <v>75</v>
      </c>
      <c r="C696" t="s">
        <v>62</v>
      </c>
      <c r="D696">
        <v>46131</v>
      </c>
      <c r="E696">
        <v>46131</v>
      </c>
      <c r="G696">
        <v>366</v>
      </c>
      <c r="H696">
        <v>65656565</v>
      </c>
      <c r="I696">
        <v>8307</v>
      </c>
      <c r="J696">
        <v>809862</v>
      </c>
      <c r="L696" t="s">
        <v>1070</v>
      </c>
      <c r="M696" t="s">
        <v>65</v>
      </c>
      <c r="N696" t="s">
        <v>66</v>
      </c>
      <c r="O696" s="2">
        <v>46131</v>
      </c>
      <c r="P696" s="1">
        <v>269</v>
      </c>
      <c r="Q696" t="s">
        <v>67</v>
      </c>
      <c r="R696">
        <v>7.77</v>
      </c>
      <c r="S696">
        <v>3.47</v>
      </c>
      <c r="T696">
        <v>0.62</v>
      </c>
      <c r="U696">
        <v>260.61</v>
      </c>
      <c r="V696" s="1">
        <v>0</v>
      </c>
      <c r="X696">
        <v>20260420</v>
      </c>
      <c r="Z696" t="s">
        <v>68</v>
      </c>
      <c r="AA696">
        <v>3974527</v>
      </c>
      <c r="AB696" t="s">
        <v>79</v>
      </c>
      <c r="AD696" t="s">
        <v>88</v>
      </c>
      <c r="AE696">
        <v>0.67138888888888892</v>
      </c>
      <c r="AF696" t="s">
        <v>70</v>
      </c>
    </row>
    <row r="697" spans="1:32">
      <c r="A697">
        <v>1023366</v>
      </c>
      <c r="B697" t="s">
        <v>75</v>
      </c>
      <c r="C697" t="s">
        <v>62</v>
      </c>
      <c r="D697">
        <v>46131</v>
      </c>
      <c r="E697">
        <v>46131</v>
      </c>
      <c r="G697">
        <v>366</v>
      </c>
      <c r="H697" t="s">
        <v>63</v>
      </c>
      <c r="I697">
        <v>8310</v>
      </c>
      <c r="J697">
        <v>30613</v>
      </c>
      <c r="L697" t="s">
        <v>1071</v>
      </c>
      <c r="M697" t="s">
        <v>65</v>
      </c>
      <c r="N697" t="s">
        <v>66</v>
      </c>
      <c r="O697" s="2">
        <v>46131</v>
      </c>
      <c r="P697" s="1">
        <v>14.9</v>
      </c>
      <c r="Q697" t="s">
        <v>67</v>
      </c>
      <c r="R697">
        <v>0.43</v>
      </c>
      <c r="S697">
        <v>0.19</v>
      </c>
      <c r="T697">
        <v>0.03</v>
      </c>
      <c r="U697">
        <v>14.44</v>
      </c>
      <c r="V697" s="1">
        <v>0</v>
      </c>
      <c r="X697">
        <v>20260420</v>
      </c>
      <c r="Z697" t="s">
        <v>68</v>
      </c>
      <c r="AA697">
        <v>3974527</v>
      </c>
      <c r="AB697" t="s">
        <v>77</v>
      </c>
      <c r="AE697">
        <v>0.67618055555555556</v>
      </c>
      <c r="AF697" t="s">
        <v>70</v>
      </c>
    </row>
    <row r="698" spans="1:32">
      <c r="A698">
        <v>1023366</v>
      </c>
      <c r="B698" t="s">
        <v>75</v>
      </c>
      <c r="C698" t="s">
        <v>62</v>
      </c>
      <c r="D698">
        <v>46131</v>
      </c>
      <c r="E698">
        <v>46131</v>
      </c>
      <c r="G698">
        <v>366</v>
      </c>
      <c r="H698" t="s">
        <v>63</v>
      </c>
      <c r="I698">
        <v>8312</v>
      </c>
      <c r="J698">
        <v>855539</v>
      </c>
      <c r="L698" t="s">
        <v>1072</v>
      </c>
      <c r="M698" t="s">
        <v>65</v>
      </c>
      <c r="N698" t="s">
        <v>66</v>
      </c>
      <c r="O698" s="2">
        <v>46131</v>
      </c>
      <c r="P698" s="1">
        <v>199</v>
      </c>
      <c r="Q698" t="s">
        <v>67</v>
      </c>
      <c r="R698">
        <v>5.75</v>
      </c>
      <c r="S698">
        <v>2.57</v>
      </c>
      <c r="T698">
        <v>0.46</v>
      </c>
      <c r="U698">
        <v>192.79</v>
      </c>
      <c r="V698" s="1">
        <v>0</v>
      </c>
      <c r="X698">
        <v>20260420</v>
      </c>
      <c r="Z698" t="s">
        <v>68</v>
      </c>
      <c r="AA698">
        <v>3974527</v>
      </c>
      <c r="AB698" t="s">
        <v>79</v>
      </c>
      <c r="AE698">
        <v>0.69268518518518518</v>
      </c>
      <c r="AF698" t="s">
        <v>70</v>
      </c>
    </row>
    <row r="699" spans="1:32">
      <c r="A699">
        <v>1023366</v>
      </c>
      <c r="B699" t="s">
        <v>75</v>
      </c>
      <c r="C699" t="s">
        <v>62</v>
      </c>
      <c r="D699">
        <v>46131</v>
      </c>
      <c r="E699">
        <v>46131</v>
      </c>
      <c r="G699">
        <v>366</v>
      </c>
      <c r="H699" t="s">
        <v>63</v>
      </c>
      <c r="I699">
        <v>8314</v>
      </c>
      <c r="J699">
        <v>872784</v>
      </c>
      <c r="L699" t="s">
        <v>1073</v>
      </c>
      <c r="M699" t="s">
        <v>65</v>
      </c>
      <c r="N699" t="s">
        <v>66</v>
      </c>
      <c r="O699" s="2">
        <v>46131</v>
      </c>
      <c r="P699" s="1">
        <v>14.9</v>
      </c>
      <c r="Q699" t="s">
        <v>67</v>
      </c>
      <c r="R699">
        <v>0.43</v>
      </c>
      <c r="S699">
        <v>0.19</v>
      </c>
      <c r="T699">
        <v>0.03</v>
      </c>
      <c r="U699">
        <v>14.44</v>
      </c>
      <c r="V699" s="1">
        <v>0</v>
      </c>
      <c r="X699">
        <v>20260420</v>
      </c>
      <c r="Z699" t="s">
        <v>68</v>
      </c>
      <c r="AA699">
        <v>3974527</v>
      </c>
      <c r="AB699" t="s">
        <v>79</v>
      </c>
      <c r="AE699">
        <v>0.70082175925925927</v>
      </c>
      <c r="AF699" t="s">
        <v>70</v>
      </c>
    </row>
    <row r="700" spans="1:32">
      <c r="A700">
        <v>1023366</v>
      </c>
      <c r="B700" t="s">
        <v>75</v>
      </c>
      <c r="C700" t="s">
        <v>62</v>
      </c>
      <c r="D700">
        <v>46131</v>
      </c>
      <c r="E700">
        <v>46131</v>
      </c>
      <c r="G700">
        <v>366</v>
      </c>
      <c r="H700" t="s">
        <v>63</v>
      </c>
      <c r="I700">
        <v>8316</v>
      </c>
      <c r="J700">
        <v>874459</v>
      </c>
      <c r="L700" t="s">
        <v>1074</v>
      </c>
      <c r="M700" t="s">
        <v>65</v>
      </c>
      <c r="N700" t="s">
        <v>66</v>
      </c>
      <c r="O700" s="2">
        <v>46131</v>
      </c>
      <c r="P700" s="1">
        <v>69</v>
      </c>
      <c r="Q700" t="s">
        <v>67</v>
      </c>
      <c r="R700">
        <v>1.99</v>
      </c>
      <c r="S700">
        <v>0.89</v>
      </c>
      <c r="T700">
        <v>0.16</v>
      </c>
      <c r="U700">
        <v>66.849999999999994</v>
      </c>
      <c r="V700" s="1">
        <v>0</v>
      </c>
      <c r="X700">
        <v>20260420</v>
      </c>
      <c r="Z700" t="s">
        <v>68</v>
      </c>
      <c r="AA700">
        <v>3974527</v>
      </c>
      <c r="AB700" t="s">
        <v>79</v>
      </c>
      <c r="AE700">
        <v>0.70160879629629624</v>
      </c>
      <c r="AF700" t="s">
        <v>70</v>
      </c>
    </row>
    <row r="701" spans="1:32">
      <c r="A701">
        <v>1023366</v>
      </c>
      <c r="B701" t="s">
        <v>75</v>
      </c>
      <c r="C701" t="s">
        <v>62</v>
      </c>
      <c r="D701">
        <v>46131</v>
      </c>
      <c r="E701">
        <v>46131</v>
      </c>
      <c r="G701">
        <v>366</v>
      </c>
      <c r="H701" t="s">
        <v>63</v>
      </c>
      <c r="I701">
        <v>8318</v>
      </c>
      <c r="J701">
        <v>615</v>
      </c>
      <c r="L701" t="s">
        <v>1075</v>
      </c>
      <c r="M701" t="s">
        <v>65</v>
      </c>
      <c r="N701" t="s">
        <v>66</v>
      </c>
      <c r="O701" s="2">
        <v>46131</v>
      </c>
      <c r="P701" s="1">
        <v>299</v>
      </c>
      <c r="Q701" t="s">
        <v>67</v>
      </c>
      <c r="R701">
        <v>8.64</v>
      </c>
      <c r="S701">
        <v>1.1599999999999999</v>
      </c>
      <c r="T701">
        <v>0.21</v>
      </c>
      <c r="U701">
        <v>290.14999999999998</v>
      </c>
      <c r="V701" s="1">
        <v>0</v>
      </c>
      <c r="X701">
        <v>20260420</v>
      </c>
      <c r="Z701" t="s">
        <v>72</v>
      </c>
      <c r="AA701">
        <v>3974527</v>
      </c>
      <c r="AB701" t="s">
        <v>79</v>
      </c>
      <c r="AE701">
        <v>0.70618055555555559</v>
      </c>
      <c r="AF701" t="s">
        <v>70</v>
      </c>
    </row>
    <row r="702" spans="1:32">
      <c r="A702">
        <v>1023366</v>
      </c>
      <c r="B702" t="s">
        <v>75</v>
      </c>
      <c r="C702" t="s">
        <v>62</v>
      </c>
      <c r="D702">
        <v>46131</v>
      </c>
      <c r="E702">
        <v>46131</v>
      </c>
      <c r="G702">
        <v>366</v>
      </c>
      <c r="H702" t="s">
        <v>63</v>
      </c>
      <c r="I702">
        <v>8320</v>
      </c>
      <c r="J702">
        <v>162223</v>
      </c>
      <c r="L702" t="s">
        <v>1076</v>
      </c>
      <c r="M702" t="s">
        <v>65</v>
      </c>
      <c r="N702" t="s">
        <v>66</v>
      </c>
      <c r="O702" s="2">
        <v>46131</v>
      </c>
      <c r="P702" s="1">
        <v>99.9</v>
      </c>
      <c r="Q702" t="s">
        <v>67</v>
      </c>
      <c r="R702">
        <v>2.89</v>
      </c>
      <c r="S702">
        <v>1.29</v>
      </c>
      <c r="T702">
        <v>0.23</v>
      </c>
      <c r="U702">
        <v>96.78</v>
      </c>
      <c r="V702" s="1">
        <v>0</v>
      </c>
      <c r="X702">
        <v>20260420</v>
      </c>
      <c r="Z702" t="s">
        <v>68</v>
      </c>
      <c r="AA702">
        <v>3974527</v>
      </c>
      <c r="AB702" t="s">
        <v>79</v>
      </c>
      <c r="AE702">
        <v>0.71158564814814818</v>
      </c>
      <c r="AF702" t="s">
        <v>70</v>
      </c>
    </row>
    <row r="703" spans="1:32">
      <c r="A703">
        <v>1023366</v>
      </c>
      <c r="B703" t="s">
        <v>75</v>
      </c>
      <c r="C703" t="s">
        <v>62</v>
      </c>
      <c r="D703">
        <v>46131</v>
      </c>
      <c r="E703">
        <v>46131</v>
      </c>
      <c r="G703">
        <v>366</v>
      </c>
      <c r="H703" t="s">
        <v>63</v>
      </c>
      <c r="I703">
        <v>8325</v>
      </c>
      <c r="J703">
        <v>986614</v>
      </c>
      <c r="L703" t="s">
        <v>1077</v>
      </c>
      <c r="M703" t="s">
        <v>65</v>
      </c>
      <c r="N703" t="s">
        <v>66</v>
      </c>
      <c r="O703" s="2">
        <v>46131</v>
      </c>
      <c r="P703" s="1">
        <v>1899</v>
      </c>
      <c r="Q703" t="s">
        <v>67</v>
      </c>
      <c r="R703">
        <v>54.88</v>
      </c>
      <c r="S703">
        <v>11.2</v>
      </c>
      <c r="T703">
        <v>2.02</v>
      </c>
      <c r="U703">
        <v>1842.1</v>
      </c>
      <c r="V703" s="1">
        <v>0</v>
      </c>
      <c r="X703">
        <v>20260420</v>
      </c>
      <c r="Z703" t="s">
        <v>72</v>
      </c>
      <c r="AA703">
        <v>3974527</v>
      </c>
      <c r="AB703" t="s">
        <v>106</v>
      </c>
      <c r="AE703">
        <v>0.7155555555555555</v>
      </c>
      <c r="AF703" t="s">
        <v>70</v>
      </c>
    </row>
    <row r="704" spans="1:32">
      <c r="A704">
        <v>1023366</v>
      </c>
      <c r="B704" t="s">
        <v>75</v>
      </c>
      <c r="C704" t="s">
        <v>62</v>
      </c>
      <c r="D704">
        <v>46131</v>
      </c>
      <c r="E704">
        <v>46131</v>
      </c>
      <c r="G704">
        <v>366</v>
      </c>
      <c r="H704" t="s">
        <v>63</v>
      </c>
      <c r="I704">
        <v>8329</v>
      </c>
      <c r="J704">
        <v>792806</v>
      </c>
      <c r="L704" t="s">
        <v>1078</v>
      </c>
      <c r="M704" t="s">
        <v>65</v>
      </c>
      <c r="N704" t="s">
        <v>66</v>
      </c>
      <c r="O704" s="2">
        <v>46131</v>
      </c>
      <c r="P704" s="1">
        <v>34.9</v>
      </c>
      <c r="Q704" t="s">
        <v>67</v>
      </c>
      <c r="R704">
        <v>1.01</v>
      </c>
      <c r="S704">
        <v>0.45</v>
      </c>
      <c r="T704">
        <v>0.08</v>
      </c>
      <c r="U704">
        <v>33.81</v>
      </c>
      <c r="V704" s="1">
        <v>0</v>
      </c>
      <c r="X704">
        <v>20260420</v>
      </c>
      <c r="Z704" t="s">
        <v>68</v>
      </c>
      <c r="AA704">
        <v>3974527</v>
      </c>
      <c r="AB704" t="s">
        <v>79</v>
      </c>
      <c r="AE704">
        <v>0.72209490740740745</v>
      </c>
      <c r="AF704" t="s">
        <v>70</v>
      </c>
    </row>
    <row r="705" spans="1:32">
      <c r="A705">
        <v>1023366</v>
      </c>
      <c r="B705" t="s">
        <v>75</v>
      </c>
      <c r="C705" t="s">
        <v>62</v>
      </c>
      <c r="D705">
        <v>46131</v>
      </c>
      <c r="E705">
        <v>46131</v>
      </c>
      <c r="G705">
        <v>366</v>
      </c>
      <c r="H705" t="s">
        <v>63</v>
      </c>
      <c r="I705">
        <v>8331</v>
      </c>
      <c r="J705">
        <v>802456</v>
      </c>
      <c r="L705" t="s">
        <v>1079</v>
      </c>
      <c r="M705" t="s">
        <v>65</v>
      </c>
      <c r="N705" t="s">
        <v>66</v>
      </c>
      <c r="O705" s="2">
        <v>46131</v>
      </c>
      <c r="P705" s="1">
        <v>89</v>
      </c>
      <c r="Q705" t="s">
        <v>67</v>
      </c>
      <c r="R705">
        <v>2.57</v>
      </c>
      <c r="S705">
        <v>1.1499999999999999</v>
      </c>
      <c r="T705">
        <v>0.21</v>
      </c>
      <c r="U705">
        <v>86.22</v>
      </c>
      <c r="V705" s="1">
        <v>0</v>
      </c>
      <c r="X705">
        <v>20260420</v>
      </c>
      <c r="Z705" t="s">
        <v>68</v>
      </c>
      <c r="AA705">
        <v>3974527</v>
      </c>
      <c r="AB705" t="s">
        <v>79</v>
      </c>
      <c r="AE705">
        <v>0.72630787037037037</v>
      </c>
      <c r="AF705" t="s">
        <v>70</v>
      </c>
    </row>
    <row r="706" spans="1:32">
      <c r="A706">
        <v>1023366</v>
      </c>
      <c r="B706" t="s">
        <v>75</v>
      </c>
      <c r="C706" t="s">
        <v>62</v>
      </c>
      <c r="D706">
        <v>46131</v>
      </c>
      <c r="E706">
        <v>46131</v>
      </c>
      <c r="G706">
        <v>366</v>
      </c>
      <c r="H706" t="s">
        <v>63</v>
      </c>
      <c r="I706">
        <v>8333</v>
      </c>
      <c r="J706">
        <v>92927</v>
      </c>
      <c r="L706" t="s">
        <v>1080</v>
      </c>
      <c r="M706" t="s">
        <v>65</v>
      </c>
      <c r="N706" t="s">
        <v>66</v>
      </c>
      <c r="O706" s="2">
        <v>46131</v>
      </c>
      <c r="P706" s="1">
        <v>1099</v>
      </c>
      <c r="Q706" t="s">
        <v>67</v>
      </c>
      <c r="R706">
        <v>31.76</v>
      </c>
      <c r="S706">
        <v>14.18</v>
      </c>
      <c r="T706">
        <v>2.5499999999999998</v>
      </c>
      <c r="U706">
        <v>1064.69</v>
      </c>
      <c r="V706" s="1">
        <v>0</v>
      </c>
      <c r="X706">
        <v>20260420</v>
      </c>
      <c r="Z706" t="s">
        <v>68</v>
      </c>
      <c r="AA706">
        <v>3974527</v>
      </c>
      <c r="AB706" t="s">
        <v>77</v>
      </c>
      <c r="AE706">
        <v>0.72813657407407406</v>
      </c>
      <c r="AF706" t="s">
        <v>70</v>
      </c>
    </row>
    <row r="707" spans="1:32">
      <c r="A707">
        <v>1023366</v>
      </c>
      <c r="B707" t="s">
        <v>75</v>
      </c>
      <c r="C707" t="s">
        <v>62</v>
      </c>
      <c r="D707">
        <v>46131</v>
      </c>
      <c r="E707">
        <v>46131</v>
      </c>
      <c r="G707">
        <v>366</v>
      </c>
      <c r="H707" t="s">
        <v>63</v>
      </c>
      <c r="I707">
        <v>8337</v>
      </c>
      <c r="J707">
        <v>837785</v>
      </c>
      <c r="L707" t="s">
        <v>1081</v>
      </c>
      <c r="M707" t="s">
        <v>65</v>
      </c>
      <c r="N707" t="s">
        <v>66</v>
      </c>
      <c r="O707" s="2">
        <v>46131</v>
      </c>
      <c r="P707" s="1">
        <v>149</v>
      </c>
      <c r="Q707" t="s">
        <v>67</v>
      </c>
      <c r="R707">
        <v>4.3099999999999996</v>
      </c>
      <c r="S707">
        <v>1.93</v>
      </c>
      <c r="T707">
        <v>0.35</v>
      </c>
      <c r="U707">
        <v>144.34</v>
      </c>
      <c r="V707" s="1">
        <v>0</v>
      </c>
      <c r="X707">
        <v>20260420</v>
      </c>
      <c r="Z707" t="s">
        <v>68</v>
      </c>
      <c r="AA707">
        <v>3974527</v>
      </c>
      <c r="AB707" t="s">
        <v>79</v>
      </c>
      <c r="AE707">
        <v>0.74180555555555561</v>
      </c>
      <c r="AF707" t="s">
        <v>70</v>
      </c>
    </row>
    <row r="708" spans="1:32">
      <c r="A708">
        <v>1023366</v>
      </c>
      <c r="B708" t="s">
        <v>75</v>
      </c>
      <c r="C708" t="s">
        <v>62</v>
      </c>
      <c r="D708">
        <v>46131</v>
      </c>
      <c r="E708">
        <v>46131</v>
      </c>
      <c r="G708">
        <v>366</v>
      </c>
      <c r="H708" t="s">
        <v>63</v>
      </c>
      <c r="I708">
        <v>8340</v>
      </c>
      <c r="J708">
        <v>811530</v>
      </c>
      <c r="K708">
        <v>3</v>
      </c>
      <c r="L708" t="s">
        <v>1082</v>
      </c>
      <c r="M708" t="s">
        <v>65</v>
      </c>
      <c r="N708" t="s">
        <v>66</v>
      </c>
      <c r="O708" s="2">
        <v>46131</v>
      </c>
      <c r="P708" s="1">
        <v>800</v>
      </c>
      <c r="Q708" t="s">
        <v>67</v>
      </c>
      <c r="R708">
        <v>23.12</v>
      </c>
      <c r="S708">
        <v>4.72</v>
      </c>
      <c r="T708">
        <v>0.85</v>
      </c>
      <c r="U708">
        <v>776.03</v>
      </c>
      <c r="V708" s="1">
        <v>0</v>
      </c>
      <c r="X708">
        <v>20260420</v>
      </c>
      <c r="Z708" t="s">
        <v>72</v>
      </c>
      <c r="AA708">
        <v>3974527</v>
      </c>
      <c r="AB708" t="s">
        <v>81</v>
      </c>
      <c r="AC708" t="s">
        <v>74</v>
      </c>
      <c r="AE708">
        <v>0.74449074074074073</v>
      </c>
      <c r="AF708" t="s">
        <v>70</v>
      </c>
    </row>
    <row r="709" spans="1:32">
      <c r="A709">
        <v>1023366</v>
      </c>
      <c r="B709" t="s">
        <v>75</v>
      </c>
      <c r="C709" t="s">
        <v>62</v>
      </c>
      <c r="D709">
        <v>46131</v>
      </c>
      <c r="E709">
        <v>46131</v>
      </c>
      <c r="G709">
        <v>366</v>
      </c>
      <c r="H709" t="s">
        <v>63</v>
      </c>
      <c r="I709">
        <v>8342</v>
      </c>
      <c r="J709">
        <v>822159</v>
      </c>
      <c r="L709" t="s">
        <v>1083</v>
      </c>
      <c r="M709" t="s">
        <v>65</v>
      </c>
      <c r="N709" t="s">
        <v>66</v>
      </c>
      <c r="O709" s="2">
        <v>46131</v>
      </c>
      <c r="P709" s="1">
        <v>59</v>
      </c>
      <c r="Q709" t="s">
        <v>67</v>
      </c>
      <c r="R709">
        <v>1.71</v>
      </c>
      <c r="S709">
        <v>0.77</v>
      </c>
      <c r="T709">
        <v>0.14000000000000001</v>
      </c>
      <c r="U709">
        <v>57.15</v>
      </c>
      <c r="V709" s="1">
        <v>0</v>
      </c>
      <c r="X709">
        <v>20260420</v>
      </c>
      <c r="Z709" t="s">
        <v>68</v>
      </c>
      <c r="AA709">
        <v>3974527</v>
      </c>
      <c r="AB709" t="s">
        <v>93</v>
      </c>
      <c r="AE709">
        <v>0.74700231481481483</v>
      </c>
      <c r="AF709" t="s">
        <v>70</v>
      </c>
    </row>
    <row r="710" spans="1:32">
      <c r="A710">
        <v>1023366</v>
      </c>
      <c r="B710" t="s">
        <v>75</v>
      </c>
      <c r="C710" t="s">
        <v>62</v>
      </c>
      <c r="D710">
        <v>46131</v>
      </c>
      <c r="E710">
        <v>46131</v>
      </c>
      <c r="G710">
        <v>366</v>
      </c>
      <c r="H710" t="s">
        <v>63</v>
      </c>
      <c r="I710">
        <v>8346</v>
      </c>
      <c r="J710">
        <v>902675</v>
      </c>
      <c r="L710" t="s">
        <v>1084</v>
      </c>
      <c r="M710" t="s">
        <v>65</v>
      </c>
      <c r="N710" t="s">
        <v>66</v>
      </c>
      <c r="O710" s="2">
        <v>46131</v>
      </c>
      <c r="P710" s="1">
        <v>149</v>
      </c>
      <c r="Q710" t="s">
        <v>67</v>
      </c>
      <c r="R710">
        <v>4.3099999999999996</v>
      </c>
      <c r="S710">
        <v>1.93</v>
      </c>
      <c r="T710">
        <v>0.35</v>
      </c>
      <c r="U710">
        <v>144.34</v>
      </c>
      <c r="V710" s="1">
        <v>0</v>
      </c>
      <c r="X710">
        <v>20260420</v>
      </c>
      <c r="Z710" t="s">
        <v>68</v>
      </c>
      <c r="AA710">
        <v>3974527</v>
      </c>
      <c r="AB710" t="s">
        <v>93</v>
      </c>
      <c r="AE710">
        <v>0.76548611111111109</v>
      </c>
      <c r="AF710" t="s">
        <v>70</v>
      </c>
    </row>
    <row r="711" spans="1:32">
      <c r="A711">
        <v>1023366</v>
      </c>
      <c r="B711" t="s">
        <v>75</v>
      </c>
      <c r="C711" t="s">
        <v>62</v>
      </c>
      <c r="D711">
        <v>46131</v>
      </c>
      <c r="E711">
        <v>46131</v>
      </c>
      <c r="G711">
        <v>366</v>
      </c>
      <c r="H711" t="s">
        <v>63</v>
      </c>
      <c r="I711">
        <v>8349</v>
      </c>
      <c r="J711">
        <v>758133</v>
      </c>
      <c r="L711" t="s">
        <v>1085</v>
      </c>
      <c r="M711" t="s">
        <v>65</v>
      </c>
      <c r="N711" t="s">
        <v>66</v>
      </c>
      <c r="O711" s="2">
        <v>46131</v>
      </c>
      <c r="P711" s="1">
        <v>109</v>
      </c>
      <c r="Q711" t="s">
        <v>67</v>
      </c>
      <c r="R711">
        <v>3.15</v>
      </c>
      <c r="S711">
        <v>1.41</v>
      </c>
      <c r="T711">
        <v>0.25</v>
      </c>
      <c r="U711">
        <v>105.6</v>
      </c>
      <c r="V711" s="1">
        <v>0</v>
      </c>
      <c r="X711">
        <v>20260420</v>
      </c>
      <c r="Z711" t="s">
        <v>68</v>
      </c>
      <c r="AA711">
        <v>3974527</v>
      </c>
      <c r="AB711" t="s">
        <v>81</v>
      </c>
      <c r="AE711">
        <v>0.79565972222222225</v>
      </c>
      <c r="AF711" t="s">
        <v>70</v>
      </c>
    </row>
    <row r="712" spans="1:32">
      <c r="A712">
        <v>1023366</v>
      </c>
      <c r="B712" t="s">
        <v>75</v>
      </c>
      <c r="C712" t="s">
        <v>62</v>
      </c>
      <c r="D712">
        <v>46131</v>
      </c>
      <c r="E712">
        <v>46131</v>
      </c>
      <c r="G712">
        <v>366</v>
      </c>
      <c r="H712" t="s">
        <v>63</v>
      </c>
      <c r="I712">
        <v>8351</v>
      </c>
      <c r="J712">
        <v>41167</v>
      </c>
      <c r="K712">
        <v>2</v>
      </c>
      <c r="L712" t="s">
        <v>1086</v>
      </c>
      <c r="M712" t="s">
        <v>65</v>
      </c>
      <c r="N712" t="s">
        <v>66</v>
      </c>
      <c r="O712" s="2">
        <v>46131</v>
      </c>
      <c r="P712" s="1">
        <v>65</v>
      </c>
      <c r="Q712" t="s">
        <v>67</v>
      </c>
      <c r="R712">
        <v>1.88</v>
      </c>
      <c r="S712">
        <v>0.51</v>
      </c>
      <c r="T712">
        <v>0.09</v>
      </c>
      <c r="U712">
        <v>63.03</v>
      </c>
      <c r="V712" s="1">
        <v>0</v>
      </c>
      <c r="X712">
        <v>20260420</v>
      </c>
      <c r="Z712" t="s">
        <v>72</v>
      </c>
      <c r="AA712">
        <v>3974527</v>
      </c>
      <c r="AB712" t="s">
        <v>84</v>
      </c>
      <c r="AC712" t="s">
        <v>74</v>
      </c>
      <c r="AE712">
        <v>0.79929398148148145</v>
      </c>
      <c r="AF712" t="s">
        <v>70</v>
      </c>
    </row>
    <row r="713" spans="1:32">
      <c r="A713">
        <v>1023366</v>
      </c>
      <c r="B713" t="s">
        <v>75</v>
      </c>
      <c r="C713" t="s">
        <v>62</v>
      </c>
      <c r="D713">
        <v>46131</v>
      </c>
      <c r="E713">
        <v>46131</v>
      </c>
      <c r="G713">
        <v>366</v>
      </c>
      <c r="H713" t="s">
        <v>63</v>
      </c>
      <c r="I713">
        <v>8353</v>
      </c>
      <c r="J713">
        <v>140075</v>
      </c>
      <c r="K713">
        <v>5</v>
      </c>
      <c r="L713" t="s">
        <v>1087</v>
      </c>
      <c r="M713" t="s">
        <v>65</v>
      </c>
      <c r="N713" t="s">
        <v>66</v>
      </c>
      <c r="O713" s="2">
        <v>46131</v>
      </c>
      <c r="P713" s="1">
        <v>1399</v>
      </c>
      <c r="Q713" t="s">
        <v>67</v>
      </c>
      <c r="R713">
        <v>40.43</v>
      </c>
      <c r="S713">
        <v>11.05</v>
      </c>
      <c r="T713">
        <v>1.99</v>
      </c>
      <c r="U713">
        <v>1356.58</v>
      </c>
      <c r="V713" s="1">
        <v>0</v>
      </c>
      <c r="X713">
        <v>20260420</v>
      </c>
      <c r="Z713" t="s">
        <v>72</v>
      </c>
      <c r="AA713">
        <v>3974527</v>
      </c>
      <c r="AB713" t="s">
        <v>77</v>
      </c>
      <c r="AC713" t="s">
        <v>74</v>
      </c>
      <c r="AE713">
        <v>0.80129629629629628</v>
      </c>
      <c r="AF713" t="s">
        <v>70</v>
      </c>
    </row>
    <row r="714" spans="1:32">
      <c r="A714">
        <v>1023366</v>
      </c>
      <c r="B714" t="s">
        <v>75</v>
      </c>
      <c r="C714" t="s">
        <v>62</v>
      </c>
      <c r="D714">
        <v>46131</v>
      </c>
      <c r="E714">
        <v>46131</v>
      </c>
      <c r="G714">
        <v>366</v>
      </c>
      <c r="H714" t="s">
        <v>63</v>
      </c>
      <c r="I714">
        <v>8357</v>
      </c>
      <c r="J714">
        <v>272273</v>
      </c>
      <c r="L714" t="s">
        <v>1088</v>
      </c>
      <c r="M714" t="s">
        <v>65</v>
      </c>
      <c r="N714" t="s">
        <v>66</v>
      </c>
      <c r="O714" s="2">
        <v>46131</v>
      </c>
      <c r="P714" s="1">
        <v>189</v>
      </c>
      <c r="Q714" t="s">
        <v>67</v>
      </c>
      <c r="R714">
        <v>5.46</v>
      </c>
      <c r="S714">
        <v>1.49</v>
      </c>
      <c r="T714">
        <v>0.27</v>
      </c>
      <c r="U714">
        <v>183.27</v>
      </c>
      <c r="V714" s="1">
        <v>0</v>
      </c>
      <c r="X714">
        <v>20260420</v>
      </c>
      <c r="Z714" t="s">
        <v>72</v>
      </c>
      <c r="AA714">
        <v>3974527</v>
      </c>
      <c r="AB714" t="s">
        <v>77</v>
      </c>
      <c r="AE714">
        <v>0.81057870370370366</v>
      </c>
      <c r="AF714" t="s">
        <v>70</v>
      </c>
    </row>
    <row r="715" spans="1:32">
      <c r="A715">
        <v>1023366</v>
      </c>
      <c r="B715" t="s">
        <v>75</v>
      </c>
      <c r="C715" t="s">
        <v>62</v>
      </c>
      <c r="D715">
        <v>46131</v>
      </c>
      <c r="E715">
        <v>46131</v>
      </c>
      <c r="G715">
        <v>366</v>
      </c>
      <c r="H715" t="s">
        <v>63</v>
      </c>
      <c r="I715">
        <v>8359</v>
      </c>
      <c r="J715">
        <v>322463</v>
      </c>
      <c r="L715" t="s">
        <v>1089</v>
      </c>
      <c r="M715" t="s">
        <v>65</v>
      </c>
      <c r="N715" t="s">
        <v>66</v>
      </c>
      <c r="O715" s="2">
        <v>46131</v>
      </c>
      <c r="P715" s="1">
        <v>49</v>
      </c>
      <c r="Q715" t="s">
        <v>67</v>
      </c>
      <c r="R715">
        <v>1.42</v>
      </c>
      <c r="S715">
        <v>0.19</v>
      </c>
      <c r="T715">
        <v>0.03</v>
      </c>
      <c r="U715">
        <v>47.55</v>
      </c>
      <c r="V715" s="1">
        <v>0</v>
      </c>
      <c r="X715">
        <v>20260420</v>
      </c>
      <c r="Z715" t="s">
        <v>72</v>
      </c>
      <c r="AA715">
        <v>3974527</v>
      </c>
      <c r="AB715" t="s">
        <v>77</v>
      </c>
      <c r="AE715">
        <v>0.81407407407407406</v>
      </c>
      <c r="AF715" t="s">
        <v>70</v>
      </c>
    </row>
    <row r="716" spans="1:32">
      <c r="A716">
        <v>1023366</v>
      </c>
      <c r="B716" t="s">
        <v>75</v>
      </c>
      <c r="C716" t="s">
        <v>62</v>
      </c>
      <c r="D716">
        <v>46131</v>
      </c>
      <c r="E716">
        <v>46131</v>
      </c>
      <c r="G716">
        <v>366</v>
      </c>
      <c r="H716" t="s">
        <v>63</v>
      </c>
      <c r="I716">
        <v>8361</v>
      </c>
      <c r="J716">
        <v>143987</v>
      </c>
      <c r="K716">
        <v>3</v>
      </c>
      <c r="L716" t="s">
        <v>1090</v>
      </c>
      <c r="M716" t="s">
        <v>65</v>
      </c>
      <c r="N716" t="s">
        <v>66</v>
      </c>
      <c r="O716" s="2">
        <v>46131</v>
      </c>
      <c r="P716" s="1">
        <v>988</v>
      </c>
      <c r="Q716" t="s">
        <v>67</v>
      </c>
      <c r="R716">
        <v>45.84</v>
      </c>
      <c r="S716">
        <v>5.83</v>
      </c>
      <c r="T716">
        <v>1.05</v>
      </c>
      <c r="U716">
        <v>941.11</v>
      </c>
      <c r="V716" s="1">
        <v>0</v>
      </c>
      <c r="X716">
        <v>20260420</v>
      </c>
      <c r="Z716" t="s">
        <v>72</v>
      </c>
      <c r="AA716">
        <v>3974527</v>
      </c>
      <c r="AB716" t="s">
        <v>93</v>
      </c>
      <c r="AC716" t="s">
        <v>120</v>
      </c>
      <c r="AE716">
        <v>0.81670138888888888</v>
      </c>
      <c r="AF716" t="s">
        <v>70</v>
      </c>
    </row>
    <row r="717" spans="1:32">
      <c r="A717">
        <v>1023366</v>
      </c>
      <c r="B717" t="s">
        <v>75</v>
      </c>
      <c r="C717" t="s">
        <v>62</v>
      </c>
      <c r="D717">
        <v>46131</v>
      </c>
      <c r="E717">
        <v>46131</v>
      </c>
      <c r="G717">
        <v>366</v>
      </c>
      <c r="H717" t="s">
        <v>63</v>
      </c>
      <c r="I717">
        <v>8363</v>
      </c>
      <c r="J717">
        <v>473769</v>
      </c>
      <c r="L717" t="s">
        <v>1091</v>
      </c>
      <c r="M717" t="s">
        <v>65</v>
      </c>
      <c r="N717" t="s">
        <v>66</v>
      </c>
      <c r="O717" s="2">
        <v>46131</v>
      </c>
      <c r="P717" s="1">
        <v>118</v>
      </c>
      <c r="Q717" t="s">
        <v>67</v>
      </c>
      <c r="R717">
        <v>3.41</v>
      </c>
      <c r="S717">
        <v>0.46</v>
      </c>
      <c r="T717">
        <v>0.08</v>
      </c>
      <c r="U717">
        <v>114.51</v>
      </c>
      <c r="V717" s="1">
        <v>0</v>
      </c>
      <c r="X717">
        <v>20260420</v>
      </c>
      <c r="Z717" t="s">
        <v>72</v>
      </c>
      <c r="AA717">
        <v>3974527</v>
      </c>
      <c r="AB717" t="s">
        <v>77</v>
      </c>
      <c r="AE717">
        <v>0.82464120370370375</v>
      </c>
      <c r="AF717" t="s">
        <v>70</v>
      </c>
    </row>
    <row r="718" spans="1:32">
      <c r="A718">
        <v>1023366</v>
      </c>
      <c r="B718" t="s">
        <v>75</v>
      </c>
      <c r="C718" t="s">
        <v>62</v>
      </c>
      <c r="D718">
        <v>46131</v>
      </c>
      <c r="E718">
        <v>46131</v>
      </c>
      <c r="G718">
        <v>366</v>
      </c>
      <c r="H718" t="s">
        <v>63</v>
      </c>
      <c r="I718">
        <v>8366</v>
      </c>
      <c r="J718" t="s">
        <v>1092</v>
      </c>
      <c r="L718" t="s">
        <v>1093</v>
      </c>
      <c r="M718" t="s">
        <v>96</v>
      </c>
      <c r="N718" t="s">
        <v>66</v>
      </c>
      <c r="O718" s="2">
        <v>46131</v>
      </c>
      <c r="P718" s="1">
        <v>19.899999999999999</v>
      </c>
      <c r="Q718" t="s">
        <v>67</v>
      </c>
      <c r="R718">
        <v>0.78</v>
      </c>
      <c r="S718">
        <v>0.39</v>
      </c>
      <c r="T718">
        <v>7.0000000000000007E-2</v>
      </c>
      <c r="U718">
        <v>19.05</v>
      </c>
      <c r="V718" s="1">
        <v>12483.88</v>
      </c>
      <c r="W718">
        <v>46132</v>
      </c>
      <c r="X718">
        <v>20260420</v>
      </c>
      <c r="Z718" t="s">
        <v>68</v>
      </c>
      <c r="AA718">
        <v>3974527</v>
      </c>
      <c r="AB718" t="s">
        <v>97</v>
      </c>
      <c r="AE718">
        <v>0.83136574074074077</v>
      </c>
      <c r="AF718" t="s">
        <v>70</v>
      </c>
    </row>
    <row r="719" spans="1:32">
      <c r="A719">
        <v>1023366</v>
      </c>
      <c r="B719" t="s">
        <v>201</v>
      </c>
      <c r="C719" t="s">
        <v>62</v>
      </c>
      <c r="D719">
        <v>46131</v>
      </c>
      <c r="E719">
        <v>46131</v>
      </c>
      <c r="G719">
        <v>366</v>
      </c>
      <c r="H719" t="s">
        <v>63</v>
      </c>
      <c r="I719">
        <v>8344</v>
      </c>
      <c r="J719">
        <v>76762</v>
      </c>
      <c r="L719" t="s">
        <v>1094</v>
      </c>
      <c r="M719" t="s">
        <v>65</v>
      </c>
      <c r="N719" t="s">
        <v>66</v>
      </c>
      <c r="O719" s="2">
        <v>46131</v>
      </c>
      <c r="P719" s="1">
        <v>1899</v>
      </c>
      <c r="Q719" t="s">
        <v>67</v>
      </c>
      <c r="R719">
        <v>54.88</v>
      </c>
      <c r="S719">
        <v>15</v>
      </c>
      <c r="T719">
        <v>2.7</v>
      </c>
      <c r="U719">
        <v>1841.42</v>
      </c>
      <c r="V719" s="1">
        <v>1841.42</v>
      </c>
      <c r="W719">
        <v>46132</v>
      </c>
      <c r="X719">
        <v>20260420</v>
      </c>
      <c r="Z719" t="s">
        <v>72</v>
      </c>
      <c r="AA719">
        <v>3974527</v>
      </c>
      <c r="AB719" t="s">
        <v>203</v>
      </c>
      <c r="AE719">
        <v>0.76206018518518515</v>
      </c>
      <c r="AF719" t="s">
        <v>70</v>
      </c>
    </row>
    <row r="720" spans="1:32">
      <c r="A720">
        <v>1023366</v>
      </c>
      <c r="B720" t="s">
        <v>75</v>
      </c>
      <c r="C720" t="s">
        <v>62</v>
      </c>
      <c r="D720">
        <v>46132</v>
      </c>
      <c r="E720">
        <v>46132</v>
      </c>
      <c r="G720">
        <v>667</v>
      </c>
      <c r="H720" t="s">
        <v>720</v>
      </c>
      <c r="I720">
        <v>9200</v>
      </c>
      <c r="J720">
        <v>634643</v>
      </c>
      <c r="L720" t="s">
        <v>1095</v>
      </c>
      <c r="M720" t="s">
        <v>65</v>
      </c>
      <c r="N720" t="s">
        <v>66</v>
      </c>
      <c r="O720" s="2">
        <v>46132</v>
      </c>
      <c r="P720" s="1">
        <v>3999</v>
      </c>
      <c r="Q720" t="s">
        <v>67</v>
      </c>
      <c r="R720">
        <v>115.57</v>
      </c>
      <c r="S720">
        <v>51.59</v>
      </c>
      <c r="T720">
        <v>9.2899999999999991</v>
      </c>
      <c r="U720">
        <v>3874.14</v>
      </c>
      <c r="V720" s="1">
        <v>0</v>
      </c>
      <c r="X720">
        <v>20260421</v>
      </c>
      <c r="Z720" t="s">
        <v>68</v>
      </c>
      <c r="AA720" t="s">
        <v>350</v>
      </c>
      <c r="AB720" t="s">
        <v>79</v>
      </c>
      <c r="AE720">
        <v>0.8056712962962963</v>
      </c>
      <c r="AF720" t="s">
        <v>70</v>
      </c>
    </row>
    <row r="721" spans="1:32">
      <c r="A721">
        <v>1023366</v>
      </c>
      <c r="B721" t="s">
        <v>75</v>
      </c>
      <c r="C721" t="s">
        <v>62</v>
      </c>
      <c r="D721">
        <v>46132</v>
      </c>
      <c r="E721">
        <v>46132</v>
      </c>
      <c r="G721">
        <v>367</v>
      </c>
      <c r="H721" t="s">
        <v>63</v>
      </c>
      <c r="I721">
        <v>8383</v>
      </c>
      <c r="J721">
        <v>101222</v>
      </c>
      <c r="L721" t="s">
        <v>1096</v>
      </c>
      <c r="M721" t="s">
        <v>65</v>
      </c>
      <c r="N721" t="s">
        <v>66</v>
      </c>
      <c r="O721" s="2">
        <v>46132</v>
      </c>
      <c r="P721" s="1">
        <v>34.9</v>
      </c>
      <c r="Q721" t="s">
        <v>67</v>
      </c>
      <c r="R721">
        <v>1.01</v>
      </c>
      <c r="S721">
        <v>0.45</v>
      </c>
      <c r="T721">
        <v>0.08</v>
      </c>
      <c r="U721">
        <v>33.81</v>
      </c>
      <c r="V721" s="1">
        <v>0</v>
      </c>
      <c r="X721">
        <v>20260421</v>
      </c>
      <c r="Z721" t="s">
        <v>68</v>
      </c>
      <c r="AA721">
        <v>3974527</v>
      </c>
      <c r="AB721" t="s">
        <v>77</v>
      </c>
      <c r="AE721">
        <v>0.57172453703703707</v>
      </c>
      <c r="AF721" t="s">
        <v>70</v>
      </c>
    </row>
    <row r="722" spans="1:32">
      <c r="A722">
        <v>1023366</v>
      </c>
      <c r="B722" t="s">
        <v>75</v>
      </c>
      <c r="C722" t="s">
        <v>62</v>
      </c>
      <c r="D722">
        <v>46132</v>
      </c>
      <c r="E722">
        <v>46132</v>
      </c>
      <c r="G722">
        <v>367</v>
      </c>
      <c r="H722">
        <v>65656565</v>
      </c>
      <c r="I722">
        <v>8385</v>
      </c>
      <c r="J722">
        <v>446047</v>
      </c>
      <c r="L722" t="s">
        <v>1097</v>
      </c>
      <c r="M722" t="s">
        <v>65</v>
      </c>
      <c r="N722" t="s">
        <v>66</v>
      </c>
      <c r="O722" s="2">
        <v>46132</v>
      </c>
      <c r="P722" s="1">
        <v>34.9</v>
      </c>
      <c r="Q722" t="s">
        <v>67</v>
      </c>
      <c r="R722">
        <v>1</v>
      </c>
      <c r="S722">
        <v>0.44</v>
      </c>
      <c r="T722">
        <v>0.08</v>
      </c>
      <c r="U722">
        <v>33.82</v>
      </c>
      <c r="V722" s="1">
        <v>0</v>
      </c>
      <c r="X722">
        <v>20260421</v>
      </c>
      <c r="Z722" t="s">
        <v>68</v>
      </c>
      <c r="AA722">
        <v>3974527</v>
      </c>
      <c r="AB722" t="s">
        <v>79</v>
      </c>
      <c r="AD722" t="s">
        <v>88</v>
      </c>
      <c r="AE722">
        <v>0.59031250000000002</v>
      </c>
      <c r="AF722" t="s">
        <v>70</v>
      </c>
    </row>
    <row r="723" spans="1:32">
      <c r="A723">
        <v>1023366</v>
      </c>
      <c r="B723" t="s">
        <v>75</v>
      </c>
      <c r="C723" t="s">
        <v>62</v>
      </c>
      <c r="D723">
        <v>46132</v>
      </c>
      <c r="E723">
        <v>46132</v>
      </c>
      <c r="G723">
        <v>367</v>
      </c>
      <c r="H723" t="s">
        <v>63</v>
      </c>
      <c r="I723">
        <v>8388</v>
      </c>
      <c r="J723">
        <v>241410</v>
      </c>
      <c r="L723" t="s">
        <v>1098</v>
      </c>
      <c r="M723" t="s">
        <v>65</v>
      </c>
      <c r="N723" t="s">
        <v>66</v>
      </c>
      <c r="O723" s="2">
        <v>46132</v>
      </c>
      <c r="P723" s="1">
        <v>786</v>
      </c>
      <c r="Q723" t="s">
        <v>67</v>
      </c>
      <c r="R723">
        <v>22.72</v>
      </c>
      <c r="S723">
        <v>6.21</v>
      </c>
      <c r="T723">
        <v>1.1200000000000001</v>
      </c>
      <c r="U723">
        <v>762.16</v>
      </c>
      <c r="V723" s="1">
        <v>0</v>
      </c>
      <c r="X723">
        <v>20260421</v>
      </c>
      <c r="Z723" t="s">
        <v>68</v>
      </c>
      <c r="AA723">
        <v>3974527</v>
      </c>
      <c r="AB723" t="s">
        <v>93</v>
      </c>
      <c r="AE723">
        <v>0.59707175925925926</v>
      </c>
      <c r="AF723" t="s">
        <v>70</v>
      </c>
    </row>
    <row r="724" spans="1:32">
      <c r="A724">
        <v>1023366</v>
      </c>
      <c r="B724" t="s">
        <v>75</v>
      </c>
      <c r="C724" t="s">
        <v>62</v>
      </c>
      <c r="D724">
        <v>46132</v>
      </c>
      <c r="E724">
        <v>46132</v>
      </c>
      <c r="G724">
        <v>367</v>
      </c>
      <c r="H724" t="s">
        <v>63</v>
      </c>
      <c r="I724">
        <v>8392</v>
      </c>
      <c r="J724">
        <v>607045</v>
      </c>
      <c r="K724">
        <v>2</v>
      </c>
      <c r="L724" t="s">
        <v>1099</v>
      </c>
      <c r="M724" t="s">
        <v>65</v>
      </c>
      <c r="N724" t="s">
        <v>66</v>
      </c>
      <c r="O724" s="2">
        <v>46132</v>
      </c>
      <c r="P724" s="1">
        <v>199</v>
      </c>
      <c r="Q724" t="s">
        <v>67</v>
      </c>
      <c r="R724">
        <v>9.23</v>
      </c>
      <c r="S724">
        <v>1.57</v>
      </c>
      <c r="T724">
        <v>0.28000000000000003</v>
      </c>
      <c r="U724">
        <v>189.49</v>
      </c>
      <c r="V724" s="1">
        <v>0</v>
      </c>
      <c r="X724">
        <v>20260421</v>
      </c>
      <c r="Z724" t="s">
        <v>72</v>
      </c>
      <c r="AA724">
        <v>3974527</v>
      </c>
      <c r="AB724" t="s">
        <v>93</v>
      </c>
      <c r="AC724" t="s">
        <v>120</v>
      </c>
      <c r="AE724">
        <v>0.67980324074074072</v>
      </c>
      <c r="AF724" t="s">
        <v>70</v>
      </c>
    </row>
    <row r="725" spans="1:32">
      <c r="A725">
        <v>1023366</v>
      </c>
      <c r="B725" t="s">
        <v>75</v>
      </c>
      <c r="C725" t="s">
        <v>62</v>
      </c>
      <c r="D725">
        <v>46132</v>
      </c>
      <c r="E725">
        <v>46132</v>
      </c>
      <c r="G725">
        <v>367</v>
      </c>
      <c r="H725" t="s">
        <v>63</v>
      </c>
      <c r="I725">
        <v>8397</v>
      </c>
      <c r="J725">
        <v>899399</v>
      </c>
      <c r="L725" t="s">
        <v>1100</v>
      </c>
      <c r="M725" t="s">
        <v>65</v>
      </c>
      <c r="N725" t="s">
        <v>66</v>
      </c>
      <c r="O725" s="2">
        <v>46132</v>
      </c>
      <c r="P725" s="1">
        <v>139</v>
      </c>
      <c r="Q725" t="s">
        <v>67</v>
      </c>
      <c r="R725">
        <v>4.0199999999999996</v>
      </c>
      <c r="S725">
        <v>1.8</v>
      </c>
      <c r="T725">
        <v>0.32</v>
      </c>
      <c r="U725">
        <v>134.66</v>
      </c>
      <c r="V725" s="1">
        <v>0</v>
      </c>
      <c r="X725">
        <v>20260421</v>
      </c>
      <c r="Z725" t="s">
        <v>68</v>
      </c>
      <c r="AA725">
        <v>3974527</v>
      </c>
      <c r="AB725" t="s">
        <v>77</v>
      </c>
      <c r="AE725">
        <v>0.71722222222222221</v>
      </c>
      <c r="AF725" t="s">
        <v>70</v>
      </c>
    </row>
    <row r="726" spans="1:32">
      <c r="A726">
        <v>1023366</v>
      </c>
      <c r="B726" t="s">
        <v>75</v>
      </c>
      <c r="C726" t="s">
        <v>62</v>
      </c>
      <c r="D726">
        <v>46132</v>
      </c>
      <c r="E726">
        <v>46132</v>
      </c>
      <c r="G726">
        <v>367</v>
      </c>
      <c r="H726" t="s">
        <v>63</v>
      </c>
      <c r="I726">
        <v>8399</v>
      </c>
      <c r="J726">
        <v>1610</v>
      </c>
      <c r="L726" t="s">
        <v>1101</v>
      </c>
      <c r="M726" t="s">
        <v>65</v>
      </c>
      <c r="N726" t="s">
        <v>66</v>
      </c>
      <c r="O726" s="2">
        <v>46132</v>
      </c>
      <c r="P726" s="1">
        <v>327</v>
      </c>
      <c r="Q726" t="s">
        <v>67</v>
      </c>
      <c r="R726">
        <v>9.4499999999999993</v>
      </c>
      <c r="S726">
        <v>1.27</v>
      </c>
      <c r="T726">
        <v>0.23</v>
      </c>
      <c r="U726">
        <v>317.32</v>
      </c>
      <c r="V726" s="1">
        <v>0</v>
      </c>
      <c r="X726">
        <v>20260421</v>
      </c>
      <c r="Z726" t="s">
        <v>72</v>
      </c>
      <c r="AA726">
        <v>3974527</v>
      </c>
      <c r="AB726" t="s">
        <v>79</v>
      </c>
      <c r="AE726">
        <v>0.72531250000000003</v>
      </c>
      <c r="AF726" t="s">
        <v>70</v>
      </c>
    </row>
    <row r="727" spans="1:32">
      <c r="A727">
        <v>1023366</v>
      </c>
      <c r="B727" t="s">
        <v>75</v>
      </c>
      <c r="C727" t="s">
        <v>62</v>
      </c>
      <c r="D727">
        <v>46132</v>
      </c>
      <c r="E727">
        <v>46132</v>
      </c>
      <c r="G727">
        <v>367</v>
      </c>
      <c r="H727" t="s">
        <v>63</v>
      </c>
      <c r="I727">
        <v>8401</v>
      </c>
      <c r="J727">
        <v>496742</v>
      </c>
      <c r="L727" t="s">
        <v>1102</v>
      </c>
      <c r="M727" t="s">
        <v>65</v>
      </c>
      <c r="N727" t="s">
        <v>66</v>
      </c>
      <c r="O727" s="2">
        <v>46132</v>
      </c>
      <c r="P727" s="1">
        <v>189</v>
      </c>
      <c r="Q727" t="s">
        <v>67</v>
      </c>
      <c r="R727">
        <v>5.46</v>
      </c>
      <c r="S727">
        <v>2.44</v>
      </c>
      <c r="T727">
        <v>0.44</v>
      </c>
      <c r="U727">
        <v>183.1</v>
      </c>
      <c r="V727" s="1">
        <v>0</v>
      </c>
      <c r="X727">
        <v>20260421</v>
      </c>
      <c r="Z727" t="s">
        <v>68</v>
      </c>
      <c r="AA727">
        <v>3974527</v>
      </c>
      <c r="AB727" t="s">
        <v>81</v>
      </c>
      <c r="AE727">
        <v>0.72892361111111115</v>
      </c>
      <c r="AF727" t="s">
        <v>70</v>
      </c>
    </row>
    <row r="728" spans="1:32">
      <c r="A728">
        <v>1023366</v>
      </c>
      <c r="B728" t="s">
        <v>75</v>
      </c>
      <c r="C728" t="s">
        <v>62</v>
      </c>
      <c r="D728">
        <v>46132</v>
      </c>
      <c r="E728">
        <v>46132</v>
      </c>
      <c r="G728">
        <v>367</v>
      </c>
      <c r="H728" t="s">
        <v>63</v>
      </c>
      <c r="I728">
        <v>8404</v>
      </c>
      <c r="J728">
        <v>505298</v>
      </c>
      <c r="L728" t="s">
        <v>1103</v>
      </c>
      <c r="M728" t="s">
        <v>65</v>
      </c>
      <c r="N728" t="s">
        <v>66</v>
      </c>
      <c r="O728" s="2">
        <v>46132</v>
      </c>
      <c r="P728" s="1">
        <v>149</v>
      </c>
      <c r="Q728" t="s">
        <v>67</v>
      </c>
      <c r="R728">
        <v>4.3099999999999996</v>
      </c>
      <c r="S728">
        <v>1.93</v>
      </c>
      <c r="T728">
        <v>0.35</v>
      </c>
      <c r="U728">
        <v>144.34</v>
      </c>
      <c r="V728" s="1">
        <v>0</v>
      </c>
      <c r="X728">
        <v>20260421</v>
      </c>
      <c r="Z728" t="s">
        <v>68</v>
      </c>
      <c r="AA728">
        <v>3974527</v>
      </c>
      <c r="AB728" t="s">
        <v>81</v>
      </c>
      <c r="AE728">
        <v>0.76249999999999996</v>
      </c>
      <c r="AF728" t="s">
        <v>70</v>
      </c>
    </row>
    <row r="729" spans="1:32">
      <c r="A729">
        <v>1023366</v>
      </c>
      <c r="B729" t="s">
        <v>75</v>
      </c>
      <c r="C729" t="s">
        <v>62</v>
      </c>
      <c r="D729">
        <v>46132</v>
      </c>
      <c r="E729">
        <v>46132</v>
      </c>
      <c r="G729">
        <v>367</v>
      </c>
      <c r="H729" t="s">
        <v>63</v>
      </c>
      <c r="I729">
        <v>8407</v>
      </c>
      <c r="J729">
        <v>610845</v>
      </c>
      <c r="L729" t="s">
        <v>1104</v>
      </c>
      <c r="M729" t="s">
        <v>65</v>
      </c>
      <c r="N729" t="s">
        <v>66</v>
      </c>
      <c r="O729" s="2">
        <v>46132</v>
      </c>
      <c r="P729" s="1">
        <v>149</v>
      </c>
      <c r="Q729" t="s">
        <v>67</v>
      </c>
      <c r="R729">
        <v>4.3099999999999996</v>
      </c>
      <c r="S729">
        <v>1.93</v>
      </c>
      <c r="T729">
        <v>0.35</v>
      </c>
      <c r="U729">
        <v>144.34</v>
      </c>
      <c r="V729" s="1">
        <v>0</v>
      </c>
      <c r="X729">
        <v>20260421</v>
      </c>
      <c r="Z729" t="s">
        <v>68</v>
      </c>
      <c r="AA729">
        <v>3974527</v>
      </c>
      <c r="AB729" t="s">
        <v>81</v>
      </c>
      <c r="AE729">
        <v>0.77033564814814814</v>
      </c>
      <c r="AF729" t="s">
        <v>70</v>
      </c>
    </row>
    <row r="730" spans="1:32">
      <c r="A730">
        <v>1023366</v>
      </c>
      <c r="B730" t="s">
        <v>75</v>
      </c>
      <c r="C730" t="s">
        <v>62</v>
      </c>
      <c r="D730">
        <v>46132</v>
      </c>
      <c r="E730">
        <v>46132</v>
      </c>
      <c r="G730">
        <v>367</v>
      </c>
      <c r="H730" t="s">
        <v>63</v>
      </c>
      <c r="I730">
        <v>8409</v>
      </c>
      <c r="J730">
        <v>366992</v>
      </c>
      <c r="K730">
        <v>2</v>
      </c>
      <c r="L730" t="s">
        <v>1105</v>
      </c>
      <c r="M730" t="s">
        <v>65</v>
      </c>
      <c r="N730" t="s">
        <v>66</v>
      </c>
      <c r="O730" s="2">
        <v>46132</v>
      </c>
      <c r="P730" s="1">
        <v>1748</v>
      </c>
      <c r="Q730" t="s">
        <v>67</v>
      </c>
      <c r="R730">
        <v>50.52</v>
      </c>
      <c r="S730">
        <v>10.32</v>
      </c>
      <c r="T730">
        <v>1.86</v>
      </c>
      <c r="U730">
        <v>1695.62</v>
      </c>
      <c r="V730" s="1">
        <v>0</v>
      </c>
      <c r="X730">
        <v>20260421</v>
      </c>
      <c r="Z730" t="s">
        <v>72</v>
      </c>
      <c r="AA730">
        <v>3974527</v>
      </c>
      <c r="AB730" t="s">
        <v>106</v>
      </c>
      <c r="AC730" t="s">
        <v>74</v>
      </c>
      <c r="AE730">
        <v>0.77266203703703706</v>
      </c>
      <c r="AF730" t="s">
        <v>70</v>
      </c>
    </row>
    <row r="731" spans="1:32">
      <c r="A731">
        <v>1023366</v>
      </c>
      <c r="B731" t="s">
        <v>75</v>
      </c>
      <c r="C731" t="s">
        <v>62</v>
      </c>
      <c r="D731">
        <v>46132</v>
      </c>
      <c r="E731">
        <v>46132</v>
      </c>
      <c r="G731">
        <v>367</v>
      </c>
      <c r="H731" t="s">
        <v>63</v>
      </c>
      <c r="I731">
        <v>8411</v>
      </c>
      <c r="J731">
        <v>1796</v>
      </c>
      <c r="L731" t="s">
        <v>1106</v>
      </c>
      <c r="M731" t="s">
        <v>65</v>
      </c>
      <c r="N731" t="s">
        <v>66</v>
      </c>
      <c r="O731" s="2">
        <v>46132</v>
      </c>
      <c r="P731" s="1">
        <v>89</v>
      </c>
      <c r="Q731" t="s">
        <v>67</v>
      </c>
      <c r="R731">
        <v>2.57</v>
      </c>
      <c r="S731">
        <v>0.34</v>
      </c>
      <c r="T731">
        <v>0.06</v>
      </c>
      <c r="U731">
        <v>86.37</v>
      </c>
      <c r="V731" s="1">
        <v>0</v>
      </c>
      <c r="X731">
        <v>20260421</v>
      </c>
      <c r="Z731" t="s">
        <v>72</v>
      </c>
      <c r="AA731">
        <v>3974527</v>
      </c>
      <c r="AB731" t="s">
        <v>79</v>
      </c>
      <c r="AE731">
        <v>0.77503472222222225</v>
      </c>
      <c r="AF731" t="s">
        <v>70</v>
      </c>
    </row>
    <row r="732" spans="1:32">
      <c r="A732">
        <v>1023366</v>
      </c>
      <c r="B732" t="s">
        <v>75</v>
      </c>
      <c r="C732" t="s">
        <v>62</v>
      </c>
      <c r="D732">
        <v>46132</v>
      </c>
      <c r="E732">
        <v>46132</v>
      </c>
      <c r="G732">
        <v>367</v>
      </c>
      <c r="H732" t="s">
        <v>63</v>
      </c>
      <c r="I732">
        <v>8414</v>
      </c>
      <c r="J732" t="s">
        <v>1107</v>
      </c>
      <c r="L732" t="s">
        <v>1108</v>
      </c>
      <c r="M732" t="s">
        <v>65</v>
      </c>
      <c r="N732" t="s">
        <v>66</v>
      </c>
      <c r="O732" s="2">
        <v>46132</v>
      </c>
      <c r="P732" s="1">
        <v>89.9</v>
      </c>
      <c r="Q732" t="s">
        <v>67</v>
      </c>
      <c r="R732">
        <v>2.6</v>
      </c>
      <c r="S732">
        <v>0.71</v>
      </c>
      <c r="T732">
        <v>0.13</v>
      </c>
      <c r="U732">
        <v>87.17</v>
      </c>
      <c r="V732" s="1">
        <v>0</v>
      </c>
      <c r="X732">
        <v>20260421</v>
      </c>
      <c r="Z732" t="s">
        <v>72</v>
      </c>
      <c r="AA732">
        <v>3974527</v>
      </c>
      <c r="AB732" t="s">
        <v>81</v>
      </c>
      <c r="AE732">
        <v>0.77734953703703702</v>
      </c>
      <c r="AF732" t="s">
        <v>70</v>
      </c>
    </row>
    <row r="733" spans="1:32">
      <c r="A733">
        <v>1023366</v>
      </c>
      <c r="B733" t="s">
        <v>75</v>
      </c>
      <c r="C733" t="s">
        <v>62</v>
      </c>
      <c r="D733">
        <v>46132</v>
      </c>
      <c r="E733">
        <v>46132</v>
      </c>
      <c r="G733">
        <v>367</v>
      </c>
      <c r="H733" t="s">
        <v>63</v>
      </c>
      <c r="I733">
        <v>8416</v>
      </c>
      <c r="J733">
        <v>122749</v>
      </c>
      <c r="K733">
        <v>2</v>
      </c>
      <c r="L733" t="s">
        <v>1109</v>
      </c>
      <c r="M733" t="s">
        <v>65</v>
      </c>
      <c r="N733" t="s">
        <v>66</v>
      </c>
      <c r="O733" s="2">
        <v>46132</v>
      </c>
      <c r="P733" s="1">
        <v>89.9</v>
      </c>
      <c r="Q733" t="s">
        <v>67</v>
      </c>
      <c r="R733">
        <v>4.17</v>
      </c>
      <c r="S733">
        <v>0.71</v>
      </c>
      <c r="T733">
        <v>0.13</v>
      </c>
      <c r="U733">
        <v>85.6</v>
      </c>
      <c r="V733" s="1">
        <v>0</v>
      </c>
      <c r="X733">
        <v>20260421</v>
      </c>
      <c r="Z733" t="s">
        <v>72</v>
      </c>
      <c r="AA733">
        <v>3974527</v>
      </c>
      <c r="AB733" t="s">
        <v>93</v>
      </c>
      <c r="AC733" t="s">
        <v>120</v>
      </c>
      <c r="AE733">
        <v>0.77878472222222217</v>
      </c>
      <c r="AF733" t="s">
        <v>70</v>
      </c>
    </row>
    <row r="734" spans="1:32">
      <c r="A734">
        <v>1023366</v>
      </c>
      <c r="B734" t="s">
        <v>75</v>
      </c>
      <c r="C734" t="s">
        <v>62</v>
      </c>
      <c r="D734">
        <v>46132</v>
      </c>
      <c r="E734">
        <v>46132</v>
      </c>
      <c r="G734">
        <v>367</v>
      </c>
      <c r="H734" t="s">
        <v>63</v>
      </c>
      <c r="I734">
        <v>8418</v>
      </c>
      <c r="J734">
        <v>146046</v>
      </c>
      <c r="L734" t="s">
        <v>1110</v>
      </c>
      <c r="M734" t="s">
        <v>65</v>
      </c>
      <c r="N734" t="s">
        <v>66</v>
      </c>
      <c r="O734" s="2">
        <v>46132</v>
      </c>
      <c r="P734" s="1">
        <v>149</v>
      </c>
      <c r="Q734" t="s">
        <v>67</v>
      </c>
      <c r="R734">
        <v>4.3099999999999996</v>
      </c>
      <c r="S734">
        <v>0.88</v>
      </c>
      <c r="T734">
        <v>0.16</v>
      </c>
      <c r="U734">
        <v>144.53</v>
      </c>
      <c r="V734" s="1">
        <v>0</v>
      </c>
      <c r="X734">
        <v>20260421</v>
      </c>
      <c r="Z734" t="s">
        <v>72</v>
      </c>
      <c r="AA734">
        <v>3974527</v>
      </c>
      <c r="AB734" t="s">
        <v>93</v>
      </c>
      <c r="AE734">
        <v>0.7826157407407407</v>
      </c>
      <c r="AF734" t="s">
        <v>70</v>
      </c>
    </row>
    <row r="735" spans="1:32">
      <c r="A735">
        <v>1023366</v>
      </c>
      <c r="B735" t="s">
        <v>75</v>
      </c>
      <c r="C735" t="s">
        <v>62</v>
      </c>
      <c r="D735">
        <v>46132</v>
      </c>
      <c r="E735">
        <v>46132</v>
      </c>
      <c r="G735">
        <v>367</v>
      </c>
      <c r="H735" t="s">
        <v>63</v>
      </c>
      <c r="I735">
        <v>8420</v>
      </c>
      <c r="J735">
        <v>3160</v>
      </c>
      <c r="L735" t="s">
        <v>1111</v>
      </c>
      <c r="M735" t="s">
        <v>65</v>
      </c>
      <c r="N735" t="s">
        <v>66</v>
      </c>
      <c r="O735" s="2">
        <v>46132</v>
      </c>
      <c r="P735" s="1">
        <v>177</v>
      </c>
      <c r="Q735" t="s">
        <v>67</v>
      </c>
      <c r="R735">
        <v>5.12</v>
      </c>
      <c r="S735">
        <v>1.4</v>
      </c>
      <c r="T735">
        <v>0.25</v>
      </c>
      <c r="U735">
        <v>171.63</v>
      </c>
      <c r="V735" s="1">
        <v>0</v>
      </c>
      <c r="X735">
        <v>20260421</v>
      </c>
      <c r="Z735" t="s">
        <v>72</v>
      </c>
      <c r="AA735">
        <v>3974527</v>
      </c>
      <c r="AB735" t="s">
        <v>79</v>
      </c>
      <c r="AE735">
        <v>0.78587962962962965</v>
      </c>
      <c r="AF735" t="s">
        <v>70</v>
      </c>
    </row>
    <row r="736" spans="1:32">
      <c r="A736">
        <v>1023366</v>
      </c>
      <c r="B736" t="s">
        <v>75</v>
      </c>
      <c r="C736" t="s">
        <v>62</v>
      </c>
      <c r="D736">
        <v>46132</v>
      </c>
      <c r="E736">
        <v>46132</v>
      </c>
      <c r="G736">
        <v>367</v>
      </c>
      <c r="H736" t="s">
        <v>63</v>
      </c>
      <c r="I736">
        <v>8422</v>
      </c>
      <c r="J736">
        <v>930452</v>
      </c>
      <c r="L736" t="s">
        <v>1112</v>
      </c>
      <c r="M736" t="s">
        <v>65</v>
      </c>
      <c r="N736" t="s">
        <v>66</v>
      </c>
      <c r="O736" s="2">
        <v>46132</v>
      </c>
      <c r="P736" s="1">
        <v>1800</v>
      </c>
      <c r="Q736" t="s">
        <v>67</v>
      </c>
      <c r="R736">
        <v>52.02</v>
      </c>
      <c r="S736">
        <v>23.22</v>
      </c>
      <c r="T736">
        <v>4.18</v>
      </c>
      <c r="U736">
        <v>1743.8</v>
      </c>
      <c r="V736" s="1">
        <v>0</v>
      </c>
      <c r="X736">
        <v>20260421</v>
      </c>
      <c r="Z736" t="s">
        <v>68</v>
      </c>
      <c r="AA736">
        <v>3974527</v>
      </c>
      <c r="AB736" t="s">
        <v>79</v>
      </c>
      <c r="AE736">
        <v>0.78684027777777776</v>
      </c>
      <c r="AF736" t="s">
        <v>70</v>
      </c>
    </row>
    <row r="737" spans="1:32">
      <c r="A737">
        <v>1023366</v>
      </c>
      <c r="B737" t="s">
        <v>75</v>
      </c>
      <c r="C737" t="s">
        <v>62</v>
      </c>
      <c r="D737">
        <v>46132</v>
      </c>
      <c r="E737">
        <v>46132</v>
      </c>
      <c r="G737">
        <v>367</v>
      </c>
      <c r="H737" t="s">
        <v>63</v>
      </c>
      <c r="I737">
        <v>8424</v>
      </c>
      <c r="J737">
        <v>707953</v>
      </c>
      <c r="L737" t="s">
        <v>1113</v>
      </c>
      <c r="M737" t="s">
        <v>65</v>
      </c>
      <c r="N737" t="s">
        <v>66</v>
      </c>
      <c r="O737" s="2">
        <v>46132</v>
      </c>
      <c r="P737" s="1">
        <v>55</v>
      </c>
      <c r="Q737" t="s">
        <v>67</v>
      </c>
      <c r="R737">
        <v>1.59</v>
      </c>
      <c r="S737">
        <v>0.71</v>
      </c>
      <c r="T737">
        <v>0.13</v>
      </c>
      <c r="U737">
        <v>53.28</v>
      </c>
      <c r="V737" s="1">
        <v>0</v>
      </c>
      <c r="X737">
        <v>20260421</v>
      </c>
      <c r="Z737" t="s">
        <v>68</v>
      </c>
      <c r="AA737">
        <v>3974527</v>
      </c>
      <c r="AB737" t="s">
        <v>79</v>
      </c>
      <c r="AE737">
        <v>0.8034027777777778</v>
      </c>
      <c r="AF737" t="s">
        <v>70</v>
      </c>
    </row>
    <row r="738" spans="1:32">
      <c r="A738">
        <v>1023366</v>
      </c>
      <c r="B738" t="s">
        <v>75</v>
      </c>
      <c r="C738" t="s">
        <v>62</v>
      </c>
      <c r="D738">
        <v>46132</v>
      </c>
      <c r="E738">
        <v>46132</v>
      </c>
      <c r="G738">
        <v>367</v>
      </c>
      <c r="H738" t="s">
        <v>63</v>
      </c>
      <c r="I738">
        <v>8428</v>
      </c>
      <c r="J738">
        <v>709262</v>
      </c>
      <c r="L738" t="s">
        <v>1114</v>
      </c>
      <c r="M738" t="s">
        <v>65</v>
      </c>
      <c r="N738" t="s">
        <v>66</v>
      </c>
      <c r="O738" s="2">
        <v>46132</v>
      </c>
      <c r="P738" s="1">
        <v>139</v>
      </c>
      <c r="Q738" t="s">
        <v>67</v>
      </c>
      <c r="R738">
        <v>4.0199999999999996</v>
      </c>
      <c r="S738">
        <v>1.8</v>
      </c>
      <c r="T738">
        <v>0.32</v>
      </c>
      <c r="U738">
        <v>134.66</v>
      </c>
      <c r="V738" s="1">
        <v>0</v>
      </c>
      <c r="X738">
        <v>20260421</v>
      </c>
      <c r="Z738" t="s">
        <v>68</v>
      </c>
      <c r="AA738">
        <v>3974527</v>
      </c>
      <c r="AB738" t="s">
        <v>79</v>
      </c>
      <c r="AE738">
        <v>0.83089120370370373</v>
      </c>
      <c r="AF738" t="s">
        <v>70</v>
      </c>
    </row>
    <row r="739" spans="1:32">
      <c r="A739">
        <v>1023366</v>
      </c>
      <c r="B739" t="s">
        <v>75</v>
      </c>
      <c r="C739" t="s">
        <v>62</v>
      </c>
      <c r="D739">
        <v>46132</v>
      </c>
      <c r="E739">
        <v>46132</v>
      </c>
      <c r="G739">
        <v>367</v>
      </c>
      <c r="H739" t="s">
        <v>63</v>
      </c>
      <c r="I739">
        <v>8430</v>
      </c>
      <c r="J739">
        <v>144</v>
      </c>
      <c r="L739" t="s">
        <v>1115</v>
      </c>
      <c r="M739" t="s">
        <v>65</v>
      </c>
      <c r="N739" t="s">
        <v>66</v>
      </c>
      <c r="O739" s="2">
        <v>46132</v>
      </c>
      <c r="P739" s="1">
        <v>149</v>
      </c>
      <c r="Q739" t="s">
        <v>67</v>
      </c>
      <c r="R739">
        <v>4.3099999999999996</v>
      </c>
      <c r="S739">
        <v>1.18</v>
      </c>
      <c r="T739">
        <v>0.21</v>
      </c>
      <c r="U739">
        <v>144.47999999999999</v>
      </c>
      <c r="V739" s="1">
        <v>0</v>
      </c>
      <c r="X739">
        <v>20260421</v>
      </c>
      <c r="Z739" t="s">
        <v>72</v>
      </c>
      <c r="AA739">
        <v>3974527</v>
      </c>
      <c r="AB739" t="s">
        <v>79</v>
      </c>
      <c r="AE739">
        <v>0.84056712962962965</v>
      </c>
      <c r="AF739" t="s">
        <v>70</v>
      </c>
    </row>
    <row r="740" spans="1:32">
      <c r="A740">
        <v>1023366</v>
      </c>
      <c r="B740" t="s">
        <v>75</v>
      </c>
      <c r="C740" t="s">
        <v>62</v>
      </c>
      <c r="D740">
        <v>46132</v>
      </c>
      <c r="E740">
        <v>46132</v>
      </c>
      <c r="G740">
        <v>367</v>
      </c>
      <c r="H740" t="s">
        <v>63</v>
      </c>
      <c r="I740">
        <v>8432</v>
      </c>
      <c r="J740">
        <v>222963</v>
      </c>
      <c r="L740" t="s">
        <v>1116</v>
      </c>
      <c r="M740" t="s">
        <v>65</v>
      </c>
      <c r="N740" t="s">
        <v>66</v>
      </c>
      <c r="O740" s="2">
        <v>46132</v>
      </c>
      <c r="P740" s="1">
        <v>298</v>
      </c>
      <c r="Q740" t="s">
        <v>67</v>
      </c>
      <c r="R740">
        <v>8.61</v>
      </c>
      <c r="S740">
        <v>1.76</v>
      </c>
      <c r="T740">
        <v>0.32</v>
      </c>
      <c r="U740">
        <v>289.07</v>
      </c>
      <c r="V740" s="1">
        <v>0</v>
      </c>
      <c r="X740">
        <v>20260421</v>
      </c>
      <c r="Z740" t="s">
        <v>72</v>
      </c>
      <c r="AA740">
        <v>3974527</v>
      </c>
      <c r="AB740" t="s">
        <v>77</v>
      </c>
      <c r="AE740">
        <v>0.84884259259259254</v>
      </c>
      <c r="AF740" t="s">
        <v>70</v>
      </c>
    </row>
    <row r="741" spans="1:32">
      <c r="A741">
        <v>1023366</v>
      </c>
      <c r="B741" t="s">
        <v>75</v>
      </c>
      <c r="C741" t="s">
        <v>62</v>
      </c>
      <c r="D741">
        <v>46132</v>
      </c>
      <c r="E741">
        <v>46132</v>
      </c>
      <c r="G741">
        <v>367</v>
      </c>
      <c r="H741" t="s">
        <v>63</v>
      </c>
      <c r="I741">
        <v>8435</v>
      </c>
      <c r="J741">
        <v>538161</v>
      </c>
      <c r="L741" t="s">
        <v>903</v>
      </c>
      <c r="M741" t="s">
        <v>65</v>
      </c>
      <c r="N741" t="s">
        <v>66</v>
      </c>
      <c r="O741" s="2">
        <v>46132</v>
      </c>
      <c r="P741" s="1">
        <v>89</v>
      </c>
      <c r="Q741" t="s">
        <v>67</v>
      </c>
      <c r="R741">
        <v>2.57</v>
      </c>
      <c r="S741">
        <v>1.1499999999999999</v>
      </c>
      <c r="T741">
        <v>0.21</v>
      </c>
      <c r="U741">
        <v>86.22</v>
      </c>
      <c r="V741" s="1">
        <v>0</v>
      </c>
      <c r="X741">
        <v>20260421</v>
      </c>
      <c r="Z741" t="s">
        <v>68</v>
      </c>
      <c r="AA741">
        <v>3974527</v>
      </c>
      <c r="AB741" t="s">
        <v>81</v>
      </c>
      <c r="AE741">
        <v>0.85047453703703701</v>
      </c>
      <c r="AF741" t="s">
        <v>70</v>
      </c>
    </row>
    <row r="742" spans="1:32">
      <c r="A742">
        <v>1023366</v>
      </c>
      <c r="B742" t="s">
        <v>75</v>
      </c>
      <c r="C742" t="s">
        <v>62</v>
      </c>
      <c r="D742">
        <v>46132</v>
      </c>
      <c r="E742">
        <v>46132</v>
      </c>
      <c r="G742">
        <v>367</v>
      </c>
      <c r="H742" t="s">
        <v>63</v>
      </c>
      <c r="I742">
        <v>8437</v>
      </c>
      <c r="J742">
        <v>734</v>
      </c>
      <c r="L742" t="s">
        <v>1117</v>
      </c>
      <c r="M742" t="s">
        <v>65</v>
      </c>
      <c r="N742" t="s">
        <v>66</v>
      </c>
      <c r="O742" s="2">
        <v>46132</v>
      </c>
      <c r="P742" s="1">
        <v>149</v>
      </c>
      <c r="Q742" t="s">
        <v>67</v>
      </c>
      <c r="R742">
        <v>4.3099999999999996</v>
      </c>
      <c r="S742">
        <v>0.88</v>
      </c>
      <c r="T742">
        <v>0.16</v>
      </c>
      <c r="U742">
        <v>144.53</v>
      </c>
      <c r="V742" s="1">
        <v>10684.14</v>
      </c>
      <c r="W742">
        <v>46133</v>
      </c>
      <c r="X742">
        <v>20260421</v>
      </c>
      <c r="Z742" t="s">
        <v>72</v>
      </c>
      <c r="AA742">
        <v>3974527</v>
      </c>
      <c r="AB742" t="s">
        <v>79</v>
      </c>
      <c r="AE742">
        <v>0.87222222222222223</v>
      </c>
      <c r="AF742" t="s">
        <v>70</v>
      </c>
    </row>
    <row r="743" spans="1:32">
      <c r="A743">
        <v>1023366</v>
      </c>
      <c r="B743" t="s">
        <v>61</v>
      </c>
      <c r="C743" t="s">
        <v>62</v>
      </c>
      <c r="D743">
        <v>46133</v>
      </c>
      <c r="E743">
        <v>46133</v>
      </c>
      <c r="G743">
        <v>368</v>
      </c>
      <c r="H743" t="s">
        <v>63</v>
      </c>
      <c r="I743">
        <v>8458</v>
      </c>
      <c r="J743">
        <v>105643</v>
      </c>
      <c r="K743">
        <v>12</v>
      </c>
      <c r="L743" t="s">
        <v>1118</v>
      </c>
      <c r="M743" t="s">
        <v>65</v>
      </c>
      <c r="N743" t="s">
        <v>66</v>
      </c>
      <c r="O743" s="2">
        <v>46133</v>
      </c>
      <c r="P743" s="1">
        <v>5999</v>
      </c>
      <c r="Q743" t="s">
        <v>67</v>
      </c>
      <c r="R743">
        <v>623.29999999999995</v>
      </c>
      <c r="S743">
        <v>20.399999999999999</v>
      </c>
      <c r="T743">
        <v>3.67</v>
      </c>
      <c r="U743">
        <v>5372.03</v>
      </c>
      <c r="V743" s="1">
        <v>0</v>
      </c>
      <c r="X743">
        <v>20260422</v>
      </c>
      <c r="Z743" t="s">
        <v>72</v>
      </c>
      <c r="AA743">
        <v>3974527</v>
      </c>
      <c r="AB743" t="s">
        <v>93</v>
      </c>
      <c r="AC743" t="s">
        <v>120</v>
      </c>
      <c r="AE743">
        <v>0.52547453703703706</v>
      </c>
      <c r="AF743" t="s">
        <v>70</v>
      </c>
    </row>
    <row r="744" spans="1:32">
      <c r="A744">
        <v>1023366</v>
      </c>
      <c r="B744" t="s">
        <v>61</v>
      </c>
      <c r="C744" t="s">
        <v>62</v>
      </c>
      <c r="D744">
        <v>46133</v>
      </c>
      <c r="E744">
        <v>46133</v>
      </c>
      <c r="G744">
        <v>368</v>
      </c>
      <c r="H744" t="s">
        <v>63</v>
      </c>
      <c r="I744">
        <v>8478</v>
      </c>
      <c r="J744">
        <v>557</v>
      </c>
      <c r="L744" t="s">
        <v>1119</v>
      </c>
      <c r="M744" t="s">
        <v>65</v>
      </c>
      <c r="N744" t="s">
        <v>66</v>
      </c>
      <c r="O744" s="2">
        <v>46133</v>
      </c>
      <c r="P744" s="1">
        <v>1899</v>
      </c>
      <c r="Q744" t="s">
        <v>67</v>
      </c>
      <c r="R744">
        <v>54.88</v>
      </c>
      <c r="S744">
        <v>21.65</v>
      </c>
      <c r="T744">
        <v>3.9</v>
      </c>
      <c r="U744">
        <v>1840.22</v>
      </c>
      <c r="V744" s="1">
        <v>0</v>
      </c>
      <c r="X744">
        <v>20260422</v>
      </c>
      <c r="Z744" t="s">
        <v>68</v>
      </c>
      <c r="AA744">
        <v>3974527</v>
      </c>
      <c r="AB744" t="s">
        <v>1120</v>
      </c>
      <c r="AE744">
        <v>0.63918981481481485</v>
      </c>
      <c r="AF744" t="s">
        <v>70</v>
      </c>
    </row>
    <row r="745" spans="1:32">
      <c r="A745">
        <v>1023366</v>
      </c>
      <c r="B745" t="s">
        <v>61</v>
      </c>
      <c r="C745" t="s">
        <v>62</v>
      </c>
      <c r="D745">
        <v>46133</v>
      </c>
      <c r="E745">
        <v>46133</v>
      </c>
      <c r="G745">
        <v>368</v>
      </c>
      <c r="H745" t="s">
        <v>63</v>
      </c>
      <c r="I745">
        <v>8509</v>
      </c>
      <c r="J745">
        <v>337462</v>
      </c>
      <c r="L745" t="s">
        <v>1121</v>
      </c>
      <c r="M745" t="s">
        <v>65</v>
      </c>
      <c r="N745" t="s">
        <v>66</v>
      </c>
      <c r="O745" s="2">
        <v>46133</v>
      </c>
      <c r="P745" s="1">
        <v>75</v>
      </c>
      <c r="Q745" t="s">
        <v>67</v>
      </c>
      <c r="R745">
        <v>2.17</v>
      </c>
      <c r="S745">
        <v>0.26</v>
      </c>
      <c r="T745">
        <v>0.05</v>
      </c>
      <c r="U745">
        <v>72.78</v>
      </c>
      <c r="V745" s="1">
        <v>7285.03</v>
      </c>
      <c r="W745">
        <v>46134</v>
      </c>
      <c r="X745">
        <v>20260422</v>
      </c>
      <c r="Z745" t="s">
        <v>72</v>
      </c>
      <c r="AA745">
        <v>3974527</v>
      </c>
      <c r="AB745" t="s">
        <v>93</v>
      </c>
      <c r="AE745">
        <v>0.77847222222222223</v>
      </c>
      <c r="AF745" t="s">
        <v>70</v>
      </c>
    </row>
    <row r="746" spans="1:32">
      <c r="A746">
        <v>1023366</v>
      </c>
      <c r="B746" t="s">
        <v>75</v>
      </c>
      <c r="C746" t="s">
        <v>62</v>
      </c>
      <c r="D746">
        <v>46133</v>
      </c>
      <c r="E746">
        <v>46133</v>
      </c>
      <c r="G746">
        <v>368</v>
      </c>
      <c r="H746" t="s">
        <v>63</v>
      </c>
      <c r="I746">
        <v>8452</v>
      </c>
      <c r="J746">
        <v>692561</v>
      </c>
      <c r="L746" t="s">
        <v>1122</v>
      </c>
      <c r="M746" t="s">
        <v>65</v>
      </c>
      <c r="N746" t="s">
        <v>66</v>
      </c>
      <c r="O746" s="2">
        <v>46133</v>
      </c>
      <c r="P746" s="1">
        <v>69</v>
      </c>
      <c r="Q746" t="s">
        <v>67</v>
      </c>
      <c r="R746">
        <v>1.99</v>
      </c>
      <c r="S746">
        <v>0.89</v>
      </c>
      <c r="T746">
        <v>0.16</v>
      </c>
      <c r="U746">
        <v>66.849999999999994</v>
      </c>
      <c r="V746" s="1">
        <v>0</v>
      </c>
      <c r="X746">
        <v>20260422</v>
      </c>
      <c r="Z746" t="s">
        <v>68</v>
      </c>
      <c r="AA746">
        <v>3974527</v>
      </c>
      <c r="AB746" t="s">
        <v>93</v>
      </c>
      <c r="AE746">
        <v>0.43564814814814817</v>
      </c>
      <c r="AF746" t="s">
        <v>70</v>
      </c>
    </row>
    <row r="747" spans="1:32">
      <c r="A747">
        <v>1023366</v>
      </c>
      <c r="B747" t="s">
        <v>75</v>
      </c>
      <c r="C747" t="s">
        <v>62</v>
      </c>
      <c r="D747">
        <v>46133</v>
      </c>
      <c r="E747">
        <v>46133</v>
      </c>
      <c r="G747">
        <v>368</v>
      </c>
      <c r="H747" t="s">
        <v>63</v>
      </c>
      <c r="I747">
        <v>8454</v>
      </c>
      <c r="J747">
        <v>5866</v>
      </c>
      <c r="L747" t="s">
        <v>1123</v>
      </c>
      <c r="M747" t="s">
        <v>65</v>
      </c>
      <c r="N747" t="s">
        <v>66</v>
      </c>
      <c r="O747" s="2">
        <v>46133</v>
      </c>
      <c r="P747" s="1">
        <v>69</v>
      </c>
      <c r="Q747" t="s">
        <v>67</v>
      </c>
      <c r="R747">
        <v>1.99</v>
      </c>
      <c r="S747">
        <v>0.54</v>
      </c>
      <c r="T747">
        <v>0.1</v>
      </c>
      <c r="U747">
        <v>66.91</v>
      </c>
      <c r="V747" s="1">
        <v>0</v>
      </c>
      <c r="X747">
        <v>20260422</v>
      </c>
      <c r="Z747" t="s">
        <v>72</v>
      </c>
      <c r="AA747">
        <v>3974527</v>
      </c>
      <c r="AB747" t="s">
        <v>79</v>
      </c>
      <c r="AE747">
        <v>0.46964120370370371</v>
      </c>
      <c r="AF747" t="s">
        <v>70</v>
      </c>
    </row>
    <row r="748" spans="1:32">
      <c r="A748">
        <v>1023366</v>
      </c>
      <c r="B748" t="s">
        <v>75</v>
      </c>
      <c r="C748" t="s">
        <v>62</v>
      </c>
      <c r="D748">
        <v>46133</v>
      </c>
      <c r="E748">
        <v>46133</v>
      </c>
      <c r="G748">
        <v>368</v>
      </c>
      <c r="H748" t="s">
        <v>63</v>
      </c>
      <c r="I748">
        <v>8456</v>
      </c>
      <c r="J748">
        <v>971054</v>
      </c>
      <c r="L748" t="s">
        <v>1124</v>
      </c>
      <c r="M748" t="s">
        <v>65</v>
      </c>
      <c r="N748" t="s">
        <v>66</v>
      </c>
      <c r="O748" s="2">
        <v>46133</v>
      </c>
      <c r="P748" s="1">
        <v>149</v>
      </c>
      <c r="Q748" t="s">
        <v>67</v>
      </c>
      <c r="R748">
        <v>4.3099999999999996</v>
      </c>
      <c r="S748">
        <v>1.93</v>
      </c>
      <c r="T748">
        <v>0.35</v>
      </c>
      <c r="U748">
        <v>144.34</v>
      </c>
      <c r="V748" s="1">
        <v>0</v>
      </c>
      <c r="X748">
        <v>20260422</v>
      </c>
      <c r="Z748" t="s">
        <v>68</v>
      </c>
      <c r="AA748">
        <v>3974527</v>
      </c>
      <c r="AB748" t="s">
        <v>93</v>
      </c>
      <c r="AE748">
        <v>0.49788194444444445</v>
      </c>
      <c r="AF748" t="s">
        <v>70</v>
      </c>
    </row>
    <row r="749" spans="1:32">
      <c r="A749">
        <v>1023366</v>
      </c>
      <c r="B749" t="s">
        <v>75</v>
      </c>
      <c r="C749" t="s">
        <v>62</v>
      </c>
      <c r="D749">
        <v>46133</v>
      </c>
      <c r="E749">
        <v>46133</v>
      </c>
      <c r="G749">
        <v>368</v>
      </c>
      <c r="H749" t="s">
        <v>63</v>
      </c>
      <c r="I749">
        <v>8460</v>
      </c>
      <c r="J749">
        <v>8343</v>
      </c>
      <c r="L749" t="s">
        <v>1125</v>
      </c>
      <c r="M749" t="s">
        <v>65</v>
      </c>
      <c r="N749" t="s">
        <v>66</v>
      </c>
      <c r="O749" s="2">
        <v>46133</v>
      </c>
      <c r="P749" s="1">
        <v>199</v>
      </c>
      <c r="Q749" t="s">
        <v>67</v>
      </c>
      <c r="R749">
        <v>5.75</v>
      </c>
      <c r="S749">
        <v>0.77</v>
      </c>
      <c r="T749">
        <v>0.14000000000000001</v>
      </c>
      <c r="U749">
        <v>193.11</v>
      </c>
      <c r="V749" s="1">
        <v>0</v>
      </c>
      <c r="X749">
        <v>20260422</v>
      </c>
      <c r="Z749" t="s">
        <v>72</v>
      </c>
      <c r="AA749">
        <v>3974527</v>
      </c>
      <c r="AB749" t="s">
        <v>79</v>
      </c>
      <c r="AE749">
        <v>0.52684027777777775</v>
      </c>
      <c r="AF749" t="s">
        <v>70</v>
      </c>
    </row>
    <row r="750" spans="1:32">
      <c r="A750">
        <v>1023366</v>
      </c>
      <c r="B750" t="s">
        <v>75</v>
      </c>
      <c r="C750" t="s">
        <v>62</v>
      </c>
      <c r="D750">
        <v>46133</v>
      </c>
      <c r="E750">
        <v>46133</v>
      </c>
      <c r="G750">
        <v>368</v>
      </c>
      <c r="H750" t="s">
        <v>63</v>
      </c>
      <c r="I750">
        <v>8462</v>
      </c>
      <c r="J750">
        <v>646280</v>
      </c>
      <c r="L750" t="s">
        <v>1126</v>
      </c>
      <c r="M750" t="s">
        <v>65</v>
      </c>
      <c r="N750" t="s">
        <v>66</v>
      </c>
      <c r="O750" s="2">
        <v>46133</v>
      </c>
      <c r="P750" s="1">
        <v>209.9</v>
      </c>
      <c r="Q750" t="s">
        <v>67</v>
      </c>
      <c r="R750">
        <v>6.07</v>
      </c>
      <c r="S750">
        <v>2.71</v>
      </c>
      <c r="T750">
        <v>0.49</v>
      </c>
      <c r="U750">
        <v>203.34</v>
      </c>
      <c r="V750" s="1">
        <v>0</v>
      </c>
      <c r="X750">
        <v>20260422</v>
      </c>
      <c r="Z750" t="s">
        <v>68</v>
      </c>
      <c r="AA750">
        <v>3974527</v>
      </c>
      <c r="AB750" t="s">
        <v>79</v>
      </c>
      <c r="AE750">
        <v>0.5433217592592593</v>
      </c>
      <c r="AF750" t="s">
        <v>70</v>
      </c>
    </row>
    <row r="751" spans="1:32">
      <c r="A751">
        <v>1023366</v>
      </c>
      <c r="B751" t="s">
        <v>75</v>
      </c>
      <c r="C751" t="s">
        <v>62</v>
      </c>
      <c r="D751">
        <v>46133</v>
      </c>
      <c r="E751">
        <v>46133</v>
      </c>
      <c r="G751">
        <v>368</v>
      </c>
      <c r="H751" t="s">
        <v>63</v>
      </c>
      <c r="I751">
        <v>8464</v>
      </c>
      <c r="J751">
        <v>649385</v>
      </c>
      <c r="L751" t="s">
        <v>1127</v>
      </c>
      <c r="M751" t="s">
        <v>65</v>
      </c>
      <c r="N751" t="s">
        <v>66</v>
      </c>
      <c r="O751" s="2">
        <v>46133</v>
      </c>
      <c r="P751" s="1">
        <v>89.9</v>
      </c>
      <c r="Q751" t="s">
        <v>67</v>
      </c>
      <c r="R751">
        <v>2.6</v>
      </c>
      <c r="S751">
        <v>1.1599999999999999</v>
      </c>
      <c r="T751">
        <v>0.21</v>
      </c>
      <c r="U751">
        <v>87.09</v>
      </c>
      <c r="V751" s="1">
        <v>0</v>
      </c>
      <c r="X751">
        <v>20260422</v>
      </c>
      <c r="Z751" t="s">
        <v>68</v>
      </c>
      <c r="AA751">
        <v>3974527</v>
      </c>
      <c r="AB751" t="s">
        <v>79</v>
      </c>
      <c r="AE751">
        <v>0.5652314814814815</v>
      </c>
      <c r="AF751" t="s">
        <v>70</v>
      </c>
    </row>
    <row r="752" spans="1:32">
      <c r="A752">
        <v>1023366</v>
      </c>
      <c r="B752" t="s">
        <v>75</v>
      </c>
      <c r="C752" t="s">
        <v>62</v>
      </c>
      <c r="D752">
        <v>46133</v>
      </c>
      <c r="E752">
        <v>46133</v>
      </c>
      <c r="G752">
        <v>368</v>
      </c>
      <c r="H752" t="s">
        <v>63</v>
      </c>
      <c r="I752">
        <v>8466</v>
      </c>
      <c r="J752">
        <v>351943</v>
      </c>
      <c r="L752" t="s">
        <v>450</v>
      </c>
      <c r="M752" t="s">
        <v>65</v>
      </c>
      <c r="N752" t="s">
        <v>66</v>
      </c>
      <c r="O752" s="2">
        <v>46133</v>
      </c>
      <c r="P752" s="1">
        <v>39</v>
      </c>
      <c r="Q752" t="s">
        <v>67</v>
      </c>
      <c r="R752">
        <v>1.1299999999999999</v>
      </c>
      <c r="S752">
        <v>0.23</v>
      </c>
      <c r="T752">
        <v>0.04</v>
      </c>
      <c r="U752">
        <v>37.83</v>
      </c>
      <c r="V752" s="1">
        <v>0</v>
      </c>
      <c r="X752">
        <v>20260422</v>
      </c>
      <c r="Z752" t="s">
        <v>72</v>
      </c>
      <c r="AA752">
        <v>3974527</v>
      </c>
      <c r="AB752" t="s">
        <v>77</v>
      </c>
      <c r="AE752">
        <v>0.5660532407407407</v>
      </c>
      <c r="AF752" t="s">
        <v>70</v>
      </c>
    </row>
    <row r="753" spans="1:32">
      <c r="A753">
        <v>1023366</v>
      </c>
      <c r="B753" t="s">
        <v>75</v>
      </c>
      <c r="C753" t="s">
        <v>62</v>
      </c>
      <c r="D753">
        <v>46133</v>
      </c>
      <c r="E753">
        <v>46133</v>
      </c>
      <c r="G753">
        <v>368</v>
      </c>
      <c r="H753" t="s">
        <v>63</v>
      </c>
      <c r="I753">
        <v>8469</v>
      </c>
      <c r="J753">
        <v>174902</v>
      </c>
      <c r="L753" t="s">
        <v>1128</v>
      </c>
      <c r="M753" t="s">
        <v>96</v>
      </c>
      <c r="N753" t="s">
        <v>66</v>
      </c>
      <c r="O753" s="2">
        <v>46133</v>
      </c>
      <c r="P753" s="1">
        <v>1399</v>
      </c>
      <c r="Q753" t="s">
        <v>67</v>
      </c>
      <c r="R753">
        <v>54.56</v>
      </c>
      <c r="S753">
        <v>39.18</v>
      </c>
      <c r="T753">
        <v>7.05</v>
      </c>
      <c r="U753">
        <v>1337.39</v>
      </c>
      <c r="V753" s="1">
        <v>0</v>
      </c>
      <c r="X753">
        <v>20260422</v>
      </c>
      <c r="Z753" t="s">
        <v>68</v>
      </c>
      <c r="AA753">
        <v>3974527</v>
      </c>
      <c r="AB753" t="s">
        <v>97</v>
      </c>
      <c r="AE753">
        <v>0.56968750000000001</v>
      </c>
      <c r="AF753" t="s">
        <v>70</v>
      </c>
    </row>
    <row r="754" spans="1:32">
      <c r="A754">
        <v>1023366</v>
      </c>
      <c r="B754" t="s">
        <v>75</v>
      </c>
      <c r="C754" t="s">
        <v>62</v>
      </c>
      <c r="D754">
        <v>46133</v>
      </c>
      <c r="E754">
        <v>46133</v>
      </c>
      <c r="G754">
        <v>368</v>
      </c>
      <c r="H754" t="s">
        <v>63</v>
      </c>
      <c r="I754">
        <v>8471</v>
      </c>
      <c r="J754">
        <v>1474</v>
      </c>
      <c r="L754" t="s">
        <v>1129</v>
      </c>
      <c r="M754" t="s">
        <v>65</v>
      </c>
      <c r="N754" t="s">
        <v>66</v>
      </c>
      <c r="O754" s="2">
        <v>46133</v>
      </c>
      <c r="P754" s="1">
        <v>89.9</v>
      </c>
      <c r="Q754" t="s">
        <v>67</v>
      </c>
      <c r="R754">
        <v>2.6</v>
      </c>
      <c r="S754">
        <v>0.71</v>
      </c>
      <c r="T754">
        <v>0.13</v>
      </c>
      <c r="U754">
        <v>87.17</v>
      </c>
      <c r="V754" s="1">
        <v>0</v>
      </c>
      <c r="X754">
        <v>20260422</v>
      </c>
      <c r="Z754" t="s">
        <v>72</v>
      </c>
      <c r="AA754">
        <v>3974527</v>
      </c>
      <c r="AB754" t="s">
        <v>79</v>
      </c>
      <c r="AE754">
        <v>0.58689814814814811</v>
      </c>
      <c r="AF754" t="s">
        <v>70</v>
      </c>
    </row>
    <row r="755" spans="1:32">
      <c r="A755">
        <v>1023366</v>
      </c>
      <c r="B755" t="s">
        <v>75</v>
      </c>
      <c r="C755" t="s">
        <v>62</v>
      </c>
      <c r="D755">
        <v>46133</v>
      </c>
      <c r="E755">
        <v>46133</v>
      </c>
      <c r="G755">
        <v>368</v>
      </c>
      <c r="H755" t="s">
        <v>63</v>
      </c>
      <c r="I755">
        <v>8473</v>
      </c>
      <c r="J755">
        <v>305840</v>
      </c>
      <c r="K755">
        <v>3</v>
      </c>
      <c r="L755" t="s">
        <v>1130</v>
      </c>
      <c r="M755" t="s">
        <v>65</v>
      </c>
      <c r="N755" t="s">
        <v>66</v>
      </c>
      <c r="O755" s="2">
        <v>46133</v>
      </c>
      <c r="P755" s="1">
        <v>733</v>
      </c>
      <c r="Q755" t="s">
        <v>67</v>
      </c>
      <c r="R755">
        <v>21.18</v>
      </c>
      <c r="S755">
        <v>4.32</v>
      </c>
      <c r="T755">
        <v>0.78</v>
      </c>
      <c r="U755">
        <v>711.04</v>
      </c>
      <c r="V755" s="1">
        <v>0</v>
      </c>
      <c r="X755">
        <v>20260422</v>
      </c>
      <c r="Z755" t="s">
        <v>72</v>
      </c>
      <c r="AA755">
        <v>3974527</v>
      </c>
      <c r="AB755" t="s">
        <v>77</v>
      </c>
      <c r="AC755" t="s">
        <v>74</v>
      </c>
      <c r="AE755">
        <v>0.60473379629629631</v>
      </c>
      <c r="AF755" t="s">
        <v>70</v>
      </c>
    </row>
    <row r="756" spans="1:32">
      <c r="A756">
        <v>1023366</v>
      </c>
      <c r="B756" t="s">
        <v>75</v>
      </c>
      <c r="C756" t="s">
        <v>62</v>
      </c>
      <c r="D756">
        <v>46133</v>
      </c>
      <c r="E756">
        <v>46133</v>
      </c>
      <c r="G756">
        <v>368</v>
      </c>
      <c r="H756">
        <v>65656565</v>
      </c>
      <c r="I756">
        <v>8480</v>
      </c>
      <c r="J756">
        <v>858739</v>
      </c>
      <c r="L756" t="s">
        <v>1131</v>
      </c>
      <c r="M756" t="s">
        <v>65</v>
      </c>
      <c r="N756" t="s">
        <v>66</v>
      </c>
      <c r="O756" s="2">
        <v>46133</v>
      </c>
      <c r="P756" s="1">
        <v>39</v>
      </c>
      <c r="Q756" t="s">
        <v>67</v>
      </c>
      <c r="R756">
        <v>1.1200000000000001</v>
      </c>
      <c r="S756">
        <v>0.5</v>
      </c>
      <c r="T756">
        <v>0.09</v>
      </c>
      <c r="U756">
        <v>37.79</v>
      </c>
      <c r="V756" s="1">
        <v>0</v>
      </c>
      <c r="X756">
        <v>20260422</v>
      </c>
      <c r="Z756" t="s">
        <v>68</v>
      </c>
      <c r="AA756">
        <v>3974527</v>
      </c>
      <c r="AB756" t="s">
        <v>79</v>
      </c>
      <c r="AD756" t="s">
        <v>88</v>
      </c>
      <c r="AE756">
        <v>0.65415509259259264</v>
      </c>
      <c r="AF756" t="s">
        <v>70</v>
      </c>
    </row>
    <row r="757" spans="1:32">
      <c r="A757">
        <v>1023366</v>
      </c>
      <c r="B757" t="s">
        <v>75</v>
      </c>
      <c r="C757" t="s">
        <v>62</v>
      </c>
      <c r="D757">
        <v>46133</v>
      </c>
      <c r="E757">
        <v>46133</v>
      </c>
      <c r="G757">
        <v>368</v>
      </c>
      <c r="H757" t="s">
        <v>63</v>
      </c>
      <c r="I757">
        <v>8483</v>
      </c>
      <c r="J757">
        <v>192919</v>
      </c>
      <c r="L757" t="s">
        <v>1132</v>
      </c>
      <c r="M757" t="s">
        <v>65</v>
      </c>
      <c r="N757" t="s">
        <v>66</v>
      </c>
      <c r="O757" s="2">
        <v>46133</v>
      </c>
      <c r="P757" s="1">
        <v>2499</v>
      </c>
      <c r="Q757" t="s">
        <v>67</v>
      </c>
      <c r="R757">
        <v>72.22</v>
      </c>
      <c r="S757">
        <v>32.24</v>
      </c>
      <c r="T757">
        <v>5.8</v>
      </c>
      <c r="U757">
        <v>2420.98</v>
      </c>
      <c r="V757" s="1">
        <v>0</v>
      </c>
      <c r="X757">
        <v>20260422</v>
      </c>
      <c r="Z757" t="s">
        <v>68</v>
      </c>
      <c r="AA757">
        <v>3974527</v>
      </c>
      <c r="AB757" t="s">
        <v>81</v>
      </c>
      <c r="AE757">
        <v>0.65983796296296293</v>
      </c>
      <c r="AF757" t="s">
        <v>70</v>
      </c>
    </row>
    <row r="758" spans="1:32">
      <c r="A758">
        <v>1023366</v>
      </c>
      <c r="B758" t="s">
        <v>75</v>
      </c>
      <c r="C758" t="s">
        <v>62</v>
      </c>
      <c r="D758">
        <v>46133</v>
      </c>
      <c r="E758">
        <v>46133</v>
      </c>
      <c r="G758">
        <v>368</v>
      </c>
      <c r="H758" t="s">
        <v>63</v>
      </c>
      <c r="I758">
        <v>8485</v>
      </c>
      <c r="J758">
        <v>975319</v>
      </c>
      <c r="L758" t="s">
        <v>1133</v>
      </c>
      <c r="M758" t="s">
        <v>65</v>
      </c>
      <c r="N758" t="s">
        <v>66</v>
      </c>
      <c r="O758" s="2">
        <v>46133</v>
      </c>
      <c r="P758" s="1">
        <v>69</v>
      </c>
      <c r="Q758" t="s">
        <v>67</v>
      </c>
      <c r="R758">
        <v>1.99</v>
      </c>
      <c r="S758">
        <v>0.89</v>
      </c>
      <c r="T758">
        <v>0.16</v>
      </c>
      <c r="U758">
        <v>66.849999999999994</v>
      </c>
      <c r="V758" s="1">
        <v>0</v>
      </c>
      <c r="X758">
        <v>20260422</v>
      </c>
      <c r="Z758" t="s">
        <v>68</v>
      </c>
      <c r="AA758">
        <v>3974527</v>
      </c>
      <c r="AB758" t="s">
        <v>79</v>
      </c>
      <c r="AE758">
        <v>0.68483796296296295</v>
      </c>
      <c r="AF758" t="s">
        <v>70</v>
      </c>
    </row>
    <row r="759" spans="1:32">
      <c r="A759">
        <v>1023366</v>
      </c>
      <c r="B759" t="s">
        <v>75</v>
      </c>
      <c r="C759" t="s">
        <v>62</v>
      </c>
      <c r="D759">
        <v>46133</v>
      </c>
      <c r="E759">
        <v>46133</v>
      </c>
      <c r="G759">
        <v>368</v>
      </c>
      <c r="H759" t="s">
        <v>63</v>
      </c>
      <c r="I759">
        <v>8487</v>
      </c>
      <c r="J759">
        <v>662067</v>
      </c>
      <c r="L759" t="s">
        <v>1134</v>
      </c>
      <c r="M759" t="s">
        <v>65</v>
      </c>
      <c r="N759" t="s">
        <v>66</v>
      </c>
      <c r="O759" s="2">
        <v>46133</v>
      </c>
      <c r="P759" s="1">
        <v>1799</v>
      </c>
      <c r="Q759" t="s">
        <v>67</v>
      </c>
      <c r="R759">
        <v>51.99</v>
      </c>
      <c r="S759">
        <v>10.61</v>
      </c>
      <c r="T759">
        <v>1.91</v>
      </c>
      <c r="U759">
        <v>1745.1</v>
      </c>
      <c r="V759" s="1">
        <v>0</v>
      </c>
      <c r="X759">
        <v>20260422</v>
      </c>
      <c r="Z759" t="s">
        <v>72</v>
      </c>
      <c r="AA759">
        <v>3974527</v>
      </c>
      <c r="AB759" t="s">
        <v>106</v>
      </c>
      <c r="AE759">
        <v>0.68652777777777774</v>
      </c>
      <c r="AF759" t="s">
        <v>70</v>
      </c>
    </row>
    <row r="760" spans="1:32">
      <c r="A760">
        <v>1023366</v>
      </c>
      <c r="B760" t="s">
        <v>75</v>
      </c>
      <c r="C760" t="s">
        <v>62</v>
      </c>
      <c r="D760">
        <v>46133</v>
      </c>
      <c r="E760">
        <v>46133</v>
      </c>
      <c r="G760">
        <v>368</v>
      </c>
      <c r="H760" t="s">
        <v>63</v>
      </c>
      <c r="I760">
        <v>8489</v>
      </c>
      <c r="J760">
        <v>876175</v>
      </c>
      <c r="L760" t="s">
        <v>1135</v>
      </c>
      <c r="M760" t="s">
        <v>65</v>
      </c>
      <c r="N760" t="s">
        <v>66</v>
      </c>
      <c r="O760" s="2">
        <v>46133</v>
      </c>
      <c r="P760" s="1">
        <v>269</v>
      </c>
      <c r="Q760" t="s">
        <v>67</v>
      </c>
      <c r="R760">
        <v>7.77</v>
      </c>
      <c r="S760">
        <v>1.58</v>
      </c>
      <c r="T760">
        <v>0.28000000000000003</v>
      </c>
      <c r="U760">
        <v>260.95</v>
      </c>
      <c r="V760" s="1">
        <v>0</v>
      </c>
      <c r="X760">
        <v>20260422</v>
      </c>
      <c r="Z760" t="s">
        <v>72</v>
      </c>
      <c r="AA760">
        <v>3974527</v>
      </c>
      <c r="AB760" t="s">
        <v>93</v>
      </c>
      <c r="AE760">
        <v>0.68768518518518518</v>
      </c>
      <c r="AF760" t="s">
        <v>70</v>
      </c>
    </row>
    <row r="761" spans="1:32">
      <c r="A761">
        <v>1023366</v>
      </c>
      <c r="B761" t="s">
        <v>75</v>
      </c>
      <c r="C761" t="s">
        <v>62</v>
      </c>
      <c r="D761">
        <v>46133</v>
      </c>
      <c r="E761">
        <v>46133</v>
      </c>
      <c r="G761">
        <v>368</v>
      </c>
      <c r="H761" t="s">
        <v>63</v>
      </c>
      <c r="I761">
        <v>8493</v>
      </c>
      <c r="J761">
        <v>405579</v>
      </c>
      <c r="L761" t="s">
        <v>1136</v>
      </c>
      <c r="M761" t="s">
        <v>65</v>
      </c>
      <c r="N761" t="s">
        <v>66</v>
      </c>
      <c r="O761" s="2">
        <v>46133</v>
      </c>
      <c r="P761" s="1">
        <v>55</v>
      </c>
      <c r="Q761" t="s">
        <v>67</v>
      </c>
      <c r="R761">
        <v>1.59</v>
      </c>
      <c r="S761">
        <v>0.71</v>
      </c>
      <c r="T761">
        <v>0.13</v>
      </c>
      <c r="U761">
        <v>53.28</v>
      </c>
      <c r="V761" s="1">
        <v>0</v>
      </c>
      <c r="X761">
        <v>20260422</v>
      </c>
      <c r="Z761" t="s">
        <v>68</v>
      </c>
      <c r="AA761">
        <v>3974527</v>
      </c>
      <c r="AB761" t="s">
        <v>79</v>
      </c>
      <c r="AE761">
        <v>0.75013888888888891</v>
      </c>
      <c r="AF761" t="s">
        <v>70</v>
      </c>
    </row>
    <row r="762" spans="1:32">
      <c r="A762">
        <v>1023366</v>
      </c>
      <c r="B762" t="s">
        <v>75</v>
      </c>
      <c r="C762" t="s">
        <v>62</v>
      </c>
      <c r="D762">
        <v>46133</v>
      </c>
      <c r="E762">
        <v>46133</v>
      </c>
      <c r="G762">
        <v>368</v>
      </c>
      <c r="H762" t="s">
        <v>63</v>
      </c>
      <c r="I762">
        <v>8495</v>
      </c>
      <c r="J762">
        <v>123066</v>
      </c>
      <c r="L762" t="s">
        <v>1137</v>
      </c>
      <c r="M762" t="s">
        <v>65</v>
      </c>
      <c r="N762" t="s">
        <v>66</v>
      </c>
      <c r="O762" s="2">
        <v>46133</v>
      </c>
      <c r="P762" s="1">
        <v>269</v>
      </c>
      <c r="Q762" t="s">
        <v>67</v>
      </c>
      <c r="R762">
        <v>7.77</v>
      </c>
      <c r="S762">
        <v>3.47</v>
      </c>
      <c r="T762">
        <v>0.62</v>
      </c>
      <c r="U762">
        <v>260.61</v>
      </c>
      <c r="V762" s="1">
        <v>0</v>
      </c>
      <c r="X762">
        <v>20260422</v>
      </c>
      <c r="Z762" t="s">
        <v>68</v>
      </c>
      <c r="AA762">
        <v>3974527</v>
      </c>
      <c r="AB762" t="s">
        <v>79</v>
      </c>
      <c r="AE762">
        <v>0.76306712962962964</v>
      </c>
      <c r="AF762" t="s">
        <v>70</v>
      </c>
    </row>
    <row r="763" spans="1:32">
      <c r="A763">
        <v>1023366</v>
      </c>
      <c r="B763" t="s">
        <v>75</v>
      </c>
      <c r="C763" t="s">
        <v>62</v>
      </c>
      <c r="D763">
        <v>46133</v>
      </c>
      <c r="E763">
        <v>46133</v>
      </c>
      <c r="G763">
        <v>368</v>
      </c>
      <c r="H763" t="s">
        <v>63</v>
      </c>
      <c r="I763">
        <v>8497</v>
      </c>
      <c r="J763">
        <v>169786</v>
      </c>
      <c r="L763" t="s">
        <v>1138</v>
      </c>
      <c r="M763" t="s">
        <v>65</v>
      </c>
      <c r="N763" t="s">
        <v>66</v>
      </c>
      <c r="O763" s="2">
        <v>46133</v>
      </c>
      <c r="P763" s="1">
        <v>269</v>
      </c>
      <c r="Q763" t="s">
        <v>67</v>
      </c>
      <c r="R763">
        <v>7.77</v>
      </c>
      <c r="S763">
        <v>3.47</v>
      </c>
      <c r="T763">
        <v>0.62</v>
      </c>
      <c r="U763">
        <v>260.61</v>
      </c>
      <c r="V763" s="1">
        <v>0</v>
      </c>
      <c r="X763">
        <v>20260422</v>
      </c>
      <c r="Z763" t="s">
        <v>68</v>
      </c>
      <c r="AA763">
        <v>3974527</v>
      </c>
      <c r="AB763" t="s">
        <v>79</v>
      </c>
      <c r="AE763">
        <v>0.76401620370370371</v>
      </c>
      <c r="AF763" t="s">
        <v>70</v>
      </c>
    </row>
    <row r="764" spans="1:32">
      <c r="A764">
        <v>1023366</v>
      </c>
      <c r="B764" t="s">
        <v>75</v>
      </c>
      <c r="C764" t="s">
        <v>62</v>
      </c>
      <c r="D764">
        <v>46133</v>
      </c>
      <c r="E764">
        <v>46133</v>
      </c>
      <c r="G764">
        <v>368</v>
      </c>
      <c r="H764" t="s">
        <v>63</v>
      </c>
      <c r="I764">
        <v>8501</v>
      </c>
      <c r="J764">
        <v>1574</v>
      </c>
      <c r="L764" t="s">
        <v>1139</v>
      </c>
      <c r="M764" t="s">
        <v>65</v>
      </c>
      <c r="N764" t="s">
        <v>66</v>
      </c>
      <c r="O764" s="2">
        <v>46133</v>
      </c>
      <c r="P764" s="1">
        <v>189</v>
      </c>
      <c r="Q764" t="s">
        <v>67</v>
      </c>
      <c r="R764">
        <v>5.46</v>
      </c>
      <c r="S764">
        <v>1.1100000000000001</v>
      </c>
      <c r="T764">
        <v>0.2</v>
      </c>
      <c r="U764">
        <v>183.34</v>
      </c>
      <c r="V764" s="1">
        <v>0</v>
      </c>
      <c r="X764">
        <v>20260422</v>
      </c>
      <c r="Z764" t="s">
        <v>72</v>
      </c>
      <c r="AA764">
        <v>3974527</v>
      </c>
      <c r="AB764" t="s">
        <v>79</v>
      </c>
      <c r="AE764">
        <v>0.77081018518518518</v>
      </c>
      <c r="AF764" t="s">
        <v>70</v>
      </c>
    </row>
    <row r="765" spans="1:32">
      <c r="A765">
        <v>1023366</v>
      </c>
      <c r="B765" t="s">
        <v>75</v>
      </c>
      <c r="C765" t="s">
        <v>62</v>
      </c>
      <c r="D765">
        <v>46133</v>
      </c>
      <c r="E765">
        <v>46133</v>
      </c>
      <c r="G765">
        <v>368</v>
      </c>
      <c r="H765" t="s">
        <v>63</v>
      </c>
      <c r="I765">
        <v>8503</v>
      </c>
      <c r="J765">
        <v>711778</v>
      </c>
      <c r="L765" t="s">
        <v>1140</v>
      </c>
      <c r="M765" t="s">
        <v>65</v>
      </c>
      <c r="N765" t="s">
        <v>66</v>
      </c>
      <c r="O765" s="2">
        <v>46133</v>
      </c>
      <c r="P765" s="1">
        <v>60</v>
      </c>
      <c r="Q765" t="s">
        <v>67</v>
      </c>
      <c r="R765">
        <v>1.73</v>
      </c>
      <c r="S765">
        <v>0.35</v>
      </c>
      <c r="T765">
        <v>0.06</v>
      </c>
      <c r="U765">
        <v>58.21</v>
      </c>
      <c r="V765" s="1">
        <v>0</v>
      </c>
      <c r="X765">
        <v>20260422</v>
      </c>
      <c r="Z765" t="s">
        <v>72</v>
      </c>
      <c r="AA765">
        <v>3974527</v>
      </c>
      <c r="AB765" t="s">
        <v>106</v>
      </c>
      <c r="AE765">
        <v>0.77282407407407405</v>
      </c>
      <c r="AF765" t="s">
        <v>70</v>
      </c>
    </row>
    <row r="766" spans="1:32">
      <c r="A766">
        <v>1023366</v>
      </c>
      <c r="B766" t="s">
        <v>75</v>
      </c>
      <c r="C766" t="s">
        <v>62</v>
      </c>
      <c r="D766">
        <v>46133</v>
      </c>
      <c r="E766">
        <v>46133</v>
      </c>
      <c r="G766">
        <v>368</v>
      </c>
      <c r="H766" t="s">
        <v>63</v>
      </c>
      <c r="I766">
        <v>8505</v>
      </c>
      <c r="J766">
        <v>364849</v>
      </c>
      <c r="L766" t="s">
        <v>1141</v>
      </c>
      <c r="M766" t="s">
        <v>65</v>
      </c>
      <c r="N766" t="s">
        <v>66</v>
      </c>
      <c r="O766" s="2">
        <v>46133</v>
      </c>
      <c r="P766" s="1">
        <v>269</v>
      </c>
      <c r="Q766" t="s">
        <v>67</v>
      </c>
      <c r="R766">
        <v>7.77</v>
      </c>
      <c r="S766">
        <v>1.58</v>
      </c>
      <c r="T766">
        <v>0.28000000000000003</v>
      </c>
      <c r="U766">
        <v>260.95</v>
      </c>
      <c r="V766" s="1">
        <v>0</v>
      </c>
      <c r="X766">
        <v>20260422</v>
      </c>
      <c r="Z766" t="s">
        <v>72</v>
      </c>
      <c r="AA766">
        <v>3974527</v>
      </c>
      <c r="AB766" t="s">
        <v>77</v>
      </c>
      <c r="AE766">
        <v>0.77546296296296291</v>
      </c>
      <c r="AF766" t="s">
        <v>70</v>
      </c>
    </row>
    <row r="767" spans="1:32">
      <c r="A767">
        <v>1023366</v>
      </c>
      <c r="B767" t="s">
        <v>75</v>
      </c>
      <c r="C767" t="s">
        <v>62</v>
      </c>
      <c r="D767">
        <v>46133</v>
      </c>
      <c r="E767">
        <v>46133</v>
      </c>
      <c r="G767">
        <v>368</v>
      </c>
      <c r="H767" t="s">
        <v>63</v>
      </c>
      <c r="I767">
        <v>8507</v>
      </c>
      <c r="J767">
        <v>829687</v>
      </c>
      <c r="L767" t="s">
        <v>1142</v>
      </c>
      <c r="M767" t="s">
        <v>65</v>
      </c>
      <c r="N767" t="s">
        <v>66</v>
      </c>
      <c r="O767" s="2">
        <v>46133</v>
      </c>
      <c r="P767" s="1">
        <v>26</v>
      </c>
      <c r="Q767" t="s">
        <v>67</v>
      </c>
      <c r="R767">
        <v>0.75</v>
      </c>
      <c r="S767">
        <v>0.33</v>
      </c>
      <c r="T767">
        <v>0.06</v>
      </c>
      <c r="U767">
        <v>25.19</v>
      </c>
      <c r="V767" s="1">
        <v>0</v>
      </c>
      <c r="X767">
        <v>20260422</v>
      </c>
      <c r="Z767" t="s">
        <v>68</v>
      </c>
      <c r="AA767">
        <v>3974527</v>
      </c>
      <c r="AB767" t="s">
        <v>77</v>
      </c>
      <c r="AE767">
        <v>0.77631944444444445</v>
      </c>
      <c r="AF767" t="s">
        <v>70</v>
      </c>
    </row>
    <row r="768" spans="1:32">
      <c r="A768">
        <v>1023366</v>
      </c>
      <c r="B768" t="s">
        <v>75</v>
      </c>
      <c r="C768" t="s">
        <v>62</v>
      </c>
      <c r="D768">
        <v>46133</v>
      </c>
      <c r="E768">
        <v>46133</v>
      </c>
      <c r="G768">
        <v>368</v>
      </c>
      <c r="H768" t="s">
        <v>63</v>
      </c>
      <c r="I768">
        <v>8511</v>
      </c>
      <c r="J768">
        <v>4238</v>
      </c>
      <c r="K768">
        <v>4</v>
      </c>
      <c r="L768" t="s">
        <v>1143</v>
      </c>
      <c r="M768" t="s">
        <v>65</v>
      </c>
      <c r="N768" t="s">
        <v>66</v>
      </c>
      <c r="O768" s="2">
        <v>46133</v>
      </c>
      <c r="P768" s="1">
        <v>1899</v>
      </c>
      <c r="Q768" t="s">
        <v>67</v>
      </c>
      <c r="R768">
        <v>54.88</v>
      </c>
      <c r="S768">
        <v>15</v>
      </c>
      <c r="T768">
        <v>2.7</v>
      </c>
      <c r="U768">
        <v>1841.42</v>
      </c>
      <c r="V768" s="1">
        <v>0</v>
      </c>
      <c r="X768">
        <v>20260422</v>
      </c>
      <c r="Z768" t="s">
        <v>72</v>
      </c>
      <c r="AA768">
        <v>3974527</v>
      </c>
      <c r="AB768" t="s">
        <v>79</v>
      </c>
      <c r="AC768" t="s">
        <v>74</v>
      </c>
      <c r="AE768">
        <v>0.79186342592592596</v>
      </c>
      <c r="AF768" t="s">
        <v>70</v>
      </c>
    </row>
    <row r="769" spans="1:32">
      <c r="A769">
        <v>1023366</v>
      </c>
      <c r="B769" t="s">
        <v>75</v>
      </c>
      <c r="C769" t="s">
        <v>62</v>
      </c>
      <c r="D769">
        <v>46133</v>
      </c>
      <c r="E769">
        <v>46133</v>
      </c>
      <c r="G769">
        <v>368</v>
      </c>
      <c r="H769" t="s">
        <v>63</v>
      </c>
      <c r="I769">
        <v>8513</v>
      </c>
      <c r="J769">
        <v>556193</v>
      </c>
      <c r="L769" t="s">
        <v>1144</v>
      </c>
      <c r="M769" t="s">
        <v>65</v>
      </c>
      <c r="N769" t="s">
        <v>66</v>
      </c>
      <c r="O769" s="2">
        <v>46133</v>
      </c>
      <c r="P769" s="1">
        <v>75</v>
      </c>
      <c r="Q769" t="s">
        <v>67</v>
      </c>
      <c r="R769">
        <v>2.17</v>
      </c>
      <c r="S769">
        <v>0.97</v>
      </c>
      <c r="T769">
        <v>0.17</v>
      </c>
      <c r="U769">
        <v>72.66</v>
      </c>
      <c r="V769" s="1">
        <v>0</v>
      </c>
      <c r="X769">
        <v>20260422</v>
      </c>
      <c r="Z769" t="s">
        <v>68</v>
      </c>
      <c r="AA769">
        <v>3974527</v>
      </c>
      <c r="AB769" t="s">
        <v>77</v>
      </c>
      <c r="AE769">
        <v>0.79969907407407403</v>
      </c>
      <c r="AF769" t="s">
        <v>70</v>
      </c>
    </row>
    <row r="770" spans="1:32">
      <c r="A770">
        <v>1023366</v>
      </c>
      <c r="B770" t="s">
        <v>75</v>
      </c>
      <c r="C770" t="s">
        <v>62</v>
      </c>
      <c r="D770">
        <v>46133</v>
      </c>
      <c r="E770">
        <v>46133</v>
      </c>
      <c r="G770">
        <v>368</v>
      </c>
      <c r="H770" t="s">
        <v>63</v>
      </c>
      <c r="I770">
        <v>8515</v>
      </c>
      <c r="J770">
        <v>975</v>
      </c>
      <c r="L770" t="s">
        <v>291</v>
      </c>
      <c r="M770" t="s">
        <v>65</v>
      </c>
      <c r="N770" t="s">
        <v>66</v>
      </c>
      <c r="O770" s="2">
        <v>46133</v>
      </c>
      <c r="P770" s="1">
        <v>249</v>
      </c>
      <c r="Q770" t="s">
        <v>67</v>
      </c>
      <c r="R770">
        <v>7.2</v>
      </c>
      <c r="S770">
        <v>1.97</v>
      </c>
      <c r="T770">
        <v>0.35</v>
      </c>
      <c r="U770">
        <v>241.45</v>
      </c>
      <c r="V770" s="1">
        <v>0</v>
      </c>
      <c r="X770">
        <v>20260422</v>
      </c>
      <c r="Z770" t="s">
        <v>72</v>
      </c>
      <c r="AA770">
        <v>3974527</v>
      </c>
      <c r="AB770" t="s">
        <v>79</v>
      </c>
      <c r="AE770">
        <v>0.81656249999999997</v>
      </c>
      <c r="AF770" t="s">
        <v>70</v>
      </c>
    </row>
    <row r="771" spans="1:32">
      <c r="A771">
        <v>1023366</v>
      </c>
      <c r="B771" t="s">
        <v>75</v>
      </c>
      <c r="C771" t="s">
        <v>62</v>
      </c>
      <c r="D771">
        <v>46133</v>
      </c>
      <c r="E771">
        <v>46133</v>
      </c>
      <c r="G771">
        <v>368</v>
      </c>
      <c r="H771" t="s">
        <v>63</v>
      </c>
      <c r="I771">
        <v>8517</v>
      </c>
      <c r="J771">
        <v>88838</v>
      </c>
      <c r="L771" t="s">
        <v>1145</v>
      </c>
      <c r="M771" t="s">
        <v>65</v>
      </c>
      <c r="N771" t="s">
        <v>66</v>
      </c>
      <c r="O771" s="2">
        <v>46133</v>
      </c>
      <c r="P771" s="1">
        <v>89</v>
      </c>
      <c r="Q771" t="s">
        <v>67</v>
      </c>
      <c r="R771">
        <v>2.57</v>
      </c>
      <c r="S771">
        <v>0.34</v>
      </c>
      <c r="T771">
        <v>0.06</v>
      </c>
      <c r="U771">
        <v>86.37</v>
      </c>
      <c r="V771" s="1">
        <v>0</v>
      </c>
      <c r="X771">
        <v>20260422</v>
      </c>
      <c r="Z771" t="s">
        <v>72</v>
      </c>
      <c r="AA771">
        <v>3974527</v>
      </c>
      <c r="AB771" t="s">
        <v>84</v>
      </c>
      <c r="AE771">
        <v>0.85923611111111109</v>
      </c>
      <c r="AF771" t="s">
        <v>70</v>
      </c>
    </row>
    <row r="772" spans="1:32">
      <c r="A772">
        <v>1023366</v>
      </c>
      <c r="B772" t="s">
        <v>75</v>
      </c>
      <c r="C772" t="s">
        <v>62</v>
      </c>
      <c r="D772">
        <v>46133</v>
      </c>
      <c r="E772">
        <v>46133</v>
      </c>
      <c r="G772">
        <v>368</v>
      </c>
      <c r="H772" t="s">
        <v>63</v>
      </c>
      <c r="I772">
        <v>8519</v>
      </c>
      <c r="J772">
        <v>788551</v>
      </c>
      <c r="L772" t="s">
        <v>1146</v>
      </c>
      <c r="M772" t="s">
        <v>65</v>
      </c>
      <c r="N772" t="s">
        <v>66</v>
      </c>
      <c r="O772" s="2">
        <v>46133</v>
      </c>
      <c r="P772" s="1">
        <v>99</v>
      </c>
      <c r="Q772" t="s">
        <v>67</v>
      </c>
      <c r="R772">
        <v>2.86</v>
      </c>
      <c r="S772">
        <v>0.57999999999999996</v>
      </c>
      <c r="T772">
        <v>0.1</v>
      </c>
      <c r="U772">
        <v>96.04</v>
      </c>
      <c r="V772" s="1">
        <v>0</v>
      </c>
      <c r="X772">
        <v>20260422</v>
      </c>
      <c r="Z772" t="s">
        <v>72</v>
      </c>
      <c r="AA772">
        <v>3974527</v>
      </c>
      <c r="AB772" t="s">
        <v>93</v>
      </c>
      <c r="AE772">
        <v>0.86196759259259259</v>
      </c>
      <c r="AF772" t="s">
        <v>70</v>
      </c>
    </row>
    <row r="773" spans="1:32">
      <c r="A773">
        <v>1023366</v>
      </c>
      <c r="B773" t="s">
        <v>75</v>
      </c>
      <c r="C773" t="s">
        <v>62</v>
      </c>
      <c r="D773">
        <v>46133</v>
      </c>
      <c r="E773">
        <v>46133</v>
      </c>
      <c r="G773">
        <v>368</v>
      </c>
      <c r="H773" t="s">
        <v>63</v>
      </c>
      <c r="I773">
        <v>8521</v>
      </c>
      <c r="J773">
        <v>47384</v>
      </c>
      <c r="L773" t="s">
        <v>1147</v>
      </c>
      <c r="M773" t="s">
        <v>65</v>
      </c>
      <c r="N773" t="s">
        <v>66</v>
      </c>
      <c r="O773" s="2">
        <v>46133</v>
      </c>
      <c r="P773" s="1">
        <v>19.899999999999999</v>
      </c>
      <c r="Q773" t="s">
        <v>67</v>
      </c>
      <c r="R773">
        <v>0.57999999999999996</v>
      </c>
      <c r="S773">
        <v>0.26</v>
      </c>
      <c r="T773">
        <v>0.05</v>
      </c>
      <c r="U773">
        <v>19.27</v>
      </c>
      <c r="V773" s="1">
        <v>10926.14</v>
      </c>
      <c r="W773">
        <v>46134</v>
      </c>
      <c r="X773">
        <v>20260422</v>
      </c>
      <c r="Z773" t="s">
        <v>68</v>
      </c>
      <c r="AA773">
        <v>3974527</v>
      </c>
      <c r="AB773" t="s">
        <v>79</v>
      </c>
      <c r="AE773">
        <v>0.86958333333333337</v>
      </c>
      <c r="AF773" t="s">
        <v>70</v>
      </c>
    </row>
    <row r="774" spans="1:32">
      <c r="A774">
        <v>1023366</v>
      </c>
      <c r="B774" t="s">
        <v>201</v>
      </c>
      <c r="C774" t="s">
        <v>62</v>
      </c>
      <c r="D774">
        <v>46133</v>
      </c>
      <c r="E774">
        <v>46133</v>
      </c>
      <c r="G774">
        <v>368</v>
      </c>
      <c r="H774" t="s">
        <v>63</v>
      </c>
      <c r="I774">
        <v>8499</v>
      </c>
      <c r="J774">
        <v>81739</v>
      </c>
      <c r="L774" t="s">
        <v>1148</v>
      </c>
      <c r="M774" t="s">
        <v>65</v>
      </c>
      <c r="N774" t="s">
        <v>66</v>
      </c>
      <c r="O774" s="2">
        <v>46133</v>
      </c>
      <c r="P774" s="1">
        <v>298</v>
      </c>
      <c r="Q774" t="s">
        <v>67</v>
      </c>
      <c r="R774">
        <v>8.61</v>
      </c>
      <c r="S774">
        <v>2.35</v>
      </c>
      <c r="T774">
        <v>0.42</v>
      </c>
      <c r="U774">
        <v>288.97000000000003</v>
      </c>
      <c r="V774" s="1">
        <v>288.97000000000003</v>
      </c>
      <c r="W774">
        <v>46134</v>
      </c>
      <c r="X774">
        <v>20260422</v>
      </c>
      <c r="Z774" t="s">
        <v>72</v>
      </c>
      <c r="AA774">
        <v>3974527</v>
      </c>
      <c r="AB774" t="s">
        <v>203</v>
      </c>
      <c r="AE774">
        <v>0.76967592592592593</v>
      </c>
      <c r="AF774" t="s">
        <v>70</v>
      </c>
    </row>
    <row r="775" spans="1:32">
      <c r="A775">
        <v>1023366</v>
      </c>
      <c r="B775" t="s">
        <v>61</v>
      </c>
      <c r="C775" t="s">
        <v>62</v>
      </c>
      <c r="D775">
        <v>46134</v>
      </c>
      <c r="E775">
        <v>46134</v>
      </c>
      <c r="G775">
        <v>369</v>
      </c>
      <c r="H775" t="s">
        <v>63</v>
      </c>
      <c r="I775">
        <v>8590</v>
      </c>
      <c r="J775">
        <v>169070</v>
      </c>
      <c r="K775">
        <v>4</v>
      </c>
      <c r="L775" t="s">
        <v>1149</v>
      </c>
      <c r="M775" t="s">
        <v>65</v>
      </c>
      <c r="N775" t="s">
        <v>66</v>
      </c>
      <c r="O775" s="2">
        <v>46134</v>
      </c>
      <c r="P775" s="1">
        <v>908</v>
      </c>
      <c r="Q775" t="s">
        <v>67</v>
      </c>
      <c r="R775">
        <v>26.24</v>
      </c>
      <c r="S775">
        <v>7.17</v>
      </c>
      <c r="T775">
        <v>1.29</v>
      </c>
      <c r="U775">
        <v>880.47</v>
      </c>
      <c r="V775" s="1">
        <v>880.47</v>
      </c>
      <c r="W775">
        <v>46135</v>
      </c>
      <c r="X775">
        <v>20260423</v>
      </c>
      <c r="Z775" t="s">
        <v>72</v>
      </c>
      <c r="AA775">
        <v>3974527</v>
      </c>
      <c r="AB775" t="s">
        <v>73</v>
      </c>
      <c r="AC775" t="s">
        <v>74</v>
      </c>
      <c r="AE775">
        <v>0.80188657407407404</v>
      </c>
      <c r="AF775" t="s">
        <v>70</v>
      </c>
    </row>
    <row r="776" spans="1:32">
      <c r="A776">
        <v>1023366</v>
      </c>
      <c r="B776" t="s">
        <v>75</v>
      </c>
      <c r="C776" t="s">
        <v>62</v>
      </c>
      <c r="D776">
        <v>46134</v>
      </c>
      <c r="E776">
        <v>46134</v>
      </c>
      <c r="G776">
        <v>369</v>
      </c>
      <c r="H776" t="s">
        <v>63</v>
      </c>
      <c r="I776">
        <v>8536</v>
      </c>
      <c r="J776">
        <v>896083</v>
      </c>
      <c r="L776" t="s">
        <v>1150</v>
      </c>
      <c r="M776" t="s">
        <v>65</v>
      </c>
      <c r="N776" t="s">
        <v>66</v>
      </c>
      <c r="O776" s="2">
        <v>46134</v>
      </c>
      <c r="P776" s="1">
        <v>1365</v>
      </c>
      <c r="Q776" t="s">
        <v>67</v>
      </c>
      <c r="R776">
        <v>39.450000000000003</v>
      </c>
      <c r="S776">
        <v>17.61</v>
      </c>
      <c r="T776">
        <v>3.17</v>
      </c>
      <c r="U776">
        <v>1322.38</v>
      </c>
      <c r="V776" s="1">
        <v>0</v>
      </c>
      <c r="X776">
        <v>20260423</v>
      </c>
      <c r="Z776" t="s">
        <v>68</v>
      </c>
      <c r="AA776">
        <v>3974527</v>
      </c>
      <c r="AB776" t="s">
        <v>93</v>
      </c>
      <c r="AE776">
        <v>0.4448611111111111</v>
      </c>
      <c r="AF776" t="s">
        <v>70</v>
      </c>
    </row>
    <row r="777" spans="1:32">
      <c r="A777">
        <v>1023366</v>
      </c>
      <c r="B777" t="s">
        <v>75</v>
      </c>
      <c r="C777" t="s">
        <v>62</v>
      </c>
      <c r="D777">
        <v>46134</v>
      </c>
      <c r="E777">
        <v>46134</v>
      </c>
      <c r="G777">
        <v>369</v>
      </c>
      <c r="H777" t="s">
        <v>63</v>
      </c>
      <c r="I777">
        <v>8538</v>
      </c>
      <c r="J777">
        <v>988158</v>
      </c>
      <c r="L777" t="s">
        <v>1151</v>
      </c>
      <c r="M777" t="s">
        <v>65</v>
      </c>
      <c r="N777" t="s">
        <v>66</v>
      </c>
      <c r="O777" s="2">
        <v>46134</v>
      </c>
      <c r="P777" s="1">
        <v>1107</v>
      </c>
      <c r="Q777" t="s">
        <v>67</v>
      </c>
      <c r="R777">
        <v>31.99</v>
      </c>
      <c r="S777">
        <v>14.28</v>
      </c>
      <c r="T777">
        <v>2.57</v>
      </c>
      <c r="U777">
        <v>1072.44</v>
      </c>
      <c r="V777" s="1">
        <v>0</v>
      </c>
      <c r="X777">
        <v>20260423</v>
      </c>
      <c r="Z777" t="s">
        <v>68</v>
      </c>
      <c r="AA777">
        <v>3974527</v>
      </c>
      <c r="AB777" t="s">
        <v>81</v>
      </c>
      <c r="AE777">
        <v>0.45008101851851851</v>
      </c>
      <c r="AF777" t="s">
        <v>70</v>
      </c>
    </row>
    <row r="778" spans="1:32">
      <c r="A778">
        <v>1023366</v>
      </c>
      <c r="B778" t="s">
        <v>75</v>
      </c>
      <c r="C778" t="s">
        <v>62</v>
      </c>
      <c r="D778">
        <v>46134</v>
      </c>
      <c r="E778">
        <v>46134</v>
      </c>
      <c r="G778">
        <v>369</v>
      </c>
      <c r="H778" t="s">
        <v>63</v>
      </c>
      <c r="I778">
        <v>8541</v>
      </c>
      <c r="J778">
        <v>428928</v>
      </c>
      <c r="L778" t="s">
        <v>1152</v>
      </c>
      <c r="M778" t="s">
        <v>65</v>
      </c>
      <c r="N778" t="s">
        <v>66</v>
      </c>
      <c r="O778" s="2">
        <v>46134</v>
      </c>
      <c r="P778" s="1">
        <v>124</v>
      </c>
      <c r="Q778" t="s">
        <v>67</v>
      </c>
      <c r="R778">
        <v>3.58</v>
      </c>
      <c r="S778">
        <v>1.6</v>
      </c>
      <c r="T778">
        <v>0.28999999999999998</v>
      </c>
      <c r="U778">
        <v>120.13</v>
      </c>
      <c r="V778" s="1">
        <v>0</v>
      </c>
      <c r="X778">
        <v>20260423</v>
      </c>
      <c r="Z778" t="s">
        <v>68</v>
      </c>
      <c r="AA778">
        <v>3974527</v>
      </c>
      <c r="AB778" t="s">
        <v>81</v>
      </c>
      <c r="AE778">
        <v>0.51606481481481481</v>
      </c>
      <c r="AF778" t="s">
        <v>70</v>
      </c>
    </row>
    <row r="779" spans="1:32">
      <c r="A779">
        <v>1023366</v>
      </c>
      <c r="B779" t="s">
        <v>75</v>
      </c>
      <c r="C779" t="s">
        <v>62</v>
      </c>
      <c r="D779">
        <v>46134</v>
      </c>
      <c r="E779">
        <v>46134</v>
      </c>
      <c r="G779">
        <v>369</v>
      </c>
      <c r="H779" t="s">
        <v>63</v>
      </c>
      <c r="I779">
        <v>8543</v>
      </c>
      <c r="J779">
        <v>268378</v>
      </c>
      <c r="L779" t="s">
        <v>1153</v>
      </c>
      <c r="M779" t="s">
        <v>65</v>
      </c>
      <c r="N779" t="s">
        <v>66</v>
      </c>
      <c r="O779" s="2">
        <v>46134</v>
      </c>
      <c r="P779" s="1">
        <v>69</v>
      </c>
      <c r="Q779" t="s">
        <v>67</v>
      </c>
      <c r="R779">
        <v>1.99</v>
      </c>
      <c r="S779">
        <v>0.4</v>
      </c>
      <c r="T779">
        <v>7.0000000000000007E-2</v>
      </c>
      <c r="U779">
        <v>66.94</v>
      </c>
      <c r="V779" s="1">
        <v>0</v>
      </c>
      <c r="X779">
        <v>20260423</v>
      </c>
      <c r="Z779" t="s">
        <v>72</v>
      </c>
      <c r="AA779">
        <v>3974527</v>
      </c>
      <c r="AB779" t="s">
        <v>93</v>
      </c>
      <c r="AE779">
        <v>0.52688657407407402</v>
      </c>
      <c r="AF779" t="s">
        <v>70</v>
      </c>
    </row>
    <row r="780" spans="1:32">
      <c r="A780">
        <v>1023366</v>
      </c>
      <c r="B780" t="s">
        <v>75</v>
      </c>
      <c r="C780" t="s">
        <v>62</v>
      </c>
      <c r="D780">
        <v>46134</v>
      </c>
      <c r="E780">
        <v>46134</v>
      </c>
      <c r="G780">
        <v>369</v>
      </c>
      <c r="H780" t="s">
        <v>63</v>
      </c>
      <c r="I780">
        <v>8545</v>
      </c>
      <c r="J780">
        <v>171976</v>
      </c>
      <c r="L780" t="s">
        <v>1154</v>
      </c>
      <c r="M780" t="s">
        <v>65</v>
      </c>
      <c r="N780" t="s">
        <v>66</v>
      </c>
      <c r="O780" s="2">
        <v>46134</v>
      </c>
      <c r="P780" s="1">
        <v>767</v>
      </c>
      <c r="Q780" t="s">
        <v>67</v>
      </c>
      <c r="R780">
        <v>22.17</v>
      </c>
      <c r="S780">
        <v>6.06</v>
      </c>
      <c r="T780">
        <v>1.0900000000000001</v>
      </c>
      <c r="U780">
        <v>743.74</v>
      </c>
      <c r="V780" s="1">
        <v>0</v>
      </c>
      <c r="X780">
        <v>20260423</v>
      </c>
      <c r="Z780" t="s">
        <v>68</v>
      </c>
      <c r="AA780">
        <v>3974527</v>
      </c>
      <c r="AB780" t="s">
        <v>79</v>
      </c>
      <c r="AE780">
        <v>0.5307291666666667</v>
      </c>
      <c r="AF780" t="s">
        <v>70</v>
      </c>
    </row>
    <row r="781" spans="1:32">
      <c r="A781">
        <v>1023366</v>
      </c>
      <c r="B781" t="s">
        <v>75</v>
      </c>
      <c r="C781" t="s">
        <v>62</v>
      </c>
      <c r="D781">
        <v>46134</v>
      </c>
      <c r="E781">
        <v>46134</v>
      </c>
      <c r="G781">
        <v>369</v>
      </c>
      <c r="H781" t="s">
        <v>63</v>
      </c>
      <c r="I781">
        <v>8547</v>
      </c>
      <c r="J781">
        <v>321808</v>
      </c>
      <c r="L781" t="s">
        <v>1155</v>
      </c>
      <c r="M781" t="s">
        <v>65</v>
      </c>
      <c r="N781" t="s">
        <v>66</v>
      </c>
      <c r="O781" s="2">
        <v>46134</v>
      </c>
      <c r="P781" s="1">
        <v>229</v>
      </c>
      <c r="Q781" t="s">
        <v>67</v>
      </c>
      <c r="R781">
        <v>6.62</v>
      </c>
      <c r="S781">
        <v>2.96</v>
      </c>
      <c r="T781">
        <v>0.53</v>
      </c>
      <c r="U781">
        <v>221.85</v>
      </c>
      <c r="V781" s="1">
        <v>0</v>
      </c>
      <c r="X781">
        <v>20260423</v>
      </c>
      <c r="Z781" t="s">
        <v>68</v>
      </c>
      <c r="AA781">
        <v>3974527</v>
      </c>
      <c r="AB781" t="s">
        <v>93</v>
      </c>
      <c r="AE781">
        <v>0.53744212962962967</v>
      </c>
      <c r="AF781" t="s">
        <v>70</v>
      </c>
    </row>
    <row r="782" spans="1:32">
      <c r="A782">
        <v>1023366</v>
      </c>
      <c r="B782" t="s">
        <v>75</v>
      </c>
      <c r="C782" t="s">
        <v>62</v>
      </c>
      <c r="D782">
        <v>46134</v>
      </c>
      <c r="E782">
        <v>46134</v>
      </c>
      <c r="G782">
        <v>369</v>
      </c>
      <c r="H782" t="s">
        <v>63</v>
      </c>
      <c r="I782">
        <v>8549</v>
      </c>
      <c r="J782">
        <v>929290</v>
      </c>
      <c r="L782" t="s">
        <v>1156</v>
      </c>
      <c r="M782" t="s">
        <v>65</v>
      </c>
      <c r="N782" t="s">
        <v>66</v>
      </c>
      <c r="O782" s="2">
        <v>46134</v>
      </c>
      <c r="P782" s="1">
        <v>189</v>
      </c>
      <c r="Q782" t="s">
        <v>67</v>
      </c>
      <c r="R782">
        <v>5.46</v>
      </c>
      <c r="S782">
        <v>1.1100000000000001</v>
      </c>
      <c r="T782">
        <v>0.2</v>
      </c>
      <c r="U782">
        <v>183.34</v>
      </c>
      <c r="V782" s="1">
        <v>0</v>
      </c>
      <c r="X782">
        <v>20260423</v>
      </c>
      <c r="Z782" t="s">
        <v>72</v>
      </c>
      <c r="AA782">
        <v>3974527</v>
      </c>
      <c r="AB782" t="s">
        <v>106</v>
      </c>
      <c r="AE782">
        <v>0.53901620370370373</v>
      </c>
      <c r="AF782" t="s">
        <v>70</v>
      </c>
    </row>
    <row r="783" spans="1:32">
      <c r="A783">
        <v>1023366</v>
      </c>
      <c r="B783" t="s">
        <v>75</v>
      </c>
      <c r="C783" t="s">
        <v>62</v>
      </c>
      <c r="D783">
        <v>46134</v>
      </c>
      <c r="E783">
        <v>46134</v>
      </c>
      <c r="G783">
        <v>369</v>
      </c>
      <c r="H783" t="s">
        <v>63</v>
      </c>
      <c r="I783">
        <v>8551</v>
      </c>
      <c r="J783">
        <v>583178</v>
      </c>
      <c r="L783" t="s">
        <v>1157</v>
      </c>
      <c r="M783" t="s">
        <v>65</v>
      </c>
      <c r="N783" t="s">
        <v>66</v>
      </c>
      <c r="O783" s="2">
        <v>46134</v>
      </c>
      <c r="P783" s="1">
        <v>65</v>
      </c>
      <c r="Q783" t="s">
        <v>67</v>
      </c>
      <c r="R783">
        <v>1.88</v>
      </c>
      <c r="S783">
        <v>0.51</v>
      </c>
      <c r="T783">
        <v>0.09</v>
      </c>
      <c r="U783">
        <v>63.03</v>
      </c>
      <c r="V783" s="1">
        <v>0</v>
      </c>
      <c r="X783">
        <v>20260423</v>
      </c>
      <c r="Z783" t="s">
        <v>72</v>
      </c>
      <c r="AA783">
        <v>3974527</v>
      </c>
      <c r="AB783" t="s">
        <v>77</v>
      </c>
      <c r="AE783">
        <v>0.54054398148148153</v>
      </c>
      <c r="AF783" t="s">
        <v>70</v>
      </c>
    </row>
    <row r="784" spans="1:32">
      <c r="A784">
        <v>1023366</v>
      </c>
      <c r="B784" t="s">
        <v>75</v>
      </c>
      <c r="C784" t="s">
        <v>62</v>
      </c>
      <c r="D784">
        <v>46134</v>
      </c>
      <c r="E784">
        <v>46134</v>
      </c>
      <c r="G784">
        <v>369</v>
      </c>
      <c r="H784" t="s">
        <v>63</v>
      </c>
      <c r="I784">
        <v>8553</v>
      </c>
      <c r="J784">
        <v>378584</v>
      </c>
      <c r="L784" t="s">
        <v>1158</v>
      </c>
      <c r="M784" t="s">
        <v>65</v>
      </c>
      <c r="N784" t="s">
        <v>66</v>
      </c>
      <c r="O784" s="2">
        <v>46134</v>
      </c>
      <c r="P784" s="1">
        <v>269</v>
      </c>
      <c r="Q784" t="s">
        <v>67</v>
      </c>
      <c r="R784">
        <v>7.77</v>
      </c>
      <c r="S784">
        <v>1.58</v>
      </c>
      <c r="T784">
        <v>0.28000000000000003</v>
      </c>
      <c r="U784">
        <v>260.95</v>
      </c>
      <c r="V784" s="1">
        <v>0</v>
      </c>
      <c r="X784">
        <v>20260423</v>
      </c>
      <c r="Z784" t="s">
        <v>72</v>
      </c>
      <c r="AA784">
        <v>3974527</v>
      </c>
      <c r="AB784" t="s">
        <v>93</v>
      </c>
      <c r="AE784">
        <v>0.54821759259259262</v>
      </c>
      <c r="AF784" t="s">
        <v>70</v>
      </c>
    </row>
    <row r="785" spans="1:32">
      <c r="A785">
        <v>1023366</v>
      </c>
      <c r="B785" t="s">
        <v>75</v>
      </c>
      <c r="C785" t="s">
        <v>62</v>
      </c>
      <c r="D785">
        <v>46134</v>
      </c>
      <c r="E785">
        <v>46134</v>
      </c>
      <c r="G785">
        <v>369</v>
      </c>
      <c r="H785" t="s">
        <v>63</v>
      </c>
      <c r="I785">
        <v>8555</v>
      </c>
      <c r="J785">
        <v>194168</v>
      </c>
      <c r="L785" t="s">
        <v>1159</v>
      </c>
      <c r="M785" t="s">
        <v>65</v>
      </c>
      <c r="N785" t="s">
        <v>66</v>
      </c>
      <c r="O785" s="2">
        <v>46134</v>
      </c>
      <c r="P785" s="1">
        <v>1099</v>
      </c>
      <c r="Q785" t="s">
        <v>67</v>
      </c>
      <c r="R785">
        <v>31.76</v>
      </c>
      <c r="S785">
        <v>4.28</v>
      </c>
      <c r="T785">
        <v>0.77</v>
      </c>
      <c r="U785">
        <v>1066.47</v>
      </c>
      <c r="V785" s="1">
        <v>0</v>
      </c>
      <c r="X785">
        <v>20260423</v>
      </c>
      <c r="Z785" t="s">
        <v>72</v>
      </c>
      <c r="AA785">
        <v>3974527</v>
      </c>
      <c r="AB785" t="s">
        <v>77</v>
      </c>
      <c r="AE785">
        <v>0.55524305555555553</v>
      </c>
      <c r="AF785" t="s">
        <v>70</v>
      </c>
    </row>
    <row r="786" spans="1:32">
      <c r="A786">
        <v>1023366</v>
      </c>
      <c r="B786" t="s">
        <v>75</v>
      </c>
      <c r="C786" t="s">
        <v>62</v>
      </c>
      <c r="D786">
        <v>46134</v>
      </c>
      <c r="E786">
        <v>46134</v>
      </c>
      <c r="G786">
        <v>369</v>
      </c>
      <c r="H786" t="s">
        <v>63</v>
      </c>
      <c r="I786">
        <v>8557</v>
      </c>
      <c r="J786">
        <v>535859</v>
      </c>
      <c r="L786" t="s">
        <v>208</v>
      </c>
      <c r="M786" t="s">
        <v>65</v>
      </c>
      <c r="N786" t="s">
        <v>66</v>
      </c>
      <c r="O786" s="2">
        <v>46134</v>
      </c>
      <c r="P786" s="1">
        <v>17.899999999999999</v>
      </c>
      <c r="Q786" t="s">
        <v>67</v>
      </c>
      <c r="R786">
        <v>0.52</v>
      </c>
      <c r="S786">
        <v>0.23</v>
      </c>
      <c r="T786">
        <v>0.04</v>
      </c>
      <c r="U786">
        <v>17.34</v>
      </c>
      <c r="V786" s="1">
        <v>0</v>
      </c>
      <c r="X786">
        <v>20260423</v>
      </c>
      <c r="Z786" t="s">
        <v>68</v>
      </c>
      <c r="AA786">
        <v>3974527</v>
      </c>
      <c r="AB786" t="s">
        <v>79</v>
      </c>
      <c r="AE786">
        <v>0.55857638888888894</v>
      </c>
      <c r="AF786" t="s">
        <v>70</v>
      </c>
    </row>
    <row r="787" spans="1:32">
      <c r="A787">
        <v>1023366</v>
      </c>
      <c r="B787" t="s">
        <v>75</v>
      </c>
      <c r="C787" t="s">
        <v>62</v>
      </c>
      <c r="D787">
        <v>46134</v>
      </c>
      <c r="E787">
        <v>46134</v>
      </c>
      <c r="G787">
        <v>369</v>
      </c>
      <c r="H787" t="s">
        <v>63</v>
      </c>
      <c r="I787">
        <v>8560</v>
      </c>
      <c r="J787">
        <v>247749</v>
      </c>
      <c r="L787" t="s">
        <v>1160</v>
      </c>
      <c r="M787" t="s">
        <v>65</v>
      </c>
      <c r="N787" t="s">
        <v>66</v>
      </c>
      <c r="O787" s="2">
        <v>46134</v>
      </c>
      <c r="P787" s="1">
        <v>179</v>
      </c>
      <c r="Q787" t="s">
        <v>67</v>
      </c>
      <c r="R787">
        <v>5.17</v>
      </c>
      <c r="S787">
        <v>2.31</v>
      </c>
      <c r="T787">
        <v>0.42</v>
      </c>
      <c r="U787">
        <v>173.41</v>
      </c>
      <c r="V787" s="1">
        <v>0</v>
      </c>
      <c r="X787">
        <v>20260423</v>
      </c>
      <c r="Z787" t="s">
        <v>68</v>
      </c>
      <c r="AA787">
        <v>3974527</v>
      </c>
      <c r="AB787" t="s">
        <v>81</v>
      </c>
      <c r="AE787">
        <v>0.56008101851851855</v>
      </c>
      <c r="AF787" t="s">
        <v>70</v>
      </c>
    </row>
    <row r="788" spans="1:32">
      <c r="A788">
        <v>1023366</v>
      </c>
      <c r="B788" t="s">
        <v>75</v>
      </c>
      <c r="C788" t="s">
        <v>62</v>
      </c>
      <c r="D788">
        <v>46134</v>
      </c>
      <c r="E788">
        <v>46134</v>
      </c>
      <c r="G788">
        <v>369</v>
      </c>
      <c r="H788" t="s">
        <v>63</v>
      </c>
      <c r="I788">
        <v>8562</v>
      </c>
      <c r="J788">
        <v>3896</v>
      </c>
      <c r="L788" t="s">
        <v>1161</v>
      </c>
      <c r="M788" t="s">
        <v>65</v>
      </c>
      <c r="N788" t="s">
        <v>66</v>
      </c>
      <c r="O788" s="2">
        <v>46134</v>
      </c>
      <c r="P788" s="1">
        <v>349</v>
      </c>
      <c r="Q788" t="s">
        <v>67</v>
      </c>
      <c r="R788">
        <v>10.09</v>
      </c>
      <c r="S788">
        <v>2.76</v>
      </c>
      <c r="T788">
        <v>0.5</v>
      </c>
      <c r="U788">
        <v>338.41</v>
      </c>
      <c r="V788" s="1">
        <v>0</v>
      </c>
      <c r="X788">
        <v>20260423</v>
      </c>
      <c r="Z788" t="s">
        <v>72</v>
      </c>
      <c r="AA788">
        <v>3974527</v>
      </c>
      <c r="AB788" t="s">
        <v>79</v>
      </c>
      <c r="AE788">
        <v>0.59890046296296295</v>
      </c>
      <c r="AF788" t="s">
        <v>70</v>
      </c>
    </row>
    <row r="789" spans="1:32">
      <c r="A789">
        <v>1023366</v>
      </c>
      <c r="B789" t="s">
        <v>75</v>
      </c>
      <c r="C789" t="s">
        <v>62</v>
      </c>
      <c r="D789">
        <v>46134</v>
      </c>
      <c r="E789">
        <v>46134</v>
      </c>
      <c r="G789">
        <v>369</v>
      </c>
      <c r="H789" t="s">
        <v>63</v>
      </c>
      <c r="I789">
        <v>8565</v>
      </c>
      <c r="J789">
        <v>290384</v>
      </c>
      <c r="L789" t="s">
        <v>1162</v>
      </c>
      <c r="M789" t="s">
        <v>65</v>
      </c>
      <c r="N789" t="s">
        <v>66</v>
      </c>
      <c r="O789" s="2">
        <v>46134</v>
      </c>
      <c r="P789" s="1">
        <v>189</v>
      </c>
      <c r="Q789" t="s">
        <v>67</v>
      </c>
      <c r="R789">
        <v>5.46</v>
      </c>
      <c r="S789">
        <v>2.44</v>
      </c>
      <c r="T789">
        <v>0.44</v>
      </c>
      <c r="U789">
        <v>183.1</v>
      </c>
      <c r="V789" s="1">
        <v>0</v>
      </c>
      <c r="X789">
        <v>20260423</v>
      </c>
      <c r="Z789" t="s">
        <v>68</v>
      </c>
      <c r="AA789">
        <v>3974527</v>
      </c>
      <c r="AB789" t="s">
        <v>81</v>
      </c>
      <c r="AE789">
        <v>0.63593750000000004</v>
      </c>
      <c r="AF789" t="s">
        <v>70</v>
      </c>
    </row>
    <row r="790" spans="1:32">
      <c r="A790">
        <v>1023366</v>
      </c>
      <c r="B790" t="s">
        <v>75</v>
      </c>
      <c r="C790" t="s">
        <v>62</v>
      </c>
      <c r="D790">
        <v>46134</v>
      </c>
      <c r="E790">
        <v>46134</v>
      </c>
      <c r="G790">
        <v>369</v>
      </c>
      <c r="H790" t="s">
        <v>63</v>
      </c>
      <c r="I790">
        <v>8567</v>
      </c>
      <c r="J790">
        <v>732852</v>
      </c>
      <c r="L790" t="s">
        <v>1163</v>
      </c>
      <c r="M790" t="s">
        <v>65</v>
      </c>
      <c r="N790" t="s">
        <v>66</v>
      </c>
      <c r="O790" s="2">
        <v>46134</v>
      </c>
      <c r="P790" s="1">
        <v>200</v>
      </c>
      <c r="Q790" t="s">
        <v>67</v>
      </c>
      <c r="R790">
        <v>5.78</v>
      </c>
      <c r="S790">
        <v>2.58</v>
      </c>
      <c r="T790">
        <v>0.46</v>
      </c>
      <c r="U790">
        <v>193.76</v>
      </c>
      <c r="V790" s="1">
        <v>0</v>
      </c>
      <c r="X790">
        <v>20260423</v>
      </c>
      <c r="Z790" t="s">
        <v>68</v>
      </c>
      <c r="AA790">
        <v>3974527</v>
      </c>
      <c r="AB790" t="s">
        <v>79</v>
      </c>
      <c r="AE790">
        <v>0.64322916666666663</v>
      </c>
      <c r="AF790" t="s">
        <v>70</v>
      </c>
    </row>
    <row r="791" spans="1:32">
      <c r="A791">
        <v>1023366</v>
      </c>
      <c r="B791" t="s">
        <v>75</v>
      </c>
      <c r="C791" t="s">
        <v>62</v>
      </c>
      <c r="D791">
        <v>46134</v>
      </c>
      <c r="E791">
        <v>46134</v>
      </c>
      <c r="G791">
        <v>369</v>
      </c>
      <c r="H791" t="s">
        <v>63</v>
      </c>
      <c r="I791">
        <v>8570</v>
      </c>
      <c r="J791" t="s">
        <v>1164</v>
      </c>
      <c r="L791" t="s">
        <v>1165</v>
      </c>
      <c r="M791" t="s">
        <v>65</v>
      </c>
      <c r="N791" t="s">
        <v>66</v>
      </c>
      <c r="O791" s="2">
        <v>46134</v>
      </c>
      <c r="P791" s="1">
        <v>35</v>
      </c>
      <c r="Q791" t="s">
        <v>67</v>
      </c>
      <c r="R791">
        <v>1.01</v>
      </c>
      <c r="S791">
        <v>0.27</v>
      </c>
      <c r="T791">
        <v>0.05</v>
      </c>
      <c r="U791">
        <v>33.94</v>
      </c>
      <c r="V791" s="1">
        <v>0</v>
      </c>
      <c r="X791">
        <v>20260423</v>
      </c>
      <c r="Z791" t="s">
        <v>72</v>
      </c>
      <c r="AA791">
        <v>3974527</v>
      </c>
      <c r="AB791" t="s">
        <v>79</v>
      </c>
      <c r="AE791">
        <v>0.66842592592592598</v>
      </c>
      <c r="AF791" t="s">
        <v>70</v>
      </c>
    </row>
    <row r="792" spans="1:32">
      <c r="A792">
        <v>1023366</v>
      </c>
      <c r="B792" t="s">
        <v>75</v>
      </c>
      <c r="C792" t="s">
        <v>62</v>
      </c>
      <c r="D792">
        <v>46134</v>
      </c>
      <c r="E792">
        <v>46134</v>
      </c>
      <c r="G792">
        <v>369</v>
      </c>
      <c r="H792" t="s">
        <v>63</v>
      </c>
      <c r="I792">
        <v>8575</v>
      </c>
      <c r="J792">
        <v>943339</v>
      </c>
      <c r="L792" t="s">
        <v>1166</v>
      </c>
      <c r="M792" t="s">
        <v>65</v>
      </c>
      <c r="N792" t="s">
        <v>66</v>
      </c>
      <c r="O792" s="2">
        <v>46134</v>
      </c>
      <c r="P792" s="1">
        <v>1073</v>
      </c>
      <c r="Q792" t="s">
        <v>67</v>
      </c>
      <c r="R792">
        <v>31.01</v>
      </c>
      <c r="S792">
        <v>13.84</v>
      </c>
      <c r="T792">
        <v>2.4900000000000002</v>
      </c>
      <c r="U792">
        <v>1039.5</v>
      </c>
      <c r="V792" s="1">
        <v>0</v>
      </c>
      <c r="X792">
        <v>20260423</v>
      </c>
      <c r="Z792" t="s">
        <v>68</v>
      </c>
      <c r="AA792">
        <v>3974527</v>
      </c>
      <c r="AB792" t="s">
        <v>93</v>
      </c>
      <c r="AE792">
        <v>0.67287037037037034</v>
      </c>
      <c r="AF792" t="s">
        <v>70</v>
      </c>
    </row>
    <row r="793" spans="1:32">
      <c r="A793">
        <v>1023366</v>
      </c>
      <c r="B793" t="s">
        <v>75</v>
      </c>
      <c r="C793" t="s">
        <v>62</v>
      </c>
      <c r="D793">
        <v>46134</v>
      </c>
      <c r="E793">
        <v>46134</v>
      </c>
      <c r="G793">
        <v>369</v>
      </c>
      <c r="H793">
        <v>65656565</v>
      </c>
      <c r="I793">
        <v>8577</v>
      </c>
      <c r="J793">
        <v>859176</v>
      </c>
      <c r="L793" t="s">
        <v>1167</v>
      </c>
      <c r="M793" t="s">
        <v>65</v>
      </c>
      <c r="N793" t="s">
        <v>66</v>
      </c>
      <c r="O793" s="2">
        <v>46134</v>
      </c>
      <c r="P793" s="1">
        <v>47.25</v>
      </c>
      <c r="Q793" t="s">
        <v>67</v>
      </c>
      <c r="R793">
        <v>1.36</v>
      </c>
      <c r="S793">
        <v>0.6</v>
      </c>
      <c r="T793">
        <v>0.11</v>
      </c>
      <c r="U793">
        <v>45.78</v>
      </c>
      <c r="V793" s="1">
        <v>0</v>
      </c>
      <c r="X793">
        <v>20260423</v>
      </c>
      <c r="Z793" t="s">
        <v>68</v>
      </c>
      <c r="AA793">
        <v>3974527</v>
      </c>
      <c r="AB793" t="s">
        <v>79</v>
      </c>
      <c r="AD793" t="s">
        <v>88</v>
      </c>
      <c r="AE793">
        <v>0.6965393518518519</v>
      </c>
      <c r="AF793" t="s">
        <v>70</v>
      </c>
    </row>
    <row r="794" spans="1:32">
      <c r="A794">
        <v>1023366</v>
      </c>
      <c r="B794" t="s">
        <v>75</v>
      </c>
      <c r="C794" t="s">
        <v>62</v>
      </c>
      <c r="D794">
        <v>46134</v>
      </c>
      <c r="E794">
        <v>46134</v>
      </c>
      <c r="G794">
        <v>369</v>
      </c>
      <c r="H794" t="s">
        <v>63</v>
      </c>
      <c r="I794">
        <v>8580</v>
      </c>
      <c r="J794">
        <v>232469</v>
      </c>
      <c r="K794">
        <v>3</v>
      </c>
      <c r="L794" t="s">
        <v>1168</v>
      </c>
      <c r="M794" t="s">
        <v>65</v>
      </c>
      <c r="N794" t="s">
        <v>66</v>
      </c>
      <c r="O794" s="2">
        <v>46134</v>
      </c>
      <c r="P794" s="1">
        <v>908</v>
      </c>
      <c r="Q794" t="s">
        <v>67</v>
      </c>
      <c r="R794">
        <v>42.13</v>
      </c>
      <c r="S794">
        <v>5.36</v>
      </c>
      <c r="T794">
        <v>0.96</v>
      </c>
      <c r="U794">
        <v>864.91</v>
      </c>
      <c r="V794" s="1">
        <v>0</v>
      </c>
      <c r="X794">
        <v>20260423</v>
      </c>
      <c r="Z794" t="s">
        <v>72</v>
      </c>
      <c r="AA794">
        <v>3974527</v>
      </c>
      <c r="AB794" t="s">
        <v>93</v>
      </c>
      <c r="AC794" t="s">
        <v>120</v>
      </c>
      <c r="AE794">
        <v>0.73755787037037035</v>
      </c>
      <c r="AF794" t="s">
        <v>70</v>
      </c>
    </row>
    <row r="795" spans="1:32">
      <c r="A795">
        <v>1023366</v>
      </c>
      <c r="B795" t="s">
        <v>75</v>
      </c>
      <c r="C795" t="s">
        <v>62</v>
      </c>
      <c r="D795">
        <v>46134</v>
      </c>
      <c r="E795">
        <v>46134</v>
      </c>
      <c r="G795">
        <v>369</v>
      </c>
      <c r="H795" t="s">
        <v>63</v>
      </c>
      <c r="I795">
        <v>8582</v>
      </c>
      <c r="J795">
        <v>70824</v>
      </c>
      <c r="L795" t="s">
        <v>1169</v>
      </c>
      <c r="M795" t="s">
        <v>65</v>
      </c>
      <c r="N795" t="s">
        <v>66</v>
      </c>
      <c r="O795" s="2">
        <v>46134</v>
      </c>
      <c r="P795" s="1">
        <v>199</v>
      </c>
      <c r="Q795" t="s">
        <v>67</v>
      </c>
      <c r="R795">
        <v>5.75</v>
      </c>
      <c r="S795">
        <v>2.57</v>
      </c>
      <c r="T795">
        <v>0.46</v>
      </c>
      <c r="U795">
        <v>192.79</v>
      </c>
      <c r="V795" s="1">
        <v>0</v>
      </c>
      <c r="X795">
        <v>20260423</v>
      </c>
      <c r="Z795" t="s">
        <v>68</v>
      </c>
      <c r="AA795">
        <v>3974527</v>
      </c>
      <c r="AB795" t="s">
        <v>79</v>
      </c>
      <c r="AE795">
        <v>0.77893518518518523</v>
      </c>
      <c r="AF795" t="s">
        <v>70</v>
      </c>
    </row>
    <row r="796" spans="1:32">
      <c r="A796">
        <v>1023366</v>
      </c>
      <c r="B796" t="s">
        <v>75</v>
      </c>
      <c r="C796" t="s">
        <v>62</v>
      </c>
      <c r="D796">
        <v>46134</v>
      </c>
      <c r="E796">
        <v>46134</v>
      </c>
      <c r="G796">
        <v>369</v>
      </c>
      <c r="H796" t="s">
        <v>63</v>
      </c>
      <c r="I796">
        <v>8584</v>
      </c>
      <c r="J796">
        <v>442180</v>
      </c>
      <c r="L796" t="s">
        <v>1170</v>
      </c>
      <c r="M796" t="s">
        <v>65</v>
      </c>
      <c r="N796" t="s">
        <v>66</v>
      </c>
      <c r="O796" s="2">
        <v>46134</v>
      </c>
      <c r="P796" s="1">
        <v>488</v>
      </c>
      <c r="Q796" t="s">
        <v>67</v>
      </c>
      <c r="R796">
        <v>14.1</v>
      </c>
      <c r="S796">
        <v>3.85</v>
      </c>
      <c r="T796">
        <v>0.69</v>
      </c>
      <c r="U796">
        <v>473.21</v>
      </c>
      <c r="V796" s="1">
        <v>0</v>
      </c>
      <c r="X796">
        <v>20260423</v>
      </c>
      <c r="Z796" t="s">
        <v>72</v>
      </c>
      <c r="AA796">
        <v>3974527</v>
      </c>
      <c r="AB796" t="s">
        <v>77</v>
      </c>
      <c r="AE796">
        <v>0.78070601851851851</v>
      </c>
      <c r="AF796" t="s">
        <v>70</v>
      </c>
    </row>
    <row r="797" spans="1:32">
      <c r="A797">
        <v>1023366</v>
      </c>
      <c r="B797" t="s">
        <v>75</v>
      </c>
      <c r="C797" t="s">
        <v>62</v>
      </c>
      <c r="D797">
        <v>46134</v>
      </c>
      <c r="E797">
        <v>46134</v>
      </c>
      <c r="G797">
        <v>369</v>
      </c>
      <c r="H797" t="s">
        <v>63</v>
      </c>
      <c r="I797">
        <v>8586</v>
      </c>
      <c r="J797">
        <v>480468</v>
      </c>
      <c r="L797" t="s">
        <v>1171</v>
      </c>
      <c r="M797" t="s">
        <v>65</v>
      </c>
      <c r="N797" t="s">
        <v>66</v>
      </c>
      <c r="O797" s="2">
        <v>46134</v>
      </c>
      <c r="P797" s="1">
        <v>169</v>
      </c>
      <c r="Q797" t="s">
        <v>67</v>
      </c>
      <c r="R797">
        <v>4.88</v>
      </c>
      <c r="S797">
        <v>0.65</v>
      </c>
      <c r="T797">
        <v>0.12</v>
      </c>
      <c r="U797">
        <v>164</v>
      </c>
      <c r="V797" s="1">
        <v>0</v>
      </c>
      <c r="X797">
        <v>20260423</v>
      </c>
      <c r="Z797" t="s">
        <v>72</v>
      </c>
      <c r="AA797">
        <v>3974527</v>
      </c>
      <c r="AB797" t="s">
        <v>77</v>
      </c>
      <c r="AE797">
        <v>0.78327546296296291</v>
      </c>
      <c r="AF797" t="s">
        <v>70</v>
      </c>
    </row>
    <row r="798" spans="1:32">
      <c r="A798">
        <v>1023366</v>
      </c>
      <c r="B798" t="s">
        <v>75</v>
      </c>
      <c r="C798" t="s">
        <v>62</v>
      </c>
      <c r="D798">
        <v>46134</v>
      </c>
      <c r="E798">
        <v>46134</v>
      </c>
      <c r="G798">
        <v>369</v>
      </c>
      <c r="H798" t="s">
        <v>63</v>
      </c>
      <c r="I798">
        <v>8588</v>
      </c>
      <c r="J798">
        <v>500801</v>
      </c>
      <c r="L798" t="s">
        <v>1172</v>
      </c>
      <c r="M798" t="s">
        <v>65</v>
      </c>
      <c r="N798" t="s">
        <v>66</v>
      </c>
      <c r="O798" s="2">
        <v>46134</v>
      </c>
      <c r="P798" s="1">
        <v>878</v>
      </c>
      <c r="Q798" t="s">
        <v>67</v>
      </c>
      <c r="R798">
        <v>25.37</v>
      </c>
      <c r="S798">
        <v>5.18</v>
      </c>
      <c r="T798">
        <v>0.93</v>
      </c>
      <c r="U798">
        <v>851.7</v>
      </c>
      <c r="V798" s="1">
        <v>0</v>
      </c>
      <c r="X798">
        <v>20260423</v>
      </c>
      <c r="Z798" t="s">
        <v>72</v>
      </c>
      <c r="AA798">
        <v>3974527</v>
      </c>
      <c r="AB798" t="s">
        <v>93</v>
      </c>
      <c r="AE798">
        <v>0.7867939814814815</v>
      </c>
      <c r="AF798" t="s">
        <v>70</v>
      </c>
    </row>
    <row r="799" spans="1:32">
      <c r="A799">
        <v>1023366</v>
      </c>
      <c r="B799" t="s">
        <v>75</v>
      </c>
      <c r="C799" t="s">
        <v>62</v>
      </c>
      <c r="D799">
        <v>46134</v>
      </c>
      <c r="E799">
        <v>46134</v>
      </c>
      <c r="G799">
        <v>369</v>
      </c>
      <c r="H799" t="s">
        <v>63</v>
      </c>
      <c r="I799">
        <v>8592</v>
      </c>
      <c r="J799">
        <v>339383</v>
      </c>
      <c r="L799" t="s">
        <v>1173</v>
      </c>
      <c r="M799" t="s">
        <v>65</v>
      </c>
      <c r="N799" t="s">
        <v>66</v>
      </c>
      <c r="O799" s="2">
        <v>46134</v>
      </c>
      <c r="P799" s="1">
        <v>55</v>
      </c>
      <c r="Q799" t="s">
        <v>67</v>
      </c>
      <c r="R799">
        <v>1.59</v>
      </c>
      <c r="S799">
        <v>0.71</v>
      </c>
      <c r="T799">
        <v>0.13</v>
      </c>
      <c r="U799">
        <v>53.28</v>
      </c>
      <c r="V799" s="1">
        <v>0</v>
      </c>
      <c r="X799">
        <v>20260423</v>
      </c>
      <c r="Z799" t="s">
        <v>68</v>
      </c>
      <c r="AA799">
        <v>3974527</v>
      </c>
      <c r="AB799" t="s">
        <v>77</v>
      </c>
      <c r="AE799">
        <v>0.80296296296296299</v>
      </c>
      <c r="AF799" t="s">
        <v>70</v>
      </c>
    </row>
    <row r="800" spans="1:32">
      <c r="A800">
        <v>1023366</v>
      </c>
      <c r="B800" t="s">
        <v>75</v>
      </c>
      <c r="C800" t="s">
        <v>62</v>
      </c>
      <c r="D800">
        <v>46134</v>
      </c>
      <c r="E800">
        <v>46134</v>
      </c>
      <c r="G800">
        <v>369</v>
      </c>
      <c r="H800" t="s">
        <v>63</v>
      </c>
      <c r="I800">
        <v>8594</v>
      </c>
      <c r="J800">
        <v>382777</v>
      </c>
      <c r="L800" t="s">
        <v>1174</v>
      </c>
      <c r="M800" t="s">
        <v>65</v>
      </c>
      <c r="N800" t="s">
        <v>66</v>
      </c>
      <c r="O800" s="2">
        <v>46134</v>
      </c>
      <c r="P800" s="1">
        <v>159</v>
      </c>
      <c r="Q800" t="s">
        <v>67</v>
      </c>
      <c r="R800">
        <v>4.5999999999999996</v>
      </c>
      <c r="S800">
        <v>0.62</v>
      </c>
      <c r="T800">
        <v>0.11</v>
      </c>
      <c r="U800">
        <v>154.29</v>
      </c>
      <c r="V800" s="1">
        <v>0</v>
      </c>
      <c r="X800">
        <v>20260423</v>
      </c>
      <c r="Z800" t="s">
        <v>72</v>
      </c>
      <c r="AA800">
        <v>3974527</v>
      </c>
      <c r="AB800" t="s">
        <v>77</v>
      </c>
      <c r="AE800">
        <v>0.8182638888888889</v>
      </c>
      <c r="AF800" t="s">
        <v>70</v>
      </c>
    </row>
    <row r="801" spans="1:32">
      <c r="A801">
        <v>1023366</v>
      </c>
      <c r="B801" t="s">
        <v>75</v>
      </c>
      <c r="C801" t="s">
        <v>62</v>
      </c>
      <c r="D801">
        <v>46134</v>
      </c>
      <c r="E801">
        <v>46134</v>
      </c>
      <c r="G801">
        <v>369</v>
      </c>
      <c r="H801" t="s">
        <v>63</v>
      </c>
      <c r="I801">
        <v>8598</v>
      </c>
      <c r="J801">
        <v>2969</v>
      </c>
      <c r="L801" t="s">
        <v>1091</v>
      </c>
      <c r="M801" t="s">
        <v>65</v>
      </c>
      <c r="N801" t="s">
        <v>66</v>
      </c>
      <c r="O801" s="2">
        <v>46134</v>
      </c>
      <c r="P801" s="1">
        <v>19.899999999999999</v>
      </c>
      <c r="Q801" t="s">
        <v>67</v>
      </c>
      <c r="R801">
        <v>0.57999999999999996</v>
      </c>
      <c r="S801">
        <v>0.08</v>
      </c>
      <c r="T801">
        <v>0.01</v>
      </c>
      <c r="U801">
        <v>19.309999999999999</v>
      </c>
      <c r="V801" s="1">
        <v>0</v>
      </c>
      <c r="X801">
        <v>20260423</v>
      </c>
      <c r="Z801" t="s">
        <v>72</v>
      </c>
      <c r="AA801">
        <v>3974527</v>
      </c>
      <c r="AB801" t="s">
        <v>77</v>
      </c>
      <c r="AE801">
        <v>0.83357638888888885</v>
      </c>
      <c r="AF801" t="s">
        <v>70</v>
      </c>
    </row>
    <row r="802" spans="1:32">
      <c r="A802">
        <v>1023366</v>
      </c>
      <c r="B802" t="s">
        <v>75</v>
      </c>
      <c r="C802" t="s">
        <v>62</v>
      </c>
      <c r="D802">
        <v>46134</v>
      </c>
      <c r="E802">
        <v>46134</v>
      </c>
      <c r="G802">
        <v>369</v>
      </c>
      <c r="H802" t="s">
        <v>63</v>
      </c>
      <c r="I802">
        <v>8602</v>
      </c>
      <c r="J802">
        <v>318255</v>
      </c>
      <c r="L802" t="s">
        <v>1175</v>
      </c>
      <c r="M802" t="s">
        <v>65</v>
      </c>
      <c r="N802" t="s">
        <v>66</v>
      </c>
      <c r="O802" s="2">
        <v>46134</v>
      </c>
      <c r="P802" s="1">
        <v>1549</v>
      </c>
      <c r="Q802" t="s">
        <v>67</v>
      </c>
      <c r="R802">
        <v>44.77</v>
      </c>
      <c r="S802">
        <v>12.24</v>
      </c>
      <c r="T802">
        <v>2.2000000000000002</v>
      </c>
      <c r="U802">
        <v>1502.03</v>
      </c>
      <c r="V802" s="1">
        <v>0</v>
      </c>
      <c r="X802">
        <v>20260423</v>
      </c>
      <c r="Z802" t="s">
        <v>68</v>
      </c>
      <c r="AA802">
        <v>3974527</v>
      </c>
      <c r="AB802" t="s">
        <v>79</v>
      </c>
      <c r="AE802">
        <v>0.87415509259259261</v>
      </c>
      <c r="AF802" t="s">
        <v>70</v>
      </c>
    </row>
    <row r="803" spans="1:32">
      <c r="A803">
        <v>1023366</v>
      </c>
      <c r="B803" t="s">
        <v>75</v>
      </c>
      <c r="C803" t="s">
        <v>62</v>
      </c>
      <c r="D803">
        <v>46134</v>
      </c>
      <c r="E803">
        <v>46134</v>
      </c>
      <c r="G803">
        <v>369</v>
      </c>
      <c r="H803">
        <v>65656565</v>
      </c>
      <c r="I803">
        <v>8604</v>
      </c>
      <c r="J803">
        <v>653495</v>
      </c>
      <c r="L803" t="s">
        <v>1176</v>
      </c>
      <c r="M803" t="s">
        <v>65</v>
      </c>
      <c r="N803" t="s">
        <v>66</v>
      </c>
      <c r="O803" s="2">
        <v>46134</v>
      </c>
      <c r="P803" s="1">
        <v>269</v>
      </c>
      <c r="Q803" t="s">
        <v>67</v>
      </c>
      <c r="R803">
        <v>7.77</v>
      </c>
      <c r="S803">
        <v>3.47</v>
      </c>
      <c r="T803">
        <v>0.62</v>
      </c>
      <c r="U803">
        <v>260.61</v>
      </c>
      <c r="V803" s="1">
        <v>0</v>
      </c>
      <c r="X803">
        <v>20260423</v>
      </c>
      <c r="Z803" t="s">
        <v>68</v>
      </c>
      <c r="AA803">
        <v>3974527</v>
      </c>
      <c r="AB803" t="s">
        <v>77</v>
      </c>
      <c r="AD803" t="s">
        <v>298</v>
      </c>
      <c r="AE803">
        <v>0.87791666666666668</v>
      </c>
      <c r="AF803" t="s">
        <v>70</v>
      </c>
    </row>
    <row r="804" spans="1:32">
      <c r="A804">
        <v>1023366</v>
      </c>
      <c r="B804" t="s">
        <v>75</v>
      </c>
      <c r="C804" t="s">
        <v>62</v>
      </c>
      <c r="D804">
        <v>46134</v>
      </c>
      <c r="E804">
        <v>46134</v>
      </c>
      <c r="G804">
        <v>369</v>
      </c>
      <c r="H804" t="s">
        <v>63</v>
      </c>
      <c r="I804">
        <v>8607</v>
      </c>
      <c r="J804">
        <v>8136</v>
      </c>
      <c r="L804" t="s">
        <v>1177</v>
      </c>
      <c r="M804" t="s">
        <v>65</v>
      </c>
      <c r="N804" t="s">
        <v>66</v>
      </c>
      <c r="O804" s="2">
        <v>46134</v>
      </c>
      <c r="P804" s="1">
        <v>1948</v>
      </c>
      <c r="Q804" t="s">
        <v>67</v>
      </c>
      <c r="R804">
        <v>56.3</v>
      </c>
      <c r="S804">
        <v>7.6</v>
      </c>
      <c r="T804">
        <v>1.37</v>
      </c>
      <c r="U804">
        <v>1890.33</v>
      </c>
      <c r="V804" s="1">
        <v>13572.97</v>
      </c>
      <c r="W804">
        <v>46135</v>
      </c>
      <c r="X804">
        <v>20260423</v>
      </c>
      <c r="Z804" t="s">
        <v>72</v>
      </c>
      <c r="AA804">
        <v>3974527</v>
      </c>
      <c r="AB804" t="s">
        <v>79</v>
      </c>
      <c r="AE804">
        <v>0.88089120370370366</v>
      </c>
      <c r="AF804" t="s">
        <v>70</v>
      </c>
    </row>
    <row r="805" spans="1:32">
      <c r="A805">
        <v>1023366</v>
      </c>
      <c r="B805" t="s">
        <v>201</v>
      </c>
      <c r="C805" t="s">
        <v>62</v>
      </c>
      <c r="D805">
        <v>46134</v>
      </c>
      <c r="E805">
        <v>46134</v>
      </c>
      <c r="G805">
        <v>369</v>
      </c>
      <c r="H805" t="s">
        <v>63</v>
      </c>
      <c r="I805">
        <v>8572</v>
      </c>
      <c r="J805">
        <v>59724</v>
      </c>
      <c r="K805">
        <v>2</v>
      </c>
      <c r="L805" t="s">
        <v>1178</v>
      </c>
      <c r="M805" t="s">
        <v>65</v>
      </c>
      <c r="N805" t="s">
        <v>66</v>
      </c>
      <c r="O805" s="2">
        <v>46134</v>
      </c>
      <c r="P805" s="1">
        <v>900</v>
      </c>
      <c r="Q805" t="s">
        <v>67</v>
      </c>
      <c r="R805">
        <v>26.01</v>
      </c>
      <c r="S805">
        <v>7.11</v>
      </c>
      <c r="T805">
        <v>1.28</v>
      </c>
      <c r="U805">
        <v>872.71</v>
      </c>
      <c r="V805" s="1">
        <v>0</v>
      </c>
      <c r="X805">
        <v>20260423</v>
      </c>
      <c r="Z805" t="s">
        <v>72</v>
      </c>
      <c r="AA805">
        <v>3974527</v>
      </c>
      <c r="AB805" t="s">
        <v>203</v>
      </c>
      <c r="AC805" t="s">
        <v>74</v>
      </c>
      <c r="AE805">
        <v>0.67210648148148144</v>
      </c>
      <c r="AF805" t="s">
        <v>70</v>
      </c>
    </row>
    <row r="806" spans="1:32">
      <c r="A806">
        <v>1023366</v>
      </c>
      <c r="B806" t="s">
        <v>201</v>
      </c>
      <c r="C806" t="s">
        <v>62</v>
      </c>
      <c r="D806">
        <v>46134</v>
      </c>
      <c r="E806">
        <v>46134</v>
      </c>
      <c r="G806">
        <v>369</v>
      </c>
      <c r="H806" t="s">
        <v>63</v>
      </c>
      <c r="I806">
        <v>8600</v>
      </c>
      <c r="J806">
        <v>8353</v>
      </c>
      <c r="L806" t="s">
        <v>1179</v>
      </c>
      <c r="M806" t="s">
        <v>65</v>
      </c>
      <c r="N806" t="s">
        <v>66</v>
      </c>
      <c r="O806" s="2">
        <v>46134</v>
      </c>
      <c r="P806" s="1">
        <v>99</v>
      </c>
      <c r="Q806" t="s">
        <v>67</v>
      </c>
      <c r="R806">
        <v>2.86</v>
      </c>
      <c r="S806">
        <v>0.78</v>
      </c>
      <c r="T806">
        <v>0.14000000000000001</v>
      </c>
      <c r="U806">
        <v>96</v>
      </c>
      <c r="V806" s="1">
        <v>968.71</v>
      </c>
      <c r="W806">
        <v>46135</v>
      </c>
      <c r="X806">
        <v>20260423</v>
      </c>
      <c r="Z806" t="s">
        <v>72</v>
      </c>
      <c r="AA806">
        <v>3974527</v>
      </c>
      <c r="AB806" t="s">
        <v>203</v>
      </c>
      <c r="AE806">
        <v>0.86431712962962959</v>
      </c>
      <c r="AF806" t="s">
        <v>70</v>
      </c>
    </row>
    <row r="807" spans="1:32">
      <c r="A807">
        <v>1023366</v>
      </c>
      <c r="B807" t="s">
        <v>61</v>
      </c>
      <c r="C807" t="s">
        <v>62</v>
      </c>
      <c r="D807">
        <v>46135</v>
      </c>
      <c r="E807">
        <v>46135</v>
      </c>
      <c r="G807">
        <v>370</v>
      </c>
      <c r="H807" t="s">
        <v>63</v>
      </c>
      <c r="I807">
        <v>8688</v>
      </c>
      <c r="J807">
        <v>320133</v>
      </c>
      <c r="L807" t="s">
        <v>823</v>
      </c>
      <c r="M807" t="s">
        <v>96</v>
      </c>
      <c r="N807" t="s">
        <v>66</v>
      </c>
      <c r="O807" s="2">
        <v>46135</v>
      </c>
      <c r="P807" s="1">
        <v>89</v>
      </c>
      <c r="Q807" t="s">
        <v>67</v>
      </c>
      <c r="R807">
        <v>3.47</v>
      </c>
      <c r="S807">
        <v>1.69</v>
      </c>
      <c r="T807">
        <v>0.3</v>
      </c>
      <c r="U807">
        <v>85.23</v>
      </c>
      <c r="V807" s="1">
        <v>0</v>
      </c>
      <c r="X807">
        <v>20260424</v>
      </c>
      <c r="Z807" t="s">
        <v>72</v>
      </c>
      <c r="AA807">
        <v>3974527</v>
      </c>
      <c r="AB807" t="s">
        <v>234</v>
      </c>
      <c r="AE807">
        <v>0.7534953703703704</v>
      </c>
      <c r="AF807" t="s">
        <v>70</v>
      </c>
    </row>
    <row r="808" spans="1:32">
      <c r="A808">
        <v>1023366</v>
      </c>
      <c r="B808" t="s">
        <v>61</v>
      </c>
      <c r="C808" t="s">
        <v>62</v>
      </c>
      <c r="D808">
        <v>46135</v>
      </c>
      <c r="E808">
        <v>46135</v>
      </c>
      <c r="G808">
        <v>370</v>
      </c>
      <c r="H808" t="s">
        <v>63</v>
      </c>
      <c r="I808">
        <v>8721</v>
      </c>
      <c r="J808">
        <v>118336</v>
      </c>
      <c r="L808" t="s">
        <v>1180</v>
      </c>
      <c r="M808" t="s">
        <v>65</v>
      </c>
      <c r="N808" t="s">
        <v>66</v>
      </c>
      <c r="O808" s="2">
        <v>46135</v>
      </c>
      <c r="P808" s="1">
        <v>65</v>
      </c>
      <c r="Q808" t="s">
        <v>67</v>
      </c>
      <c r="R808">
        <v>1.88</v>
      </c>
      <c r="S808">
        <v>0.74</v>
      </c>
      <c r="T808">
        <v>0.13</v>
      </c>
      <c r="U808">
        <v>62.99</v>
      </c>
      <c r="V808" s="1">
        <v>148.22</v>
      </c>
      <c r="W808">
        <v>46136</v>
      </c>
      <c r="X808">
        <v>20260424</v>
      </c>
      <c r="Z808" t="s">
        <v>68</v>
      </c>
      <c r="AA808">
        <v>3974527</v>
      </c>
      <c r="AB808" t="s">
        <v>69</v>
      </c>
      <c r="AE808">
        <v>0.84173611111111113</v>
      </c>
      <c r="AF808" t="s">
        <v>70</v>
      </c>
    </row>
    <row r="809" spans="1:32">
      <c r="A809">
        <v>1023366</v>
      </c>
      <c r="B809" t="s">
        <v>75</v>
      </c>
      <c r="C809" t="s">
        <v>62</v>
      </c>
      <c r="D809">
        <v>46135</v>
      </c>
      <c r="E809">
        <v>46135</v>
      </c>
      <c r="G809">
        <v>668</v>
      </c>
      <c r="H809" t="s">
        <v>720</v>
      </c>
      <c r="I809">
        <v>9206</v>
      </c>
      <c r="J809">
        <v>214628</v>
      </c>
      <c r="L809" t="s">
        <v>1181</v>
      </c>
      <c r="M809" t="s">
        <v>65</v>
      </c>
      <c r="N809" t="s">
        <v>66</v>
      </c>
      <c r="O809" s="2">
        <v>46135</v>
      </c>
      <c r="P809" s="1">
        <v>129</v>
      </c>
      <c r="Q809" t="s">
        <v>67</v>
      </c>
      <c r="R809">
        <v>3.73</v>
      </c>
      <c r="S809">
        <v>1.67</v>
      </c>
      <c r="T809">
        <v>0.3</v>
      </c>
      <c r="U809">
        <v>124.97</v>
      </c>
      <c r="V809" s="1">
        <v>0</v>
      </c>
      <c r="X809">
        <v>20260424</v>
      </c>
      <c r="Z809" t="s">
        <v>68</v>
      </c>
      <c r="AA809" t="s">
        <v>350</v>
      </c>
      <c r="AB809" t="s">
        <v>79</v>
      </c>
      <c r="AE809">
        <v>0.59598379629629628</v>
      </c>
      <c r="AF809" t="s">
        <v>70</v>
      </c>
    </row>
    <row r="810" spans="1:32">
      <c r="A810">
        <v>1023366</v>
      </c>
      <c r="B810" t="s">
        <v>75</v>
      </c>
      <c r="C810" t="s">
        <v>62</v>
      </c>
      <c r="D810">
        <v>46135</v>
      </c>
      <c r="E810">
        <v>46135</v>
      </c>
      <c r="G810">
        <v>668</v>
      </c>
      <c r="H810">
        <v>65656565</v>
      </c>
      <c r="I810">
        <v>9210</v>
      </c>
      <c r="J810">
        <v>783258</v>
      </c>
      <c r="L810" t="s">
        <v>1182</v>
      </c>
      <c r="M810" t="s">
        <v>65</v>
      </c>
      <c r="N810" t="s">
        <v>66</v>
      </c>
      <c r="O810" s="2">
        <v>46135</v>
      </c>
      <c r="P810" s="1">
        <v>29.9</v>
      </c>
      <c r="Q810" t="s">
        <v>67</v>
      </c>
      <c r="R810">
        <v>0.86</v>
      </c>
      <c r="S810">
        <v>0.38</v>
      </c>
      <c r="T810">
        <v>7.0000000000000007E-2</v>
      </c>
      <c r="U810">
        <v>28.97</v>
      </c>
      <c r="V810" s="1">
        <v>0</v>
      </c>
      <c r="X810">
        <v>20260424</v>
      </c>
      <c r="Z810" t="s">
        <v>68</v>
      </c>
      <c r="AA810" t="s">
        <v>350</v>
      </c>
      <c r="AB810" t="s">
        <v>79</v>
      </c>
      <c r="AD810" t="s">
        <v>88</v>
      </c>
      <c r="AE810">
        <v>0.81930555555555551</v>
      </c>
      <c r="AF810" t="s">
        <v>70</v>
      </c>
    </row>
    <row r="811" spans="1:32">
      <c r="A811">
        <v>1023366</v>
      </c>
      <c r="B811" t="s">
        <v>75</v>
      </c>
      <c r="C811" t="s">
        <v>62</v>
      </c>
      <c r="D811">
        <v>46135</v>
      </c>
      <c r="E811">
        <v>46135</v>
      </c>
      <c r="G811">
        <v>370</v>
      </c>
      <c r="H811" t="s">
        <v>63</v>
      </c>
      <c r="I811">
        <v>8625</v>
      </c>
      <c r="J811">
        <v>936617</v>
      </c>
      <c r="L811" t="s">
        <v>1183</v>
      </c>
      <c r="M811" t="s">
        <v>65</v>
      </c>
      <c r="N811" t="s">
        <v>66</v>
      </c>
      <c r="O811" s="2">
        <v>46135</v>
      </c>
      <c r="P811" s="1">
        <v>529</v>
      </c>
      <c r="Q811" t="s">
        <v>67</v>
      </c>
      <c r="R811">
        <v>15.29</v>
      </c>
      <c r="S811">
        <v>6.83</v>
      </c>
      <c r="T811">
        <v>1.23</v>
      </c>
      <c r="U811">
        <v>512.48</v>
      </c>
      <c r="V811" s="1">
        <v>0</v>
      </c>
      <c r="X811">
        <v>20260424</v>
      </c>
      <c r="Z811" t="s">
        <v>68</v>
      </c>
      <c r="AA811">
        <v>3974527</v>
      </c>
      <c r="AB811" t="s">
        <v>93</v>
      </c>
      <c r="AE811">
        <v>0.42447916666666669</v>
      </c>
      <c r="AF811" t="s">
        <v>70</v>
      </c>
    </row>
    <row r="812" spans="1:32">
      <c r="A812">
        <v>1023366</v>
      </c>
      <c r="B812" t="s">
        <v>75</v>
      </c>
      <c r="C812" t="s">
        <v>62</v>
      </c>
      <c r="D812">
        <v>46135</v>
      </c>
      <c r="E812">
        <v>46135</v>
      </c>
      <c r="G812">
        <v>370</v>
      </c>
      <c r="H812" t="s">
        <v>63</v>
      </c>
      <c r="I812">
        <v>8627</v>
      </c>
      <c r="J812">
        <v>601756</v>
      </c>
      <c r="L812" t="s">
        <v>1184</v>
      </c>
      <c r="M812" t="s">
        <v>65</v>
      </c>
      <c r="N812" t="s">
        <v>66</v>
      </c>
      <c r="O812" s="2">
        <v>46135</v>
      </c>
      <c r="P812" s="1">
        <v>169</v>
      </c>
      <c r="Q812" t="s">
        <v>67</v>
      </c>
      <c r="R812">
        <v>4.88</v>
      </c>
      <c r="S812">
        <v>2.1800000000000002</v>
      </c>
      <c r="T812">
        <v>0.39</v>
      </c>
      <c r="U812">
        <v>163.72999999999999</v>
      </c>
      <c r="V812" s="1">
        <v>0</v>
      </c>
      <c r="X812">
        <v>20260424</v>
      </c>
      <c r="Z812" t="s">
        <v>68</v>
      </c>
      <c r="AA812">
        <v>3974527</v>
      </c>
      <c r="AB812" t="s">
        <v>79</v>
      </c>
      <c r="AE812">
        <v>0.44025462962962963</v>
      </c>
      <c r="AF812" t="s">
        <v>70</v>
      </c>
    </row>
    <row r="813" spans="1:32">
      <c r="A813">
        <v>1023366</v>
      </c>
      <c r="B813" t="s">
        <v>75</v>
      </c>
      <c r="C813" t="s">
        <v>62</v>
      </c>
      <c r="D813">
        <v>46135</v>
      </c>
      <c r="E813">
        <v>46135</v>
      </c>
      <c r="G813">
        <v>370</v>
      </c>
      <c r="H813" t="s">
        <v>63</v>
      </c>
      <c r="I813">
        <v>8632</v>
      </c>
      <c r="J813">
        <v>941762</v>
      </c>
      <c r="L813" t="s">
        <v>1185</v>
      </c>
      <c r="M813" t="s">
        <v>65</v>
      </c>
      <c r="N813" t="s">
        <v>66</v>
      </c>
      <c r="O813" s="2">
        <v>46135</v>
      </c>
      <c r="P813" s="1">
        <v>2099</v>
      </c>
      <c r="Q813" t="s">
        <v>67</v>
      </c>
      <c r="R813">
        <v>60.66</v>
      </c>
      <c r="S813">
        <v>27.08</v>
      </c>
      <c r="T813">
        <v>4.87</v>
      </c>
      <c r="U813">
        <v>2033.47</v>
      </c>
      <c r="V813" s="1">
        <v>0</v>
      </c>
      <c r="X813">
        <v>20260424</v>
      </c>
      <c r="Z813" t="s">
        <v>68</v>
      </c>
      <c r="AA813">
        <v>3974527</v>
      </c>
      <c r="AB813" t="s">
        <v>79</v>
      </c>
      <c r="AE813">
        <v>0.47623842592592591</v>
      </c>
      <c r="AF813" t="s">
        <v>70</v>
      </c>
    </row>
    <row r="814" spans="1:32">
      <c r="A814">
        <v>1023366</v>
      </c>
      <c r="B814" t="s">
        <v>75</v>
      </c>
      <c r="C814" t="s">
        <v>62</v>
      </c>
      <c r="D814">
        <v>46135</v>
      </c>
      <c r="E814">
        <v>46135</v>
      </c>
      <c r="G814">
        <v>370</v>
      </c>
      <c r="H814" t="s">
        <v>63</v>
      </c>
      <c r="I814">
        <v>8634</v>
      </c>
      <c r="J814">
        <v>181261</v>
      </c>
      <c r="L814" t="s">
        <v>1186</v>
      </c>
      <c r="M814" t="s">
        <v>65</v>
      </c>
      <c r="N814" t="s">
        <v>66</v>
      </c>
      <c r="O814" s="2">
        <v>46135</v>
      </c>
      <c r="P814" s="1">
        <v>808</v>
      </c>
      <c r="Q814" t="s">
        <v>67</v>
      </c>
      <c r="R814">
        <v>23.35</v>
      </c>
      <c r="S814">
        <v>10.42</v>
      </c>
      <c r="T814">
        <v>1.88</v>
      </c>
      <c r="U814">
        <v>782.77</v>
      </c>
      <c r="V814" s="1">
        <v>0</v>
      </c>
      <c r="X814">
        <v>20260424</v>
      </c>
      <c r="Z814" t="s">
        <v>68</v>
      </c>
      <c r="AA814">
        <v>3974527</v>
      </c>
      <c r="AB814" t="s">
        <v>93</v>
      </c>
      <c r="AE814">
        <v>0.48237268518518517</v>
      </c>
      <c r="AF814" t="s">
        <v>70</v>
      </c>
    </row>
    <row r="815" spans="1:32">
      <c r="A815">
        <v>1023366</v>
      </c>
      <c r="B815" t="s">
        <v>75</v>
      </c>
      <c r="C815" t="s">
        <v>62</v>
      </c>
      <c r="D815">
        <v>46135</v>
      </c>
      <c r="E815">
        <v>46135</v>
      </c>
      <c r="G815">
        <v>370</v>
      </c>
      <c r="H815" t="s">
        <v>63</v>
      </c>
      <c r="I815">
        <v>8636</v>
      </c>
      <c r="J815">
        <v>320778</v>
      </c>
      <c r="L815" t="s">
        <v>1187</v>
      </c>
      <c r="M815" t="s">
        <v>65</v>
      </c>
      <c r="N815" t="s">
        <v>66</v>
      </c>
      <c r="O815" s="2">
        <v>46135</v>
      </c>
      <c r="P815" s="1">
        <v>209.9</v>
      </c>
      <c r="Q815" t="s">
        <v>67</v>
      </c>
      <c r="R815">
        <v>6.07</v>
      </c>
      <c r="S815">
        <v>2.71</v>
      </c>
      <c r="T815">
        <v>0.49</v>
      </c>
      <c r="U815">
        <v>203.34</v>
      </c>
      <c r="V815" s="1">
        <v>0</v>
      </c>
      <c r="X815">
        <v>20260424</v>
      </c>
      <c r="Z815" t="s">
        <v>68</v>
      </c>
      <c r="AA815">
        <v>3974527</v>
      </c>
      <c r="AB815" t="s">
        <v>93</v>
      </c>
      <c r="AE815">
        <v>0.5135763888888889</v>
      </c>
      <c r="AF815" t="s">
        <v>70</v>
      </c>
    </row>
    <row r="816" spans="1:32">
      <c r="A816">
        <v>1023366</v>
      </c>
      <c r="B816" t="s">
        <v>75</v>
      </c>
      <c r="C816" t="s">
        <v>62</v>
      </c>
      <c r="D816">
        <v>46135</v>
      </c>
      <c r="E816">
        <v>46135</v>
      </c>
      <c r="G816">
        <v>370</v>
      </c>
      <c r="H816">
        <v>65656565</v>
      </c>
      <c r="I816">
        <v>8638</v>
      </c>
      <c r="J816">
        <v>799965</v>
      </c>
      <c r="L816" t="s">
        <v>435</v>
      </c>
      <c r="M816" t="s">
        <v>65</v>
      </c>
      <c r="N816" t="s">
        <v>66</v>
      </c>
      <c r="O816" s="2">
        <v>46135</v>
      </c>
      <c r="P816" s="1">
        <v>69</v>
      </c>
      <c r="Q816" t="s">
        <v>67</v>
      </c>
      <c r="R816">
        <v>1.99</v>
      </c>
      <c r="S816">
        <v>0.89</v>
      </c>
      <c r="T816">
        <v>0.16</v>
      </c>
      <c r="U816">
        <v>66.849999999999994</v>
      </c>
      <c r="V816" s="1">
        <v>0</v>
      </c>
      <c r="X816">
        <v>20260424</v>
      </c>
      <c r="Z816" t="s">
        <v>68</v>
      </c>
      <c r="AA816">
        <v>3974527</v>
      </c>
      <c r="AB816" t="s">
        <v>79</v>
      </c>
      <c r="AD816" t="s">
        <v>88</v>
      </c>
      <c r="AE816">
        <v>0.52812499999999996</v>
      </c>
      <c r="AF816" t="s">
        <v>70</v>
      </c>
    </row>
    <row r="817" spans="1:32">
      <c r="A817">
        <v>1023366</v>
      </c>
      <c r="B817" t="s">
        <v>75</v>
      </c>
      <c r="C817" t="s">
        <v>62</v>
      </c>
      <c r="D817">
        <v>46135</v>
      </c>
      <c r="E817">
        <v>46135</v>
      </c>
      <c r="G817">
        <v>370</v>
      </c>
      <c r="H817">
        <v>65656565</v>
      </c>
      <c r="I817">
        <v>8641</v>
      </c>
      <c r="J817">
        <v>110103</v>
      </c>
      <c r="L817" t="s">
        <v>1188</v>
      </c>
      <c r="M817" t="s">
        <v>65</v>
      </c>
      <c r="N817" t="s">
        <v>66</v>
      </c>
      <c r="O817" s="2">
        <v>46135</v>
      </c>
      <c r="P817" s="1">
        <v>52.9</v>
      </c>
      <c r="Q817" t="s">
        <v>67</v>
      </c>
      <c r="R817">
        <v>1.52</v>
      </c>
      <c r="S817">
        <v>0.67</v>
      </c>
      <c r="T817">
        <v>0.12</v>
      </c>
      <c r="U817">
        <v>51.26</v>
      </c>
      <c r="V817" s="1">
        <v>0</v>
      </c>
      <c r="X817">
        <v>20260424</v>
      </c>
      <c r="Z817" t="s">
        <v>68</v>
      </c>
      <c r="AA817">
        <v>3974527</v>
      </c>
      <c r="AB817" t="s">
        <v>79</v>
      </c>
      <c r="AD817" t="s">
        <v>88</v>
      </c>
      <c r="AE817">
        <v>0.55414351851851851</v>
      </c>
      <c r="AF817" t="s">
        <v>70</v>
      </c>
    </row>
    <row r="818" spans="1:32">
      <c r="A818">
        <v>1023366</v>
      </c>
      <c r="B818" t="s">
        <v>75</v>
      </c>
      <c r="C818" t="s">
        <v>62</v>
      </c>
      <c r="D818">
        <v>46135</v>
      </c>
      <c r="E818">
        <v>46135</v>
      </c>
      <c r="G818">
        <v>370</v>
      </c>
      <c r="H818" t="s">
        <v>63</v>
      </c>
      <c r="I818">
        <v>8645</v>
      </c>
      <c r="J818">
        <v>118991</v>
      </c>
      <c r="L818" t="s">
        <v>1189</v>
      </c>
      <c r="M818" t="s">
        <v>65</v>
      </c>
      <c r="N818" t="s">
        <v>66</v>
      </c>
      <c r="O818" s="2">
        <v>46135</v>
      </c>
      <c r="P818" s="1">
        <v>588</v>
      </c>
      <c r="Q818" t="s">
        <v>67</v>
      </c>
      <c r="R818">
        <v>16.989999999999998</v>
      </c>
      <c r="S818">
        <v>7.58</v>
      </c>
      <c r="T818">
        <v>1.36</v>
      </c>
      <c r="U818">
        <v>569.65</v>
      </c>
      <c r="V818" s="1">
        <v>0</v>
      </c>
      <c r="X818">
        <v>20260424</v>
      </c>
      <c r="Z818" t="s">
        <v>68</v>
      </c>
      <c r="AA818">
        <v>3974527</v>
      </c>
      <c r="AB818" t="s">
        <v>77</v>
      </c>
      <c r="AE818">
        <v>0.56466435185185182</v>
      </c>
      <c r="AF818" t="s">
        <v>70</v>
      </c>
    </row>
    <row r="819" spans="1:32">
      <c r="A819">
        <v>1023366</v>
      </c>
      <c r="B819" t="s">
        <v>75</v>
      </c>
      <c r="C819" t="s">
        <v>62</v>
      </c>
      <c r="D819">
        <v>46135</v>
      </c>
      <c r="E819">
        <v>46135</v>
      </c>
      <c r="G819">
        <v>370</v>
      </c>
      <c r="H819" t="s">
        <v>63</v>
      </c>
      <c r="I819">
        <v>8647</v>
      </c>
      <c r="J819">
        <v>937</v>
      </c>
      <c r="L819" t="s">
        <v>1190</v>
      </c>
      <c r="M819" t="s">
        <v>65</v>
      </c>
      <c r="N819" t="s">
        <v>66</v>
      </c>
      <c r="O819" s="2">
        <v>46135</v>
      </c>
      <c r="P819" s="1">
        <v>563</v>
      </c>
      <c r="Q819" t="s">
        <v>67</v>
      </c>
      <c r="R819">
        <v>16.27</v>
      </c>
      <c r="S819">
        <v>4.45</v>
      </c>
      <c r="T819">
        <v>0.8</v>
      </c>
      <c r="U819">
        <v>545.92999999999995</v>
      </c>
      <c r="V819" s="1">
        <v>0</v>
      </c>
      <c r="X819">
        <v>20260424</v>
      </c>
      <c r="Z819" t="s">
        <v>72</v>
      </c>
      <c r="AA819">
        <v>3974527</v>
      </c>
      <c r="AB819" t="s">
        <v>79</v>
      </c>
      <c r="AE819">
        <v>0.57480324074074074</v>
      </c>
      <c r="AF819" t="s">
        <v>70</v>
      </c>
    </row>
    <row r="820" spans="1:32">
      <c r="A820">
        <v>1023366</v>
      </c>
      <c r="B820" t="s">
        <v>75</v>
      </c>
      <c r="C820" t="s">
        <v>62</v>
      </c>
      <c r="D820">
        <v>46135</v>
      </c>
      <c r="E820">
        <v>46135</v>
      </c>
      <c r="G820">
        <v>370</v>
      </c>
      <c r="H820" t="s">
        <v>63</v>
      </c>
      <c r="I820">
        <v>8649</v>
      </c>
      <c r="J820">
        <v>7582</v>
      </c>
      <c r="L820" t="s">
        <v>1191</v>
      </c>
      <c r="M820" t="s">
        <v>65</v>
      </c>
      <c r="N820" t="s">
        <v>66</v>
      </c>
      <c r="O820" s="2">
        <v>46135</v>
      </c>
      <c r="P820" s="1">
        <v>89</v>
      </c>
      <c r="Q820" t="s">
        <v>67</v>
      </c>
      <c r="R820">
        <v>2.57</v>
      </c>
      <c r="S820">
        <v>0.7</v>
      </c>
      <c r="T820">
        <v>0.13</v>
      </c>
      <c r="U820">
        <v>86.3</v>
      </c>
      <c r="V820" s="1">
        <v>0</v>
      </c>
      <c r="X820">
        <v>20260424</v>
      </c>
      <c r="Z820" t="s">
        <v>72</v>
      </c>
      <c r="AA820">
        <v>3974527</v>
      </c>
      <c r="AB820" t="s">
        <v>79</v>
      </c>
      <c r="AE820">
        <v>0.59087962962962959</v>
      </c>
      <c r="AF820" t="s">
        <v>70</v>
      </c>
    </row>
    <row r="821" spans="1:32">
      <c r="A821">
        <v>1023366</v>
      </c>
      <c r="B821" t="s">
        <v>75</v>
      </c>
      <c r="C821" t="s">
        <v>62</v>
      </c>
      <c r="D821">
        <v>46135</v>
      </c>
      <c r="E821">
        <v>46135</v>
      </c>
      <c r="G821">
        <v>370</v>
      </c>
      <c r="H821" t="s">
        <v>63</v>
      </c>
      <c r="I821">
        <v>8652</v>
      </c>
      <c r="J821">
        <v>151385</v>
      </c>
      <c r="L821" t="s">
        <v>1192</v>
      </c>
      <c r="M821" t="s">
        <v>96</v>
      </c>
      <c r="N821" t="s">
        <v>66</v>
      </c>
      <c r="O821" s="2">
        <v>46135</v>
      </c>
      <c r="P821" s="1">
        <v>238</v>
      </c>
      <c r="Q821" t="s">
        <v>67</v>
      </c>
      <c r="R821">
        <v>9.2799999999999994</v>
      </c>
      <c r="S821">
        <v>6.67</v>
      </c>
      <c r="T821">
        <v>1.2</v>
      </c>
      <c r="U821">
        <v>227.52</v>
      </c>
      <c r="V821" s="1">
        <v>0</v>
      </c>
      <c r="X821">
        <v>20260424</v>
      </c>
      <c r="Z821" t="s">
        <v>68</v>
      </c>
      <c r="AA821">
        <v>3974527</v>
      </c>
      <c r="AB821" t="s">
        <v>97</v>
      </c>
      <c r="AE821">
        <v>0.59651620370370373</v>
      </c>
      <c r="AF821" t="s">
        <v>70</v>
      </c>
    </row>
    <row r="822" spans="1:32">
      <c r="A822">
        <v>1023366</v>
      </c>
      <c r="B822" t="s">
        <v>75</v>
      </c>
      <c r="C822" t="s">
        <v>62</v>
      </c>
      <c r="D822">
        <v>46135</v>
      </c>
      <c r="E822">
        <v>46135</v>
      </c>
      <c r="G822">
        <v>370</v>
      </c>
      <c r="H822" t="s">
        <v>63</v>
      </c>
      <c r="I822">
        <v>8654</v>
      </c>
      <c r="J822">
        <v>6412</v>
      </c>
      <c r="L822" t="s">
        <v>1193</v>
      </c>
      <c r="M822" t="s">
        <v>65</v>
      </c>
      <c r="N822" t="s">
        <v>66</v>
      </c>
      <c r="O822" s="2">
        <v>46135</v>
      </c>
      <c r="P822" s="1">
        <v>584</v>
      </c>
      <c r="Q822" t="s">
        <v>67</v>
      </c>
      <c r="R822">
        <v>16.88</v>
      </c>
      <c r="S822">
        <v>2.2799999999999998</v>
      </c>
      <c r="T822">
        <v>0.41</v>
      </c>
      <c r="U822">
        <v>566.71</v>
      </c>
      <c r="V822" s="1">
        <v>0</v>
      </c>
      <c r="X822">
        <v>20260424</v>
      </c>
      <c r="Z822" t="s">
        <v>72</v>
      </c>
      <c r="AA822">
        <v>3974527</v>
      </c>
      <c r="AB822" t="s">
        <v>79</v>
      </c>
      <c r="AE822">
        <v>0.59967592592592589</v>
      </c>
      <c r="AF822" t="s">
        <v>70</v>
      </c>
    </row>
    <row r="823" spans="1:32">
      <c r="A823">
        <v>1023366</v>
      </c>
      <c r="B823" t="s">
        <v>75</v>
      </c>
      <c r="C823" t="s">
        <v>62</v>
      </c>
      <c r="D823">
        <v>46135</v>
      </c>
      <c r="E823">
        <v>46135</v>
      </c>
      <c r="G823">
        <v>370</v>
      </c>
      <c r="H823" t="s">
        <v>63</v>
      </c>
      <c r="I823">
        <v>8656</v>
      </c>
      <c r="J823">
        <v>94668</v>
      </c>
      <c r="L823" t="s">
        <v>1194</v>
      </c>
      <c r="M823" t="s">
        <v>65</v>
      </c>
      <c r="N823" t="s">
        <v>66</v>
      </c>
      <c r="O823" s="2">
        <v>46135</v>
      </c>
      <c r="P823" s="1">
        <v>139</v>
      </c>
      <c r="Q823" t="s">
        <v>67</v>
      </c>
      <c r="R823">
        <v>4.0199999999999996</v>
      </c>
      <c r="S823">
        <v>0.54</v>
      </c>
      <c r="T823">
        <v>0.1</v>
      </c>
      <c r="U823">
        <v>134.88</v>
      </c>
      <c r="V823" s="1">
        <v>0</v>
      </c>
      <c r="X823">
        <v>20260424</v>
      </c>
      <c r="Z823" t="s">
        <v>72</v>
      </c>
      <c r="AA823">
        <v>3974527</v>
      </c>
      <c r="AB823" t="s">
        <v>84</v>
      </c>
      <c r="AE823">
        <v>0.60056712962962966</v>
      </c>
      <c r="AF823" t="s">
        <v>70</v>
      </c>
    </row>
    <row r="824" spans="1:32">
      <c r="A824">
        <v>1023366</v>
      </c>
      <c r="B824" t="s">
        <v>75</v>
      </c>
      <c r="C824" t="s">
        <v>62</v>
      </c>
      <c r="D824">
        <v>46135</v>
      </c>
      <c r="E824">
        <v>46135</v>
      </c>
      <c r="G824">
        <v>370</v>
      </c>
      <c r="H824" t="s">
        <v>63</v>
      </c>
      <c r="I824">
        <v>8668</v>
      </c>
      <c r="J824">
        <v>16556</v>
      </c>
      <c r="L824" t="s">
        <v>1195</v>
      </c>
      <c r="M824" t="s">
        <v>65</v>
      </c>
      <c r="N824" t="s">
        <v>66</v>
      </c>
      <c r="O824" s="2">
        <v>46135</v>
      </c>
      <c r="P824" s="1">
        <v>179</v>
      </c>
      <c r="Q824" t="s">
        <v>67</v>
      </c>
      <c r="R824">
        <v>5.17</v>
      </c>
      <c r="S824">
        <v>0.69</v>
      </c>
      <c r="T824">
        <v>0.12</v>
      </c>
      <c r="U824">
        <v>173.71</v>
      </c>
      <c r="V824" s="1">
        <v>0</v>
      </c>
      <c r="X824">
        <v>20260424</v>
      </c>
      <c r="Z824" t="s">
        <v>72</v>
      </c>
      <c r="AA824">
        <v>3974527</v>
      </c>
      <c r="AB824" t="s">
        <v>84</v>
      </c>
      <c r="AE824">
        <v>0.66453703703703704</v>
      </c>
      <c r="AF824" t="s">
        <v>70</v>
      </c>
    </row>
    <row r="825" spans="1:32">
      <c r="A825">
        <v>1023366</v>
      </c>
      <c r="B825" t="s">
        <v>75</v>
      </c>
      <c r="C825" t="s">
        <v>62</v>
      </c>
      <c r="D825">
        <v>46135</v>
      </c>
      <c r="E825">
        <v>46135</v>
      </c>
      <c r="G825">
        <v>370</v>
      </c>
      <c r="H825" t="s">
        <v>63</v>
      </c>
      <c r="I825">
        <v>8670</v>
      </c>
      <c r="J825">
        <v>89521</v>
      </c>
      <c r="K825">
        <v>3</v>
      </c>
      <c r="L825" t="s">
        <v>1196</v>
      </c>
      <c r="M825" t="s">
        <v>65</v>
      </c>
      <c r="N825" t="s">
        <v>66</v>
      </c>
      <c r="O825" s="2">
        <v>46135</v>
      </c>
      <c r="P825" s="1">
        <v>229</v>
      </c>
      <c r="Q825" t="s">
        <v>67</v>
      </c>
      <c r="R825">
        <v>10.63</v>
      </c>
      <c r="S825">
        <v>1.35</v>
      </c>
      <c r="T825">
        <v>0.24</v>
      </c>
      <c r="U825">
        <v>218.13</v>
      </c>
      <c r="V825" s="1">
        <v>0</v>
      </c>
      <c r="X825">
        <v>20260424</v>
      </c>
      <c r="Z825" t="s">
        <v>72</v>
      </c>
      <c r="AA825">
        <v>3974527</v>
      </c>
      <c r="AB825" t="s">
        <v>93</v>
      </c>
      <c r="AC825" t="s">
        <v>120</v>
      </c>
      <c r="AE825">
        <v>0.68003472222222228</v>
      </c>
      <c r="AF825" t="s">
        <v>70</v>
      </c>
    </row>
    <row r="826" spans="1:32">
      <c r="A826">
        <v>1023366</v>
      </c>
      <c r="B826" t="s">
        <v>75</v>
      </c>
      <c r="C826" t="s">
        <v>62</v>
      </c>
      <c r="D826">
        <v>46135</v>
      </c>
      <c r="E826">
        <v>46135</v>
      </c>
      <c r="G826">
        <v>370</v>
      </c>
      <c r="H826" t="s">
        <v>63</v>
      </c>
      <c r="I826">
        <v>8672</v>
      </c>
      <c r="J826">
        <v>7936</v>
      </c>
      <c r="L826" t="s">
        <v>1197</v>
      </c>
      <c r="M826" t="s">
        <v>65</v>
      </c>
      <c r="N826" t="s">
        <v>66</v>
      </c>
      <c r="O826" s="2">
        <v>46135</v>
      </c>
      <c r="P826" s="1">
        <v>349</v>
      </c>
      <c r="Q826" t="s">
        <v>67</v>
      </c>
      <c r="R826">
        <v>10.09</v>
      </c>
      <c r="S826">
        <v>2.76</v>
      </c>
      <c r="T826">
        <v>0.5</v>
      </c>
      <c r="U826">
        <v>338.41</v>
      </c>
      <c r="V826" s="1">
        <v>0</v>
      </c>
      <c r="X826">
        <v>20260424</v>
      </c>
      <c r="Z826" t="s">
        <v>72</v>
      </c>
      <c r="AA826">
        <v>3974527</v>
      </c>
      <c r="AB826" t="s">
        <v>79</v>
      </c>
      <c r="AE826">
        <v>0.69241898148148151</v>
      </c>
      <c r="AF826" t="s">
        <v>70</v>
      </c>
    </row>
    <row r="827" spans="1:32">
      <c r="A827">
        <v>1023366</v>
      </c>
      <c r="B827" t="s">
        <v>75</v>
      </c>
      <c r="C827" t="s">
        <v>62</v>
      </c>
      <c r="D827">
        <v>46135</v>
      </c>
      <c r="E827">
        <v>46135</v>
      </c>
      <c r="G827">
        <v>370</v>
      </c>
      <c r="H827">
        <v>65656565</v>
      </c>
      <c r="I827">
        <v>8674</v>
      </c>
      <c r="J827">
        <v>412070</v>
      </c>
      <c r="L827" t="s">
        <v>1198</v>
      </c>
      <c r="M827" t="s">
        <v>65</v>
      </c>
      <c r="N827" t="s">
        <v>66</v>
      </c>
      <c r="O827" s="2">
        <v>46135</v>
      </c>
      <c r="P827" s="1">
        <v>269</v>
      </c>
      <c r="Q827" t="s">
        <v>67</v>
      </c>
      <c r="R827">
        <v>7.77</v>
      </c>
      <c r="S827">
        <v>2.12</v>
      </c>
      <c r="T827">
        <v>0.38</v>
      </c>
      <c r="U827">
        <v>260.85000000000002</v>
      </c>
      <c r="V827" s="1">
        <v>0</v>
      </c>
      <c r="X827">
        <v>20260424</v>
      </c>
      <c r="Z827" t="s">
        <v>72</v>
      </c>
      <c r="AA827">
        <v>3974527</v>
      </c>
      <c r="AB827" t="s">
        <v>77</v>
      </c>
      <c r="AD827" t="s">
        <v>298</v>
      </c>
      <c r="AE827">
        <v>0.69527777777777777</v>
      </c>
      <c r="AF827" t="s">
        <v>70</v>
      </c>
    </row>
    <row r="828" spans="1:32">
      <c r="A828">
        <v>1023366</v>
      </c>
      <c r="B828" t="s">
        <v>75</v>
      </c>
      <c r="C828" t="s">
        <v>62</v>
      </c>
      <c r="D828">
        <v>46135</v>
      </c>
      <c r="E828">
        <v>46135</v>
      </c>
      <c r="G828">
        <v>370</v>
      </c>
      <c r="H828" t="s">
        <v>63</v>
      </c>
      <c r="I828">
        <v>8678</v>
      </c>
      <c r="J828">
        <v>7634</v>
      </c>
      <c r="K828">
        <v>10</v>
      </c>
      <c r="L828" t="s">
        <v>1199</v>
      </c>
      <c r="M828" t="s">
        <v>65</v>
      </c>
      <c r="N828" t="s">
        <v>66</v>
      </c>
      <c r="O828" s="2">
        <v>46135</v>
      </c>
      <c r="P828" s="1">
        <v>1399</v>
      </c>
      <c r="Q828" t="s">
        <v>67</v>
      </c>
      <c r="R828">
        <v>40.43</v>
      </c>
      <c r="S828">
        <v>11.05</v>
      </c>
      <c r="T828">
        <v>1.99</v>
      </c>
      <c r="U828">
        <v>1356.58</v>
      </c>
      <c r="V828" s="1">
        <v>0</v>
      </c>
      <c r="X828">
        <v>20260424</v>
      </c>
      <c r="Z828" t="s">
        <v>72</v>
      </c>
      <c r="AA828">
        <v>3974527</v>
      </c>
      <c r="AB828" t="s">
        <v>79</v>
      </c>
      <c r="AC828" t="s">
        <v>74</v>
      </c>
      <c r="AE828">
        <v>0.71481481481481479</v>
      </c>
      <c r="AF828" t="s">
        <v>70</v>
      </c>
    </row>
    <row r="829" spans="1:32">
      <c r="A829">
        <v>1023366</v>
      </c>
      <c r="B829" t="s">
        <v>75</v>
      </c>
      <c r="C829" t="s">
        <v>62</v>
      </c>
      <c r="D829">
        <v>46135</v>
      </c>
      <c r="E829">
        <v>46135</v>
      </c>
      <c r="G829">
        <v>370</v>
      </c>
      <c r="H829" t="s">
        <v>63</v>
      </c>
      <c r="I829">
        <v>8680</v>
      </c>
      <c r="J829">
        <v>8903</v>
      </c>
      <c r="L829" t="s">
        <v>1200</v>
      </c>
      <c r="M829" t="s">
        <v>65</v>
      </c>
      <c r="N829" t="s">
        <v>66</v>
      </c>
      <c r="O829" s="2">
        <v>46135</v>
      </c>
      <c r="P829" s="1">
        <v>224</v>
      </c>
      <c r="Q829" t="s">
        <v>67</v>
      </c>
      <c r="R829">
        <v>6.47</v>
      </c>
      <c r="S829">
        <v>1.77</v>
      </c>
      <c r="T829">
        <v>0.32</v>
      </c>
      <c r="U829">
        <v>217.21</v>
      </c>
      <c r="V829" s="1">
        <v>0</v>
      </c>
      <c r="X829">
        <v>20260424</v>
      </c>
      <c r="Z829" t="s">
        <v>72</v>
      </c>
      <c r="AA829">
        <v>3974527</v>
      </c>
      <c r="AB829" t="s">
        <v>79</v>
      </c>
      <c r="AE829">
        <v>0.71619212962962964</v>
      </c>
      <c r="AF829" t="s">
        <v>70</v>
      </c>
    </row>
    <row r="830" spans="1:32">
      <c r="A830">
        <v>1023366</v>
      </c>
      <c r="B830" t="s">
        <v>75</v>
      </c>
      <c r="C830" t="s">
        <v>62</v>
      </c>
      <c r="D830">
        <v>46135</v>
      </c>
      <c r="E830">
        <v>46135</v>
      </c>
      <c r="G830">
        <v>370</v>
      </c>
      <c r="H830" t="s">
        <v>63</v>
      </c>
      <c r="I830">
        <v>8683</v>
      </c>
      <c r="J830">
        <v>290094</v>
      </c>
      <c r="L830" t="s">
        <v>1201</v>
      </c>
      <c r="M830" t="s">
        <v>65</v>
      </c>
      <c r="N830" t="s">
        <v>66</v>
      </c>
      <c r="O830" s="2">
        <v>46135</v>
      </c>
      <c r="P830" s="1">
        <v>199</v>
      </c>
      <c r="Q830" t="s">
        <v>67</v>
      </c>
      <c r="R830">
        <v>5.75</v>
      </c>
      <c r="S830">
        <v>1.57</v>
      </c>
      <c r="T830">
        <v>0.28000000000000003</v>
      </c>
      <c r="U830">
        <v>192.97</v>
      </c>
      <c r="V830" s="1">
        <v>0</v>
      </c>
      <c r="X830">
        <v>20260424</v>
      </c>
      <c r="Z830" t="s">
        <v>72</v>
      </c>
      <c r="AA830">
        <v>3974527</v>
      </c>
      <c r="AB830" t="s">
        <v>93</v>
      </c>
      <c r="AE830">
        <v>0.7239930555555556</v>
      </c>
      <c r="AF830" t="s">
        <v>70</v>
      </c>
    </row>
    <row r="831" spans="1:32">
      <c r="A831">
        <v>1023366</v>
      </c>
      <c r="B831" t="s">
        <v>75</v>
      </c>
      <c r="C831" t="s">
        <v>62</v>
      </c>
      <c r="D831">
        <v>46135</v>
      </c>
      <c r="E831">
        <v>46135</v>
      </c>
      <c r="G831">
        <v>370</v>
      </c>
      <c r="H831" t="s">
        <v>63</v>
      </c>
      <c r="I831">
        <v>8685</v>
      </c>
      <c r="J831">
        <v>47862</v>
      </c>
      <c r="L831" t="s">
        <v>1202</v>
      </c>
      <c r="M831" t="s">
        <v>65</v>
      </c>
      <c r="N831" t="s">
        <v>66</v>
      </c>
      <c r="O831" s="2">
        <v>46135</v>
      </c>
      <c r="P831" s="1">
        <v>159</v>
      </c>
      <c r="Q831" t="s">
        <v>67</v>
      </c>
      <c r="R831">
        <v>4.5999999999999996</v>
      </c>
      <c r="S831">
        <v>1.26</v>
      </c>
      <c r="T831">
        <v>0.23</v>
      </c>
      <c r="U831">
        <v>154.16999999999999</v>
      </c>
      <c r="V831" s="1">
        <v>0</v>
      </c>
      <c r="X831">
        <v>20260424</v>
      </c>
      <c r="Z831" t="s">
        <v>72</v>
      </c>
      <c r="AA831">
        <v>3974527</v>
      </c>
      <c r="AB831" t="s">
        <v>84</v>
      </c>
      <c r="AE831">
        <v>0.74966435185185187</v>
      </c>
      <c r="AF831" t="s">
        <v>70</v>
      </c>
    </row>
    <row r="832" spans="1:32">
      <c r="A832">
        <v>1023366</v>
      </c>
      <c r="B832" t="s">
        <v>75</v>
      </c>
      <c r="C832" t="s">
        <v>62</v>
      </c>
      <c r="D832">
        <v>46135</v>
      </c>
      <c r="E832">
        <v>46135</v>
      </c>
      <c r="G832">
        <v>370</v>
      </c>
      <c r="H832" t="s">
        <v>63</v>
      </c>
      <c r="I832">
        <v>8691</v>
      </c>
      <c r="J832">
        <v>321094</v>
      </c>
      <c r="L832" t="s">
        <v>1203</v>
      </c>
      <c r="M832" t="s">
        <v>65</v>
      </c>
      <c r="N832" t="s">
        <v>66</v>
      </c>
      <c r="O832" s="2">
        <v>46135</v>
      </c>
      <c r="P832" s="1">
        <v>2199</v>
      </c>
      <c r="Q832" t="s">
        <v>67</v>
      </c>
      <c r="R832">
        <v>63.55</v>
      </c>
      <c r="S832">
        <v>28.37</v>
      </c>
      <c r="T832">
        <v>5.1100000000000003</v>
      </c>
      <c r="U832">
        <v>2130.34</v>
      </c>
      <c r="V832" s="1">
        <v>0</v>
      </c>
      <c r="X832">
        <v>20260424</v>
      </c>
      <c r="Z832" t="s">
        <v>68</v>
      </c>
      <c r="AA832">
        <v>3974527</v>
      </c>
      <c r="AB832" t="s">
        <v>81</v>
      </c>
      <c r="AE832">
        <v>0.76236111111111116</v>
      </c>
      <c r="AF832" t="s">
        <v>70</v>
      </c>
    </row>
    <row r="833" spans="1:32">
      <c r="A833">
        <v>1023366</v>
      </c>
      <c r="B833" t="s">
        <v>75</v>
      </c>
      <c r="C833" t="s">
        <v>62</v>
      </c>
      <c r="D833">
        <v>46135</v>
      </c>
      <c r="E833">
        <v>46135</v>
      </c>
      <c r="G833">
        <v>370</v>
      </c>
      <c r="H833" t="s">
        <v>63</v>
      </c>
      <c r="I833">
        <v>8693</v>
      </c>
      <c r="J833">
        <v>5455</v>
      </c>
      <c r="L833" t="s">
        <v>1204</v>
      </c>
      <c r="M833" t="s">
        <v>65</v>
      </c>
      <c r="N833" t="s">
        <v>66</v>
      </c>
      <c r="O833" s="2">
        <v>46135</v>
      </c>
      <c r="P833" s="1">
        <v>269</v>
      </c>
      <c r="Q833" t="s">
        <v>67</v>
      </c>
      <c r="R833">
        <v>7.77</v>
      </c>
      <c r="S833">
        <v>1.04</v>
      </c>
      <c r="T833">
        <v>0.19</v>
      </c>
      <c r="U833">
        <v>261.04000000000002</v>
      </c>
      <c r="V833" s="1">
        <v>0</v>
      </c>
      <c r="X833">
        <v>20260424</v>
      </c>
      <c r="Z833" t="s">
        <v>72</v>
      </c>
      <c r="AA833">
        <v>3974527</v>
      </c>
      <c r="AB833" t="s">
        <v>79</v>
      </c>
      <c r="AE833">
        <v>0.76620370370370372</v>
      </c>
      <c r="AF833" t="s">
        <v>70</v>
      </c>
    </row>
    <row r="834" spans="1:32">
      <c r="A834">
        <v>1023366</v>
      </c>
      <c r="B834" t="s">
        <v>75</v>
      </c>
      <c r="C834" t="s">
        <v>62</v>
      </c>
      <c r="D834">
        <v>46135</v>
      </c>
      <c r="E834">
        <v>46135</v>
      </c>
      <c r="G834">
        <v>370</v>
      </c>
      <c r="H834" t="s">
        <v>63</v>
      </c>
      <c r="I834">
        <v>8695</v>
      </c>
      <c r="J834">
        <v>553277</v>
      </c>
      <c r="K834">
        <v>12</v>
      </c>
      <c r="L834" t="s">
        <v>1205</v>
      </c>
      <c r="M834" t="s">
        <v>65</v>
      </c>
      <c r="N834" t="s">
        <v>66</v>
      </c>
      <c r="O834" s="2">
        <v>46135</v>
      </c>
      <c r="P834" s="1">
        <v>5999</v>
      </c>
      <c r="Q834" t="s">
        <v>67</v>
      </c>
      <c r="R834">
        <v>623.29999999999995</v>
      </c>
      <c r="S834">
        <v>35.39</v>
      </c>
      <c r="T834">
        <v>6.37</v>
      </c>
      <c r="U834">
        <v>5369.33</v>
      </c>
      <c r="V834" s="1">
        <v>0</v>
      </c>
      <c r="X834">
        <v>20260424</v>
      </c>
      <c r="Z834" t="s">
        <v>72</v>
      </c>
      <c r="AA834">
        <v>3974527</v>
      </c>
      <c r="AB834" t="s">
        <v>93</v>
      </c>
      <c r="AC834" t="s">
        <v>120</v>
      </c>
      <c r="AE834">
        <v>0.77320601851851856</v>
      </c>
      <c r="AF834" t="s">
        <v>70</v>
      </c>
    </row>
    <row r="835" spans="1:32">
      <c r="A835">
        <v>1023366</v>
      </c>
      <c r="B835" t="s">
        <v>75</v>
      </c>
      <c r="C835" t="s">
        <v>62</v>
      </c>
      <c r="D835">
        <v>46135</v>
      </c>
      <c r="E835">
        <v>46135</v>
      </c>
      <c r="G835">
        <v>370</v>
      </c>
      <c r="H835" t="s">
        <v>63</v>
      </c>
      <c r="I835">
        <v>8697</v>
      </c>
      <c r="J835">
        <v>557957</v>
      </c>
      <c r="L835" t="s">
        <v>1205</v>
      </c>
      <c r="M835" t="s">
        <v>65</v>
      </c>
      <c r="N835" t="s">
        <v>66</v>
      </c>
      <c r="O835" s="2">
        <v>46135</v>
      </c>
      <c r="P835" s="1">
        <v>199</v>
      </c>
      <c r="Q835" t="s">
        <v>67</v>
      </c>
      <c r="R835">
        <v>5.75</v>
      </c>
      <c r="S835">
        <v>1.17</v>
      </c>
      <c r="T835">
        <v>0.21</v>
      </c>
      <c r="U835">
        <v>193.04</v>
      </c>
      <c r="V835" s="1">
        <v>0</v>
      </c>
      <c r="X835">
        <v>20260424</v>
      </c>
      <c r="Z835" t="s">
        <v>72</v>
      </c>
      <c r="AA835">
        <v>3974527</v>
      </c>
      <c r="AB835" t="s">
        <v>93</v>
      </c>
      <c r="AE835">
        <v>0.77401620370370372</v>
      </c>
      <c r="AF835" t="s">
        <v>70</v>
      </c>
    </row>
    <row r="836" spans="1:32">
      <c r="A836">
        <v>1023366</v>
      </c>
      <c r="B836" t="s">
        <v>75</v>
      </c>
      <c r="C836" t="s">
        <v>62</v>
      </c>
      <c r="D836">
        <v>46135</v>
      </c>
      <c r="E836">
        <v>46135</v>
      </c>
      <c r="G836">
        <v>370</v>
      </c>
      <c r="H836" t="s">
        <v>63</v>
      </c>
      <c r="I836">
        <v>8699</v>
      </c>
      <c r="J836">
        <v>450065</v>
      </c>
      <c r="L836" t="s">
        <v>1206</v>
      </c>
      <c r="M836" t="s">
        <v>65</v>
      </c>
      <c r="N836" t="s">
        <v>66</v>
      </c>
      <c r="O836" s="2">
        <v>46135</v>
      </c>
      <c r="P836" s="1">
        <v>54.9</v>
      </c>
      <c r="Q836" t="s">
        <v>67</v>
      </c>
      <c r="R836">
        <v>1.59</v>
      </c>
      <c r="S836">
        <v>0.71</v>
      </c>
      <c r="T836">
        <v>0.13</v>
      </c>
      <c r="U836">
        <v>53.18</v>
      </c>
      <c r="V836" s="1">
        <v>0</v>
      </c>
      <c r="X836">
        <v>20260424</v>
      </c>
      <c r="Z836" t="s">
        <v>68</v>
      </c>
      <c r="AA836">
        <v>3974527</v>
      </c>
      <c r="AB836" t="s">
        <v>81</v>
      </c>
      <c r="AE836">
        <v>0.78907407407407404</v>
      </c>
      <c r="AF836" t="s">
        <v>70</v>
      </c>
    </row>
    <row r="837" spans="1:32">
      <c r="A837">
        <v>1023366</v>
      </c>
      <c r="B837" t="s">
        <v>75</v>
      </c>
      <c r="C837" t="s">
        <v>62</v>
      </c>
      <c r="D837">
        <v>46135</v>
      </c>
      <c r="E837">
        <v>46135</v>
      </c>
      <c r="G837">
        <v>370</v>
      </c>
      <c r="H837">
        <v>65656565</v>
      </c>
      <c r="I837">
        <v>8701</v>
      </c>
      <c r="J837">
        <v>473553</v>
      </c>
      <c r="L837" t="s">
        <v>1131</v>
      </c>
      <c r="M837" t="s">
        <v>65</v>
      </c>
      <c r="N837" t="s">
        <v>66</v>
      </c>
      <c r="O837" s="2">
        <v>46135</v>
      </c>
      <c r="P837" s="1">
        <v>130</v>
      </c>
      <c r="Q837" t="s">
        <v>67</v>
      </c>
      <c r="R837">
        <v>3.75</v>
      </c>
      <c r="S837">
        <v>1.67</v>
      </c>
      <c r="T837">
        <v>0.3</v>
      </c>
      <c r="U837">
        <v>125.95</v>
      </c>
      <c r="V837" s="1">
        <v>0</v>
      </c>
      <c r="X837">
        <v>20260424</v>
      </c>
      <c r="Z837" t="s">
        <v>68</v>
      </c>
      <c r="AA837">
        <v>3974527</v>
      </c>
      <c r="AB837" t="s">
        <v>79</v>
      </c>
      <c r="AD837" t="s">
        <v>88</v>
      </c>
      <c r="AE837">
        <v>0.79724537037037035</v>
      </c>
      <c r="AF837" t="s">
        <v>70</v>
      </c>
    </row>
    <row r="838" spans="1:32">
      <c r="A838">
        <v>1023366</v>
      </c>
      <c r="B838" t="s">
        <v>75</v>
      </c>
      <c r="C838" t="s">
        <v>62</v>
      </c>
      <c r="D838">
        <v>46135</v>
      </c>
      <c r="E838">
        <v>46135</v>
      </c>
      <c r="G838">
        <v>370</v>
      </c>
      <c r="H838" t="s">
        <v>63</v>
      </c>
      <c r="I838">
        <v>8704</v>
      </c>
      <c r="J838">
        <v>728219</v>
      </c>
      <c r="L838" t="s">
        <v>1207</v>
      </c>
      <c r="M838" t="s">
        <v>65</v>
      </c>
      <c r="N838" t="s">
        <v>66</v>
      </c>
      <c r="O838" s="2">
        <v>46135</v>
      </c>
      <c r="P838" s="1">
        <v>109</v>
      </c>
      <c r="Q838" t="s">
        <v>67</v>
      </c>
      <c r="R838">
        <v>3.15</v>
      </c>
      <c r="S838">
        <v>1.41</v>
      </c>
      <c r="T838">
        <v>0.25</v>
      </c>
      <c r="U838">
        <v>105.6</v>
      </c>
      <c r="V838" s="1">
        <v>0</v>
      </c>
      <c r="X838">
        <v>20260424</v>
      </c>
      <c r="Z838" t="s">
        <v>68</v>
      </c>
      <c r="AA838">
        <v>3974527</v>
      </c>
      <c r="AB838" t="s">
        <v>79</v>
      </c>
      <c r="AE838">
        <v>0.79972222222222222</v>
      </c>
      <c r="AF838" t="s">
        <v>70</v>
      </c>
    </row>
    <row r="839" spans="1:32">
      <c r="A839">
        <v>1023366</v>
      </c>
      <c r="B839" t="s">
        <v>75</v>
      </c>
      <c r="C839" t="s">
        <v>62</v>
      </c>
      <c r="D839">
        <v>46135</v>
      </c>
      <c r="E839">
        <v>46135</v>
      </c>
      <c r="G839">
        <v>370</v>
      </c>
      <c r="H839" t="s">
        <v>63</v>
      </c>
      <c r="I839">
        <v>8706</v>
      </c>
      <c r="J839">
        <v>727614</v>
      </c>
      <c r="L839" t="s">
        <v>1208</v>
      </c>
      <c r="M839" t="s">
        <v>65</v>
      </c>
      <c r="N839" t="s">
        <v>66</v>
      </c>
      <c r="O839" s="2">
        <v>46135</v>
      </c>
      <c r="P839" s="1">
        <v>499</v>
      </c>
      <c r="Q839" t="s">
        <v>67</v>
      </c>
      <c r="R839">
        <v>14.42</v>
      </c>
      <c r="S839">
        <v>6.44</v>
      </c>
      <c r="T839">
        <v>1.1599999999999999</v>
      </c>
      <c r="U839">
        <v>483.42</v>
      </c>
      <c r="V839" s="1">
        <v>0</v>
      </c>
      <c r="X839">
        <v>20260424</v>
      </c>
      <c r="Z839" t="s">
        <v>68</v>
      </c>
      <c r="AA839">
        <v>3974527</v>
      </c>
      <c r="AB839" t="s">
        <v>93</v>
      </c>
      <c r="AE839">
        <v>0.80384259259259261</v>
      </c>
      <c r="AF839" t="s">
        <v>70</v>
      </c>
    </row>
    <row r="840" spans="1:32">
      <c r="A840">
        <v>1023366</v>
      </c>
      <c r="B840" t="s">
        <v>75</v>
      </c>
      <c r="C840" t="s">
        <v>62</v>
      </c>
      <c r="D840">
        <v>46135</v>
      </c>
      <c r="E840">
        <v>46135</v>
      </c>
      <c r="G840">
        <v>370</v>
      </c>
      <c r="H840" t="s">
        <v>63</v>
      </c>
      <c r="I840">
        <v>8708</v>
      </c>
      <c r="J840">
        <v>230076</v>
      </c>
      <c r="L840" t="s">
        <v>1209</v>
      </c>
      <c r="M840" t="s">
        <v>65</v>
      </c>
      <c r="N840" t="s">
        <v>66</v>
      </c>
      <c r="O840" s="2">
        <v>46135</v>
      </c>
      <c r="P840" s="1">
        <v>134.5</v>
      </c>
      <c r="Q840" t="s">
        <v>67</v>
      </c>
      <c r="R840">
        <v>3.89</v>
      </c>
      <c r="S840">
        <v>0.53</v>
      </c>
      <c r="T840">
        <v>0.1</v>
      </c>
      <c r="U840">
        <v>130.51</v>
      </c>
      <c r="V840" s="1">
        <v>0</v>
      </c>
      <c r="X840">
        <v>20260424</v>
      </c>
      <c r="Z840" t="s">
        <v>72</v>
      </c>
      <c r="AA840">
        <v>3974527</v>
      </c>
      <c r="AB840" t="s">
        <v>77</v>
      </c>
      <c r="AE840">
        <v>0.80754629629629626</v>
      </c>
      <c r="AF840" t="s">
        <v>70</v>
      </c>
    </row>
    <row r="841" spans="1:32">
      <c r="A841">
        <v>1023366</v>
      </c>
      <c r="B841" t="s">
        <v>75</v>
      </c>
      <c r="C841" t="s">
        <v>62</v>
      </c>
      <c r="D841">
        <v>46135</v>
      </c>
      <c r="E841">
        <v>46135</v>
      </c>
      <c r="G841">
        <v>370</v>
      </c>
      <c r="H841">
        <v>65656565</v>
      </c>
      <c r="I841">
        <v>8710</v>
      </c>
      <c r="J841">
        <v>510143</v>
      </c>
      <c r="L841" t="s">
        <v>1131</v>
      </c>
      <c r="M841" t="s">
        <v>65</v>
      </c>
      <c r="N841" t="s">
        <v>66</v>
      </c>
      <c r="O841" s="2">
        <v>46135</v>
      </c>
      <c r="P841" s="1">
        <v>289</v>
      </c>
      <c r="Q841" t="s">
        <v>67</v>
      </c>
      <c r="R841">
        <v>8.35</v>
      </c>
      <c r="S841">
        <v>3.73</v>
      </c>
      <c r="T841">
        <v>0.67</v>
      </c>
      <c r="U841">
        <v>279.98</v>
      </c>
      <c r="V841" s="1">
        <v>0</v>
      </c>
      <c r="X841">
        <v>20260424</v>
      </c>
      <c r="Z841" t="s">
        <v>68</v>
      </c>
      <c r="AA841">
        <v>3974527</v>
      </c>
      <c r="AB841" t="s">
        <v>79</v>
      </c>
      <c r="AD841" t="s">
        <v>88</v>
      </c>
      <c r="AE841">
        <v>0.81002314814814813</v>
      </c>
      <c r="AF841" t="s">
        <v>70</v>
      </c>
    </row>
    <row r="842" spans="1:32">
      <c r="A842">
        <v>1023366</v>
      </c>
      <c r="B842" t="s">
        <v>75</v>
      </c>
      <c r="C842" t="s">
        <v>62</v>
      </c>
      <c r="D842">
        <v>46135</v>
      </c>
      <c r="E842">
        <v>46135</v>
      </c>
      <c r="G842">
        <v>370</v>
      </c>
      <c r="H842" t="s">
        <v>63</v>
      </c>
      <c r="I842">
        <v>8714</v>
      </c>
      <c r="J842">
        <v>361271</v>
      </c>
      <c r="L842" t="s">
        <v>1210</v>
      </c>
      <c r="M842" t="s">
        <v>65</v>
      </c>
      <c r="N842" t="s">
        <v>66</v>
      </c>
      <c r="O842" s="2">
        <v>46135</v>
      </c>
      <c r="P842" s="1">
        <v>89.9</v>
      </c>
      <c r="Q842" t="s">
        <v>67</v>
      </c>
      <c r="R842">
        <v>2.6</v>
      </c>
      <c r="S842">
        <v>0.35</v>
      </c>
      <c r="T842">
        <v>0.06</v>
      </c>
      <c r="U842">
        <v>87.24</v>
      </c>
      <c r="V842" s="1">
        <v>0</v>
      </c>
      <c r="X842">
        <v>20260424</v>
      </c>
      <c r="Z842" t="s">
        <v>72</v>
      </c>
      <c r="AA842">
        <v>3974527</v>
      </c>
      <c r="AB842" t="s">
        <v>81</v>
      </c>
      <c r="AE842">
        <v>0.81671296296296292</v>
      </c>
      <c r="AF842" t="s">
        <v>70</v>
      </c>
    </row>
    <row r="843" spans="1:32">
      <c r="A843">
        <v>1023366</v>
      </c>
      <c r="B843" t="s">
        <v>75</v>
      </c>
      <c r="C843" t="s">
        <v>62</v>
      </c>
      <c r="D843">
        <v>46135</v>
      </c>
      <c r="E843">
        <v>46135</v>
      </c>
      <c r="G843">
        <v>370</v>
      </c>
      <c r="H843">
        <v>65656565</v>
      </c>
      <c r="I843">
        <v>8716</v>
      </c>
      <c r="J843">
        <v>764091</v>
      </c>
      <c r="L843" t="s">
        <v>1182</v>
      </c>
      <c r="M843" t="s">
        <v>65</v>
      </c>
      <c r="N843" t="s">
        <v>66</v>
      </c>
      <c r="O843" s="2">
        <v>46135</v>
      </c>
      <c r="P843" s="1">
        <v>1799</v>
      </c>
      <c r="Q843" t="s">
        <v>67</v>
      </c>
      <c r="R843">
        <v>51.99</v>
      </c>
      <c r="S843">
        <v>23.21</v>
      </c>
      <c r="T843">
        <v>4.18</v>
      </c>
      <c r="U843">
        <v>1742.83</v>
      </c>
      <c r="V843" s="1">
        <v>0</v>
      </c>
      <c r="X843">
        <v>20260424</v>
      </c>
      <c r="Z843" t="s">
        <v>68</v>
      </c>
      <c r="AA843">
        <v>3974527</v>
      </c>
      <c r="AB843" t="s">
        <v>79</v>
      </c>
      <c r="AD843" t="s">
        <v>88</v>
      </c>
      <c r="AE843">
        <v>0.81763888888888892</v>
      </c>
      <c r="AF843" t="s">
        <v>70</v>
      </c>
    </row>
    <row r="844" spans="1:32">
      <c r="A844">
        <v>1023366</v>
      </c>
      <c r="B844" t="s">
        <v>75</v>
      </c>
      <c r="C844" t="s">
        <v>62</v>
      </c>
      <c r="D844">
        <v>46135</v>
      </c>
      <c r="E844">
        <v>46135</v>
      </c>
      <c r="G844">
        <v>370</v>
      </c>
      <c r="H844" t="s">
        <v>63</v>
      </c>
      <c r="I844">
        <v>8719</v>
      </c>
      <c r="J844">
        <v>822196</v>
      </c>
      <c r="L844" t="s">
        <v>1211</v>
      </c>
      <c r="M844" t="s">
        <v>65</v>
      </c>
      <c r="N844" t="s">
        <v>66</v>
      </c>
      <c r="O844" s="2">
        <v>46135</v>
      </c>
      <c r="P844" s="1">
        <v>65</v>
      </c>
      <c r="Q844" t="s">
        <v>67</v>
      </c>
      <c r="R844">
        <v>1.88</v>
      </c>
      <c r="S844">
        <v>0.84</v>
      </c>
      <c r="T844">
        <v>0.15</v>
      </c>
      <c r="U844">
        <v>62.97</v>
      </c>
      <c r="V844" s="1">
        <v>0</v>
      </c>
      <c r="X844">
        <v>20260424</v>
      </c>
      <c r="Z844" t="s">
        <v>68</v>
      </c>
      <c r="AA844">
        <v>3974527</v>
      </c>
      <c r="AB844" t="s">
        <v>79</v>
      </c>
      <c r="AE844">
        <v>0.83910879629629631</v>
      </c>
      <c r="AF844" t="s">
        <v>70</v>
      </c>
    </row>
    <row r="845" spans="1:32">
      <c r="A845">
        <v>1023366</v>
      </c>
      <c r="B845" t="s">
        <v>75</v>
      </c>
      <c r="C845" t="s">
        <v>62</v>
      </c>
      <c r="D845">
        <v>46135</v>
      </c>
      <c r="E845">
        <v>46135</v>
      </c>
      <c r="G845">
        <v>370</v>
      </c>
      <c r="H845" t="s">
        <v>63</v>
      </c>
      <c r="I845">
        <v>8723</v>
      </c>
      <c r="J845">
        <v>5032</v>
      </c>
      <c r="L845" t="s">
        <v>1212</v>
      </c>
      <c r="M845" t="s">
        <v>65</v>
      </c>
      <c r="N845" t="s">
        <v>66</v>
      </c>
      <c r="O845" s="2">
        <v>46135</v>
      </c>
      <c r="P845" s="1">
        <v>99</v>
      </c>
      <c r="Q845" t="s">
        <v>67</v>
      </c>
      <c r="R845">
        <v>2.86</v>
      </c>
      <c r="S845">
        <v>0.78</v>
      </c>
      <c r="T845">
        <v>0.14000000000000001</v>
      </c>
      <c r="U845">
        <v>96</v>
      </c>
      <c r="V845" s="1">
        <v>0</v>
      </c>
      <c r="X845">
        <v>20260424</v>
      </c>
      <c r="Z845" t="s">
        <v>72</v>
      </c>
      <c r="AA845">
        <v>3974527</v>
      </c>
      <c r="AB845" t="s">
        <v>79</v>
      </c>
      <c r="AE845">
        <v>0.85594907407407406</v>
      </c>
      <c r="AF845" t="s">
        <v>70</v>
      </c>
    </row>
    <row r="846" spans="1:32">
      <c r="A846">
        <v>1023366</v>
      </c>
      <c r="B846" t="s">
        <v>75</v>
      </c>
      <c r="C846" t="s">
        <v>62</v>
      </c>
      <c r="D846">
        <v>46135</v>
      </c>
      <c r="E846">
        <v>46135</v>
      </c>
      <c r="G846">
        <v>370</v>
      </c>
      <c r="H846" t="s">
        <v>63</v>
      </c>
      <c r="I846">
        <v>8725</v>
      </c>
      <c r="J846">
        <v>6655</v>
      </c>
      <c r="L846" t="s">
        <v>1213</v>
      </c>
      <c r="M846" t="s">
        <v>65</v>
      </c>
      <c r="N846" t="s">
        <v>66</v>
      </c>
      <c r="O846" s="2">
        <v>46135</v>
      </c>
      <c r="P846" s="1">
        <v>54.9</v>
      </c>
      <c r="Q846" t="s">
        <v>67</v>
      </c>
      <c r="R846">
        <v>1.59</v>
      </c>
      <c r="S846">
        <v>0.44</v>
      </c>
      <c r="T846">
        <v>0.08</v>
      </c>
      <c r="U846">
        <v>53.23</v>
      </c>
      <c r="V846" s="1">
        <v>20185.52</v>
      </c>
      <c r="W846">
        <v>46136</v>
      </c>
      <c r="X846">
        <v>20260424</v>
      </c>
      <c r="Z846" t="s">
        <v>72</v>
      </c>
      <c r="AA846">
        <v>3974527</v>
      </c>
      <c r="AB846" t="s">
        <v>79</v>
      </c>
      <c r="AE846">
        <v>0.85767361111111107</v>
      </c>
      <c r="AF846" t="s">
        <v>70</v>
      </c>
    </row>
    <row r="847" spans="1:32">
      <c r="A847">
        <v>1023366</v>
      </c>
      <c r="B847" t="s">
        <v>201</v>
      </c>
      <c r="C847" t="s">
        <v>62</v>
      </c>
      <c r="D847">
        <v>46135</v>
      </c>
      <c r="E847">
        <v>46135</v>
      </c>
      <c r="G847">
        <v>668</v>
      </c>
      <c r="H847" t="s">
        <v>720</v>
      </c>
      <c r="I847">
        <v>9208</v>
      </c>
      <c r="J847">
        <v>45693</v>
      </c>
      <c r="L847" t="s">
        <v>1214</v>
      </c>
      <c r="M847" t="s">
        <v>65</v>
      </c>
      <c r="N847" t="s">
        <v>66</v>
      </c>
      <c r="O847" s="2">
        <v>46135</v>
      </c>
      <c r="P847" s="1">
        <v>269</v>
      </c>
      <c r="Q847" t="s">
        <v>67</v>
      </c>
      <c r="R847">
        <v>7.77</v>
      </c>
      <c r="S847">
        <v>2.12</v>
      </c>
      <c r="T847">
        <v>0.38</v>
      </c>
      <c r="U847">
        <v>260.85000000000002</v>
      </c>
      <c r="V847" s="1">
        <v>260.85000000000002</v>
      </c>
      <c r="W847">
        <v>46136</v>
      </c>
      <c r="X847">
        <v>20260424</v>
      </c>
      <c r="Z847" t="s">
        <v>72</v>
      </c>
      <c r="AA847" t="s">
        <v>350</v>
      </c>
      <c r="AB847" t="s">
        <v>203</v>
      </c>
      <c r="AE847">
        <v>0.59640046296296301</v>
      </c>
      <c r="AF847" t="s">
        <v>70</v>
      </c>
    </row>
    <row r="848" spans="1:32">
      <c r="A848">
        <v>1023366</v>
      </c>
      <c r="B848" t="s">
        <v>61</v>
      </c>
      <c r="C848" t="s">
        <v>62</v>
      </c>
      <c r="D848">
        <v>46136</v>
      </c>
      <c r="E848">
        <v>46136</v>
      </c>
      <c r="G848">
        <v>371</v>
      </c>
      <c r="H848" t="s">
        <v>63</v>
      </c>
      <c r="I848">
        <v>8777</v>
      </c>
      <c r="J848">
        <v>465112</v>
      </c>
      <c r="L848" t="s">
        <v>1215</v>
      </c>
      <c r="M848" t="s">
        <v>65</v>
      </c>
      <c r="N848" t="s">
        <v>66</v>
      </c>
      <c r="O848" s="2">
        <v>46136</v>
      </c>
      <c r="P848" s="1">
        <v>159</v>
      </c>
      <c r="Q848" t="s">
        <v>67</v>
      </c>
      <c r="R848">
        <v>4.5999999999999996</v>
      </c>
      <c r="S848">
        <v>0.55000000000000004</v>
      </c>
      <c r="T848">
        <v>0.1</v>
      </c>
      <c r="U848">
        <v>154.30000000000001</v>
      </c>
      <c r="V848" s="1">
        <v>0</v>
      </c>
      <c r="X848">
        <v>20260427</v>
      </c>
      <c r="Z848" t="s">
        <v>72</v>
      </c>
      <c r="AA848">
        <v>3974527</v>
      </c>
      <c r="AB848" t="s">
        <v>93</v>
      </c>
      <c r="AE848">
        <v>0.71090277777777777</v>
      </c>
      <c r="AF848" t="s">
        <v>70</v>
      </c>
    </row>
    <row r="849" spans="1:32">
      <c r="A849">
        <v>1023366</v>
      </c>
      <c r="B849" t="s">
        <v>61</v>
      </c>
      <c r="C849" t="s">
        <v>62</v>
      </c>
      <c r="D849">
        <v>46136</v>
      </c>
      <c r="E849">
        <v>46136</v>
      </c>
      <c r="G849">
        <v>371</v>
      </c>
      <c r="H849" t="s">
        <v>63</v>
      </c>
      <c r="I849">
        <v>8800</v>
      </c>
      <c r="J849">
        <v>601542</v>
      </c>
      <c r="L849" t="s">
        <v>1216</v>
      </c>
      <c r="M849" t="s">
        <v>96</v>
      </c>
      <c r="N849" t="s">
        <v>66</v>
      </c>
      <c r="O849" s="2">
        <v>46136</v>
      </c>
      <c r="P849" s="1">
        <v>69</v>
      </c>
      <c r="Q849" t="s">
        <v>67</v>
      </c>
      <c r="R849">
        <v>2.69</v>
      </c>
      <c r="S849">
        <v>1.59</v>
      </c>
      <c r="T849">
        <v>0.28999999999999998</v>
      </c>
      <c r="U849">
        <v>66.02</v>
      </c>
      <c r="V849" s="1">
        <v>220.32</v>
      </c>
      <c r="W849">
        <v>46139</v>
      </c>
      <c r="X849">
        <v>20260427</v>
      </c>
      <c r="Z849" t="s">
        <v>68</v>
      </c>
      <c r="AA849">
        <v>3974527</v>
      </c>
      <c r="AB849" t="s">
        <v>234</v>
      </c>
      <c r="AE849">
        <v>0.80256944444444445</v>
      </c>
      <c r="AF849" t="s">
        <v>70</v>
      </c>
    </row>
    <row r="850" spans="1:32">
      <c r="A850">
        <v>1023366</v>
      </c>
      <c r="B850" t="s">
        <v>75</v>
      </c>
      <c r="C850" t="s">
        <v>62</v>
      </c>
      <c r="D850">
        <v>46136</v>
      </c>
      <c r="E850">
        <v>46136</v>
      </c>
      <c r="G850">
        <v>669</v>
      </c>
      <c r="H850" t="s">
        <v>720</v>
      </c>
      <c r="I850">
        <v>9216</v>
      </c>
      <c r="J850">
        <v>808772</v>
      </c>
      <c r="L850" t="s">
        <v>1217</v>
      </c>
      <c r="M850" t="s">
        <v>65</v>
      </c>
      <c r="N850" t="s">
        <v>66</v>
      </c>
      <c r="O850" s="2">
        <v>46136</v>
      </c>
      <c r="P850" s="1">
        <v>179</v>
      </c>
      <c r="Q850" t="s">
        <v>67</v>
      </c>
      <c r="R850">
        <v>5.17</v>
      </c>
      <c r="S850">
        <v>2.31</v>
      </c>
      <c r="T850">
        <v>0.42</v>
      </c>
      <c r="U850">
        <v>173.41</v>
      </c>
      <c r="V850" s="1">
        <v>0</v>
      </c>
      <c r="X850">
        <v>20260427</v>
      </c>
      <c r="Z850" t="s">
        <v>68</v>
      </c>
      <c r="AA850" t="s">
        <v>350</v>
      </c>
      <c r="AB850" t="s">
        <v>79</v>
      </c>
      <c r="AE850">
        <v>0.5818402777777778</v>
      </c>
      <c r="AF850" t="s">
        <v>70</v>
      </c>
    </row>
    <row r="851" spans="1:32">
      <c r="A851">
        <v>1023366</v>
      </c>
      <c r="B851" t="s">
        <v>75</v>
      </c>
      <c r="C851" t="s">
        <v>62</v>
      </c>
      <c r="D851">
        <v>46136</v>
      </c>
      <c r="E851">
        <v>46136</v>
      </c>
      <c r="G851">
        <v>371</v>
      </c>
      <c r="H851" t="s">
        <v>63</v>
      </c>
      <c r="I851">
        <v>8740</v>
      </c>
      <c r="J851">
        <v>164661</v>
      </c>
      <c r="L851" t="s">
        <v>1218</v>
      </c>
      <c r="M851" t="s">
        <v>65</v>
      </c>
      <c r="N851" t="s">
        <v>66</v>
      </c>
      <c r="O851" s="2">
        <v>46136</v>
      </c>
      <c r="P851" s="1">
        <v>39</v>
      </c>
      <c r="Q851" t="s">
        <v>67</v>
      </c>
      <c r="R851">
        <v>1.1299999999999999</v>
      </c>
      <c r="S851">
        <v>0.51</v>
      </c>
      <c r="T851">
        <v>0.09</v>
      </c>
      <c r="U851">
        <v>37.78</v>
      </c>
      <c r="V851" s="1">
        <v>0</v>
      </c>
      <c r="X851">
        <v>20260427</v>
      </c>
      <c r="Z851" t="s">
        <v>68</v>
      </c>
      <c r="AA851">
        <v>3974527</v>
      </c>
      <c r="AB851" t="s">
        <v>79</v>
      </c>
      <c r="AE851">
        <v>0.44116898148148148</v>
      </c>
      <c r="AF851" t="s">
        <v>70</v>
      </c>
    </row>
    <row r="852" spans="1:32">
      <c r="A852">
        <v>1023366</v>
      </c>
      <c r="B852" t="s">
        <v>75</v>
      </c>
      <c r="C852" t="s">
        <v>62</v>
      </c>
      <c r="D852">
        <v>46136</v>
      </c>
      <c r="E852">
        <v>46136</v>
      </c>
      <c r="G852">
        <v>371</v>
      </c>
      <c r="H852" t="s">
        <v>63</v>
      </c>
      <c r="I852">
        <v>8742</v>
      </c>
      <c r="J852">
        <v>50107</v>
      </c>
      <c r="L852" t="s">
        <v>1219</v>
      </c>
      <c r="M852" t="s">
        <v>65</v>
      </c>
      <c r="N852" t="s">
        <v>66</v>
      </c>
      <c r="O852" s="2">
        <v>46136</v>
      </c>
      <c r="P852" s="1">
        <v>68</v>
      </c>
      <c r="Q852" t="s">
        <v>67</v>
      </c>
      <c r="R852">
        <v>1.97</v>
      </c>
      <c r="S852">
        <v>0.27</v>
      </c>
      <c r="T852">
        <v>0.05</v>
      </c>
      <c r="U852">
        <v>65.98</v>
      </c>
      <c r="V852" s="1">
        <v>0</v>
      </c>
      <c r="X852">
        <v>20260427</v>
      </c>
      <c r="Z852" t="s">
        <v>72</v>
      </c>
      <c r="AA852">
        <v>3974527</v>
      </c>
      <c r="AB852" t="s">
        <v>84</v>
      </c>
      <c r="AE852">
        <v>0.46921296296296294</v>
      </c>
      <c r="AF852" t="s">
        <v>70</v>
      </c>
    </row>
    <row r="853" spans="1:32">
      <c r="A853">
        <v>1023366</v>
      </c>
      <c r="B853" t="s">
        <v>75</v>
      </c>
      <c r="C853" t="s">
        <v>62</v>
      </c>
      <c r="D853">
        <v>46136</v>
      </c>
      <c r="E853">
        <v>46136</v>
      </c>
      <c r="G853">
        <v>371</v>
      </c>
      <c r="H853" t="s">
        <v>63</v>
      </c>
      <c r="I853">
        <v>8744</v>
      </c>
      <c r="J853">
        <v>2294</v>
      </c>
      <c r="L853" t="s">
        <v>1191</v>
      </c>
      <c r="M853" t="s">
        <v>65</v>
      </c>
      <c r="N853" t="s">
        <v>66</v>
      </c>
      <c r="O853" s="2">
        <v>46136</v>
      </c>
      <c r="P853" s="1">
        <v>248.9</v>
      </c>
      <c r="Q853" t="s">
        <v>67</v>
      </c>
      <c r="R853">
        <v>7.19</v>
      </c>
      <c r="S853">
        <v>1.96</v>
      </c>
      <c r="T853">
        <v>0.35</v>
      </c>
      <c r="U853">
        <v>241.36</v>
      </c>
      <c r="V853" s="1">
        <v>0</v>
      </c>
      <c r="X853">
        <v>20260427</v>
      </c>
      <c r="Z853" t="s">
        <v>72</v>
      </c>
      <c r="AA853">
        <v>3974527</v>
      </c>
      <c r="AB853" t="s">
        <v>79</v>
      </c>
      <c r="AE853">
        <v>0.48947916666666669</v>
      </c>
      <c r="AF853" t="s">
        <v>70</v>
      </c>
    </row>
    <row r="854" spans="1:32">
      <c r="A854">
        <v>1023366</v>
      </c>
      <c r="B854" t="s">
        <v>75</v>
      </c>
      <c r="C854" t="s">
        <v>62</v>
      </c>
      <c r="D854">
        <v>46136</v>
      </c>
      <c r="E854">
        <v>46136</v>
      </c>
      <c r="G854">
        <v>371</v>
      </c>
      <c r="H854">
        <v>65656565</v>
      </c>
      <c r="I854">
        <v>8746</v>
      </c>
      <c r="J854">
        <v>385127</v>
      </c>
      <c r="L854" t="s">
        <v>1220</v>
      </c>
      <c r="M854" t="s">
        <v>65</v>
      </c>
      <c r="N854" t="s">
        <v>66</v>
      </c>
      <c r="O854" s="2">
        <v>46136</v>
      </c>
      <c r="P854" s="1">
        <v>239.9</v>
      </c>
      <c r="Q854" t="s">
        <v>67</v>
      </c>
      <c r="R854">
        <v>6.93</v>
      </c>
      <c r="S854">
        <v>3.09</v>
      </c>
      <c r="T854">
        <v>0.56000000000000005</v>
      </c>
      <c r="U854">
        <v>232.41</v>
      </c>
      <c r="V854" s="1">
        <v>0</v>
      </c>
      <c r="X854">
        <v>20260427</v>
      </c>
      <c r="Z854" t="s">
        <v>68</v>
      </c>
      <c r="AA854">
        <v>3974527</v>
      </c>
      <c r="AB854" t="s">
        <v>79</v>
      </c>
      <c r="AD854" t="s">
        <v>88</v>
      </c>
      <c r="AE854">
        <v>0.53827546296296291</v>
      </c>
      <c r="AF854" t="s">
        <v>70</v>
      </c>
    </row>
    <row r="855" spans="1:32">
      <c r="A855">
        <v>1023366</v>
      </c>
      <c r="B855" t="s">
        <v>75</v>
      </c>
      <c r="C855" t="s">
        <v>62</v>
      </c>
      <c r="D855">
        <v>46136</v>
      </c>
      <c r="E855">
        <v>46136</v>
      </c>
      <c r="G855">
        <v>371</v>
      </c>
      <c r="H855" t="s">
        <v>63</v>
      </c>
      <c r="I855">
        <v>8749</v>
      </c>
      <c r="J855">
        <v>648262</v>
      </c>
      <c r="L855" t="s">
        <v>1221</v>
      </c>
      <c r="M855" t="s">
        <v>65</v>
      </c>
      <c r="N855" t="s">
        <v>66</v>
      </c>
      <c r="O855" s="2">
        <v>46136</v>
      </c>
      <c r="P855" s="1">
        <v>75</v>
      </c>
      <c r="Q855" t="s">
        <v>67</v>
      </c>
      <c r="R855">
        <v>2.17</v>
      </c>
      <c r="S855">
        <v>0.59</v>
      </c>
      <c r="T855">
        <v>0.11</v>
      </c>
      <c r="U855">
        <v>72.72</v>
      </c>
      <c r="V855" s="1">
        <v>0</v>
      </c>
      <c r="X855">
        <v>20260427</v>
      </c>
      <c r="Z855" t="s">
        <v>72</v>
      </c>
      <c r="AA855">
        <v>3974527</v>
      </c>
      <c r="AB855" t="s">
        <v>93</v>
      </c>
      <c r="AE855">
        <v>0.54112268518518514</v>
      </c>
      <c r="AF855" t="s">
        <v>70</v>
      </c>
    </row>
    <row r="856" spans="1:32">
      <c r="A856">
        <v>1023366</v>
      </c>
      <c r="B856" t="s">
        <v>75</v>
      </c>
      <c r="C856" t="s">
        <v>62</v>
      </c>
      <c r="D856">
        <v>46136</v>
      </c>
      <c r="E856">
        <v>46136</v>
      </c>
      <c r="G856">
        <v>371</v>
      </c>
      <c r="H856" t="s">
        <v>63</v>
      </c>
      <c r="I856">
        <v>8751</v>
      </c>
      <c r="J856">
        <v>614344</v>
      </c>
      <c r="L856" t="s">
        <v>1222</v>
      </c>
      <c r="M856" t="s">
        <v>65</v>
      </c>
      <c r="N856" t="s">
        <v>66</v>
      </c>
      <c r="O856" s="2">
        <v>46136</v>
      </c>
      <c r="P856" s="1">
        <v>75</v>
      </c>
      <c r="Q856" t="s">
        <v>67</v>
      </c>
      <c r="R856">
        <v>2.17</v>
      </c>
      <c r="S856">
        <v>0.59</v>
      </c>
      <c r="T856">
        <v>0.11</v>
      </c>
      <c r="U856">
        <v>72.72</v>
      </c>
      <c r="V856" s="1">
        <v>0</v>
      </c>
      <c r="X856">
        <v>20260427</v>
      </c>
      <c r="Z856" t="s">
        <v>72</v>
      </c>
      <c r="AA856">
        <v>3974527</v>
      </c>
      <c r="AB856" t="s">
        <v>106</v>
      </c>
      <c r="AE856">
        <v>0.54468749999999999</v>
      </c>
      <c r="AF856" t="s">
        <v>70</v>
      </c>
    </row>
    <row r="857" spans="1:32">
      <c r="A857">
        <v>1023366</v>
      </c>
      <c r="B857" t="s">
        <v>75</v>
      </c>
      <c r="C857" t="s">
        <v>62</v>
      </c>
      <c r="D857">
        <v>46136</v>
      </c>
      <c r="E857">
        <v>46136</v>
      </c>
      <c r="G857">
        <v>371</v>
      </c>
      <c r="H857" t="s">
        <v>63</v>
      </c>
      <c r="I857">
        <v>8754</v>
      </c>
      <c r="J857">
        <v>24345</v>
      </c>
      <c r="L857" t="s">
        <v>1223</v>
      </c>
      <c r="M857" t="s">
        <v>96</v>
      </c>
      <c r="N857" t="s">
        <v>66</v>
      </c>
      <c r="O857" s="2">
        <v>46136</v>
      </c>
      <c r="P857" s="1">
        <v>159</v>
      </c>
      <c r="Q857" t="s">
        <v>67</v>
      </c>
      <c r="R857">
        <v>6.2</v>
      </c>
      <c r="S857">
        <v>4.46</v>
      </c>
      <c r="T857">
        <v>0.8</v>
      </c>
      <c r="U857">
        <v>152</v>
      </c>
      <c r="V857" s="1">
        <v>0</v>
      </c>
      <c r="X857">
        <v>20260427</v>
      </c>
      <c r="Z857" t="s">
        <v>72</v>
      </c>
      <c r="AA857">
        <v>3974527</v>
      </c>
      <c r="AB857" t="s">
        <v>97</v>
      </c>
      <c r="AE857">
        <v>0.54728009259259258</v>
      </c>
      <c r="AF857" t="s">
        <v>70</v>
      </c>
    </row>
    <row r="858" spans="1:32">
      <c r="A858">
        <v>1023366</v>
      </c>
      <c r="B858" t="s">
        <v>75</v>
      </c>
      <c r="C858" t="s">
        <v>62</v>
      </c>
      <c r="D858">
        <v>46136</v>
      </c>
      <c r="E858">
        <v>46136</v>
      </c>
      <c r="G858">
        <v>371</v>
      </c>
      <c r="H858" t="s">
        <v>63</v>
      </c>
      <c r="I858">
        <v>8756</v>
      </c>
      <c r="J858">
        <v>296355</v>
      </c>
      <c r="L858" t="s">
        <v>1224</v>
      </c>
      <c r="M858" t="s">
        <v>65</v>
      </c>
      <c r="N858" t="s">
        <v>66</v>
      </c>
      <c r="O858" s="2">
        <v>46136</v>
      </c>
      <c r="P858" s="1">
        <v>149</v>
      </c>
      <c r="Q858" t="s">
        <v>67</v>
      </c>
      <c r="R858">
        <v>4.3099999999999996</v>
      </c>
      <c r="S858">
        <v>1.18</v>
      </c>
      <c r="T858">
        <v>0.21</v>
      </c>
      <c r="U858">
        <v>144.47999999999999</v>
      </c>
      <c r="V858" s="1">
        <v>0</v>
      </c>
      <c r="X858">
        <v>20260427</v>
      </c>
      <c r="Z858" t="s">
        <v>68</v>
      </c>
      <c r="AA858">
        <v>3974527</v>
      </c>
      <c r="AB858" t="s">
        <v>77</v>
      </c>
      <c r="AE858">
        <v>0.55318287037037039</v>
      </c>
      <c r="AF858" t="s">
        <v>70</v>
      </c>
    </row>
    <row r="859" spans="1:32">
      <c r="A859">
        <v>1023366</v>
      </c>
      <c r="B859" t="s">
        <v>75</v>
      </c>
      <c r="C859" t="s">
        <v>62</v>
      </c>
      <c r="D859">
        <v>46136</v>
      </c>
      <c r="E859">
        <v>46136</v>
      </c>
      <c r="G859">
        <v>371</v>
      </c>
      <c r="H859" t="s">
        <v>63</v>
      </c>
      <c r="I859">
        <v>8758</v>
      </c>
      <c r="J859">
        <v>3061</v>
      </c>
      <c r="L859" t="s">
        <v>1225</v>
      </c>
      <c r="M859" t="s">
        <v>65</v>
      </c>
      <c r="N859" t="s">
        <v>66</v>
      </c>
      <c r="O859" s="2">
        <v>46136</v>
      </c>
      <c r="P859" s="1">
        <v>2899</v>
      </c>
      <c r="Q859" t="s">
        <v>67</v>
      </c>
      <c r="R859">
        <v>83.78</v>
      </c>
      <c r="S859">
        <v>22.9</v>
      </c>
      <c r="T859">
        <v>4.12</v>
      </c>
      <c r="U859">
        <v>2811.1</v>
      </c>
      <c r="V859" s="1">
        <v>0</v>
      </c>
      <c r="X859">
        <v>20260427</v>
      </c>
      <c r="Z859" t="s">
        <v>72</v>
      </c>
      <c r="AA859">
        <v>3974527</v>
      </c>
      <c r="AB859" t="s">
        <v>79</v>
      </c>
      <c r="AE859">
        <v>0.55619212962962961</v>
      </c>
      <c r="AF859" t="s">
        <v>70</v>
      </c>
    </row>
    <row r="860" spans="1:32">
      <c r="A860">
        <v>1023366</v>
      </c>
      <c r="B860" t="s">
        <v>75</v>
      </c>
      <c r="C860" t="s">
        <v>62</v>
      </c>
      <c r="D860">
        <v>46136</v>
      </c>
      <c r="E860">
        <v>46136</v>
      </c>
      <c r="G860">
        <v>371</v>
      </c>
      <c r="H860" t="s">
        <v>63</v>
      </c>
      <c r="I860">
        <v>8760</v>
      </c>
      <c r="J860">
        <v>862813</v>
      </c>
      <c r="K860">
        <v>3</v>
      </c>
      <c r="L860" t="s">
        <v>1226</v>
      </c>
      <c r="M860" t="s">
        <v>65</v>
      </c>
      <c r="N860" t="s">
        <v>66</v>
      </c>
      <c r="O860" s="2">
        <v>46136</v>
      </c>
      <c r="P860" s="1">
        <v>179</v>
      </c>
      <c r="Q860" t="s">
        <v>67</v>
      </c>
      <c r="R860">
        <v>8.3000000000000007</v>
      </c>
      <c r="S860">
        <v>1.05</v>
      </c>
      <c r="T860">
        <v>0.19</v>
      </c>
      <c r="U860">
        <v>170.51</v>
      </c>
      <c r="V860" s="1">
        <v>0</v>
      </c>
      <c r="X860">
        <v>20260427</v>
      </c>
      <c r="Z860" t="s">
        <v>72</v>
      </c>
      <c r="AA860">
        <v>3974527</v>
      </c>
      <c r="AB860" t="s">
        <v>93</v>
      </c>
      <c r="AC860" t="s">
        <v>120</v>
      </c>
      <c r="AE860">
        <v>0.58052083333333337</v>
      </c>
      <c r="AF860" t="s">
        <v>70</v>
      </c>
    </row>
    <row r="861" spans="1:32">
      <c r="A861">
        <v>1023366</v>
      </c>
      <c r="B861" t="s">
        <v>75</v>
      </c>
      <c r="C861" t="s">
        <v>62</v>
      </c>
      <c r="D861">
        <v>46136</v>
      </c>
      <c r="E861">
        <v>46136</v>
      </c>
      <c r="G861">
        <v>371</v>
      </c>
      <c r="H861" t="s">
        <v>63</v>
      </c>
      <c r="I861">
        <v>8762</v>
      </c>
      <c r="J861">
        <v>81783</v>
      </c>
      <c r="L861" t="s">
        <v>1227</v>
      </c>
      <c r="M861" t="s">
        <v>65</v>
      </c>
      <c r="N861" t="s">
        <v>66</v>
      </c>
      <c r="O861" s="2">
        <v>46136</v>
      </c>
      <c r="P861" s="1">
        <v>1099</v>
      </c>
      <c r="Q861" t="s">
        <v>67</v>
      </c>
      <c r="R861">
        <v>31.76</v>
      </c>
      <c r="S861">
        <v>4.28</v>
      </c>
      <c r="T861">
        <v>0.77</v>
      </c>
      <c r="U861">
        <v>1066.47</v>
      </c>
      <c r="V861" s="1">
        <v>0</v>
      </c>
      <c r="X861">
        <v>20260427</v>
      </c>
      <c r="Z861" t="s">
        <v>72</v>
      </c>
      <c r="AA861">
        <v>3974527</v>
      </c>
      <c r="AB861" t="s">
        <v>77</v>
      </c>
      <c r="AE861">
        <v>0.58899305555555559</v>
      </c>
      <c r="AF861" t="s">
        <v>70</v>
      </c>
    </row>
    <row r="862" spans="1:32">
      <c r="A862">
        <v>1023366</v>
      </c>
      <c r="B862" t="s">
        <v>75</v>
      </c>
      <c r="C862" t="s">
        <v>62</v>
      </c>
      <c r="D862">
        <v>46136</v>
      </c>
      <c r="E862">
        <v>46136</v>
      </c>
      <c r="G862">
        <v>371</v>
      </c>
      <c r="H862" t="s">
        <v>63</v>
      </c>
      <c r="I862">
        <v>8764</v>
      </c>
      <c r="J862">
        <v>1346</v>
      </c>
      <c r="K862">
        <v>12</v>
      </c>
      <c r="L862" t="s">
        <v>1228</v>
      </c>
      <c r="M862" t="s">
        <v>65</v>
      </c>
      <c r="N862" t="s">
        <v>66</v>
      </c>
      <c r="O862" s="2">
        <v>46136</v>
      </c>
      <c r="P862" s="1">
        <v>2899</v>
      </c>
      <c r="Q862" t="s">
        <v>67</v>
      </c>
      <c r="R862">
        <v>83.78</v>
      </c>
      <c r="S862">
        <v>17.100000000000001</v>
      </c>
      <c r="T862">
        <v>3.08</v>
      </c>
      <c r="U862">
        <v>2812.14</v>
      </c>
      <c r="V862" s="1">
        <v>0</v>
      </c>
      <c r="X862">
        <v>20260427</v>
      </c>
      <c r="Z862" t="s">
        <v>72</v>
      </c>
      <c r="AA862">
        <v>3974527</v>
      </c>
      <c r="AB862" t="s">
        <v>79</v>
      </c>
      <c r="AC862" t="s">
        <v>74</v>
      </c>
      <c r="AE862">
        <v>0.59381944444444446</v>
      </c>
      <c r="AF862" t="s">
        <v>70</v>
      </c>
    </row>
    <row r="863" spans="1:32">
      <c r="A863">
        <v>1023366</v>
      </c>
      <c r="B863" t="s">
        <v>75</v>
      </c>
      <c r="C863" t="s">
        <v>62</v>
      </c>
      <c r="D863">
        <v>46136</v>
      </c>
      <c r="E863">
        <v>46136</v>
      </c>
      <c r="G863">
        <v>371</v>
      </c>
      <c r="H863" t="s">
        <v>63</v>
      </c>
      <c r="I863">
        <v>8766</v>
      </c>
      <c r="J863">
        <v>4833</v>
      </c>
      <c r="L863" t="s">
        <v>1229</v>
      </c>
      <c r="M863" t="s">
        <v>65</v>
      </c>
      <c r="N863" t="s">
        <v>66</v>
      </c>
      <c r="O863" s="2">
        <v>46136</v>
      </c>
      <c r="P863" s="1">
        <v>219</v>
      </c>
      <c r="Q863" t="s">
        <v>67</v>
      </c>
      <c r="R863">
        <v>6.33</v>
      </c>
      <c r="S863">
        <v>1.73</v>
      </c>
      <c r="T863">
        <v>0.31</v>
      </c>
      <c r="U863">
        <v>212.36</v>
      </c>
      <c r="V863" s="1">
        <v>0</v>
      </c>
      <c r="X863">
        <v>20260427</v>
      </c>
      <c r="Z863" t="s">
        <v>72</v>
      </c>
      <c r="AA863">
        <v>3974527</v>
      </c>
      <c r="AB863" t="s">
        <v>79</v>
      </c>
      <c r="AE863">
        <v>0.59731481481481485</v>
      </c>
      <c r="AF863" t="s">
        <v>70</v>
      </c>
    </row>
    <row r="864" spans="1:32">
      <c r="A864">
        <v>1023366</v>
      </c>
      <c r="B864" t="s">
        <v>75</v>
      </c>
      <c r="C864" t="s">
        <v>62</v>
      </c>
      <c r="D864">
        <v>46136</v>
      </c>
      <c r="E864">
        <v>46136</v>
      </c>
      <c r="G864">
        <v>371</v>
      </c>
      <c r="H864">
        <v>65656565</v>
      </c>
      <c r="I864">
        <v>8768</v>
      </c>
      <c r="J864">
        <v>699164</v>
      </c>
      <c r="L864" t="s">
        <v>1230</v>
      </c>
      <c r="M864" t="s">
        <v>65</v>
      </c>
      <c r="N864" t="s">
        <v>66</v>
      </c>
      <c r="O864" s="2">
        <v>46136</v>
      </c>
      <c r="P864" s="1">
        <v>109</v>
      </c>
      <c r="Q864" t="s">
        <v>67</v>
      </c>
      <c r="R864">
        <v>3.15</v>
      </c>
      <c r="S864">
        <v>1.41</v>
      </c>
      <c r="T864">
        <v>0.25</v>
      </c>
      <c r="U864">
        <v>105.6</v>
      </c>
      <c r="V864" s="1">
        <v>0</v>
      </c>
      <c r="X864">
        <v>20260427</v>
      </c>
      <c r="Z864" t="s">
        <v>68</v>
      </c>
      <c r="AA864">
        <v>3974527</v>
      </c>
      <c r="AB864" t="s">
        <v>79</v>
      </c>
      <c r="AD864" t="s">
        <v>88</v>
      </c>
      <c r="AE864">
        <v>0.66835648148148152</v>
      </c>
      <c r="AF864" t="s">
        <v>70</v>
      </c>
    </row>
    <row r="865" spans="1:32">
      <c r="A865">
        <v>1023366</v>
      </c>
      <c r="B865" t="s">
        <v>75</v>
      </c>
      <c r="C865" t="s">
        <v>62</v>
      </c>
      <c r="D865">
        <v>46136</v>
      </c>
      <c r="E865">
        <v>46136</v>
      </c>
      <c r="G865">
        <v>371</v>
      </c>
      <c r="H865" t="s">
        <v>63</v>
      </c>
      <c r="I865">
        <v>8771</v>
      </c>
      <c r="J865">
        <v>317743</v>
      </c>
      <c r="L865" t="s">
        <v>1231</v>
      </c>
      <c r="M865" t="s">
        <v>65</v>
      </c>
      <c r="N865" t="s">
        <v>66</v>
      </c>
      <c r="O865" s="2">
        <v>46136</v>
      </c>
      <c r="P865" s="1">
        <v>189</v>
      </c>
      <c r="Q865" t="s">
        <v>67</v>
      </c>
      <c r="R865">
        <v>5.46</v>
      </c>
      <c r="S865">
        <v>1.1100000000000001</v>
      </c>
      <c r="T865">
        <v>0.2</v>
      </c>
      <c r="U865">
        <v>183.34</v>
      </c>
      <c r="V865" s="1">
        <v>0</v>
      </c>
      <c r="X865">
        <v>20260427</v>
      </c>
      <c r="Z865" t="s">
        <v>72</v>
      </c>
      <c r="AA865">
        <v>3974527</v>
      </c>
      <c r="AB865" t="s">
        <v>93</v>
      </c>
      <c r="AE865">
        <v>0.679224537037037</v>
      </c>
      <c r="AF865" t="s">
        <v>70</v>
      </c>
    </row>
    <row r="866" spans="1:32">
      <c r="A866">
        <v>1023366</v>
      </c>
      <c r="B866" t="s">
        <v>75</v>
      </c>
      <c r="C866" t="s">
        <v>62</v>
      </c>
      <c r="D866">
        <v>46136</v>
      </c>
      <c r="E866">
        <v>46136</v>
      </c>
      <c r="G866">
        <v>371</v>
      </c>
      <c r="H866" t="s">
        <v>63</v>
      </c>
      <c r="I866">
        <v>8773</v>
      </c>
      <c r="J866">
        <v>356423</v>
      </c>
      <c r="K866">
        <v>3</v>
      </c>
      <c r="L866" t="s">
        <v>1232</v>
      </c>
      <c r="M866" t="s">
        <v>65</v>
      </c>
      <c r="N866" t="s">
        <v>66</v>
      </c>
      <c r="O866" s="2">
        <v>46136</v>
      </c>
      <c r="P866" s="1">
        <v>229</v>
      </c>
      <c r="Q866" t="s">
        <v>67</v>
      </c>
      <c r="R866">
        <v>10.63</v>
      </c>
      <c r="S866">
        <v>1.35</v>
      </c>
      <c r="T866">
        <v>0.24</v>
      </c>
      <c r="U866">
        <v>218.13</v>
      </c>
      <c r="V866" s="1">
        <v>0</v>
      </c>
      <c r="X866">
        <v>20260427</v>
      </c>
      <c r="Z866" t="s">
        <v>72</v>
      </c>
      <c r="AA866">
        <v>3974527</v>
      </c>
      <c r="AB866" t="s">
        <v>93</v>
      </c>
      <c r="AC866" t="s">
        <v>120</v>
      </c>
      <c r="AE866">
        <v>0.6877199074074074</v>
      </c>
      <c r="AF866" t="s">
        <v>70</v>
      </c>
    </row>
    <row r="867" spans="1:32">
      <c r="A867">
        <v>1023366</v>
      </c>
      <c r="B867" t="s">
        <v>75</v>
      </c>
      <c r="C867" t="s">
        <v>62</v>
      </c>
      <c r="D867">
        <v>46136</v>
      </c>
      <c r="E867">
        <v>46136</v>
      </c>
      <c r="G867">
        <v>371</v>
      </c>
      <c r="H867" t="s">
        <v>63</v>
      </c>
      <c r="I867">
        <v>8775</v>
      </c>
      <c r="J867">
        <v>424388</v>
      </c>
      <c r="K867">
        <v>3</v>
      </c>
      <c r="L867" t="s">
        <v>1233</v>
      </c>
      <c r="M867" t="s">
        <v>65</v>
      </c>
      <c r="N867" t="s">
        <v>66</v>
      </c>
      <c r="O867" s="2">
        <v>46136</v>
      </c>
      <c r="P867" s="1">
        <v>849</v>
      </c>
      <c r="Q867" t="s">
        <v>67</v>
      </c>
      <c r="R867">
        <v>39.4</v>
      </c>
      <c r="S867">
        <v>5.01</v>
      </c>
      <c r="T867">
        <v>0.9</v>
      </c>
      <c r="U867">
        <v>808.7</v>
      </c>
      <c r="V867" s="1">
        <v>0</v>
      </c>
      <c r="X867">
        <v>20260427</v>
      </c>
      <c r="Z867" t="s">
        <v>72</v>
      </c>
      <c r="AA867">
        <v>3974527</v>
      </c>
      <c r="AB867" t="s">
        <v>93</v>
      </c>
      <c r="AC867" t="s">
        <v>120</v>
      </c>
      <c r="AE867">
        <v>0.7023611111111111</v>
      </c>
      <c r="AF867" t="s">
        <v>70</v>
      </c>
    </row>
    <row r="868" spans="1:32">
      <c r="A868">
        <v>1023366</v>
      </c>
      <c r="B868" t="s">
        <v>75</v>
      </c>
      <c r="C868" t="s">
        <v>62</v>
      </c>
      <c r="D868">
        <v>46136</v>
      </c>
      <c r="E868">
        <v>46136</v>
      </c>
      <c r="G868">
        <v>371</v>
      </c>
      <c r="H868" t="s">
        <v>63</v>
      </c>
      <c r="I868">
        <v>8779</v>
      </c>
      <c r="J868">
        <v>112984</v>
      </c>
      <c r="L868" t="s">
        <v>1234</v>
      </c>
      <c r="M868" t="s">
        <v>65</v>
      </c>
      <c r="N868" t="s">
        <v>66</v>
      </c>
      <c r="O868" s="2">
        <v>46136</v>
      </c>
      <c r="P868" s="1">
        <v>149</v>
      </c>
      <c r="Q868" t="s">
        <v>67</v>
      </c>
      <c r="R868">
        <v>4.3099999999999996</v>
      </c>
      <c r="S868">
        <v>1.93</v>
      </c>
      <c r="T868">
        <v>0.35</v>
      </c>
      <c r="U868">
        <v>144.34</v>
      </c>
      <c r="V868" s="1">
        <v>0</v>
      </c>
      <c r="X868">
        <v>20260427</v>
      </c>
      <c r="Z868" t="s">
        <v>68</v>
      </c>
      <c r="AA868">
        <v>3974527</v>
      </c>
      <c r="AB868" t="s">
        <v>79</v>
      </c>
      <c r="AE868">
        <v>0.72111111111111115</v>
      </c>
      <c r="AF868" t="s">
        <v>70</v>
      </c>
    </row>
    <row r="869" spans="1:32">
      <c r="A869">
        <v>1023366</v>
      </c>
      <c r="B869" t="s">
        <v>75</v>
      </c>
      <c r="C869" t="s">
        <v>62</v>
      </c>
      <c r="D869">
        <v>46136</v>
      </c>
      <c r="E869">
        <v>46136</v>
      </c>
      <c r="G869">
        <v>371</v>
      </c>
      <c r="H869" t="s">
        <v>63</v>
      </c>
      <c r="I869">
        <v>8781</v>
      </c>
      <c r="J869">
        <v>33395</v>
      </c>
      <c r="L869" t="s">
        <v>1235</v>
      </c>
      <c r="M869" t="s">
        <v>65</v>
      </c>
      <c r="N869" t="s">
        <v>66</v>
      </c>
      <c r="O869" s="2">
        <v>46136</v>
      </c>
      <c r="P869" s="1">
        <v>2099</v>
      </c>
      <c r="Q869" t="s">
        <v>67</v>
      </c>
      <c r="R869">
        <v>60.66</v>
      </c>
      <c r="S869">
        <v>16.579999999999998</v>
      </c>
      <c r="T869">
        <v>2.98</v>
      </c>
      <c r="U869">
        <v>2035.36</v>
      </c>
      <c r="V869" s="1">
        <v>0</v>
      </c>
      <c r="X869">
        <v>20260427</v>
      </c>
      <c r="Z869" t="s">
        <v>72</v>
      </c>
      <c r="AA869">
        <v>3974527</v>
      </c>
      <c r="AB869" t="s">
        <v>84</v>
      </c>
      <c r="AE869">
        <v>0.72863425925925929</v>
      </c>
      <c r="AF869" t="s">
        <v>70</v>
      </c>
    </row>
    <row r="870" spans="1:32">
      <c r="A870">
        <v>1023366</v>
      </c>
      <c r="B870" t="s">
        <v>75</v>
      </c>
      <c r="C870" t="s">
        <v>62</v>
      </c>
      <c r="D870">
        <v>46136</v>
      </c>
      <c r="E870">
        <v>46136</v>
      </c>
      <c r="G870">
        <v>371</v>
      </c>
      <c r="H870" t="s">
        <v>63</v>
      </c>
      <c r="I870">
        <v>8783</v>
      </c>
      <c r="J870">
        <v>600945</v>
      </c>
      <c r="K870">
        <v>3</v>
      </c>
      <c r="L870" t="s">
        <v>809</v>
      </c>
      <c r="M870" t="s">
        <v>65</v>
      </c>
      <c r="N870" t="s">
        <v>66</v>
      </c>
      <c r="O870" s="2">
        <v>46136</v>
      </c>
      <c r="P870" s="1">
        <v>158</v>
      </c>
      <c r="Q870" t="s">
        <v>67</v>
      </c>
      <c r="R870">
        <v>7.34</v>
      </c>
      <c r="S870">
        <v>0.62</v>
      </c>
      <c r="T870">
        <v>0.11</v>
      </c>
      <c r="U870">
        <v>150.55000000000001</v>
      </c>
      <c r="V870" s="1">
        <v>0</v>
      </c>
      <c r="X870">
        <v>20260427</v>
      </c>
      <c r="Z870" t="s">
        <v>72</v>
      </c>
      <c r="AA870">
        <v>3974527</v>
      </c>
      <c r="AB870" t="s">
        <v>93</v>
      </c>
      <c r="AC870" t="s">
        <v>120</v>
      </c>
      <c r="AE870">
        <v>0.73731481481481487</v>
      </c>
      <c r="AF870" t="s">
        <v>70</v>
      </c>
    </row>
    <row r="871" spans="1:32">
      <c r="A871">
        <v>1023366</v>
      </c>
      <c r="B871" t="s">
        <v>75</v>
      </c>
      <c r="C871" t="s">
        <v>62</v>
      </c>
      <c r="D871">
        <v>46136</v>
      </c>
      <c r="E871">
        <v>46136</v>
      </c>
      <c r="G871">
        <v>371</v>
      </c>
      <c r="H871">
        <v>65656565</v>
      </c>
      <c r="I871">
        <v>8785</v>
      </c>
      <c r="J871">
        <v>180948</v>
      </c>
      <c r="L871" t="s">
        <v>839</v>
      </c>
      <c r="M871" t="s">
        <v>65</v>
      </c>
      <c r="N871" t="s">
        <v>66</v>
      </c>
      <c r="O871" s="2">
        <v>46136</v>
      </c>
      <c r="P871" s="1">
        <v>55</v>
      </c>
      <c r="Q871" t="s">
        <v>67</v>
      </c>
      <c r="R871">
        <v>1.58</v>
      </c>
      <c r="S871">
        <v>0.7</v>
      </c>
      <c r="T871">
        <v>0.13</v>
      </c>
      <c r="U871">
        <v>53.29</v>
      </c>
      <c r="V871" s="1">
        <v>0</v>
      </c>
      <c r="X871">
        <v>20260427</v>
      </c>
      <c r="Z871" t="s">
        <v>68</v>
      </c>
      <c r="AA871">
        <v>3974527</v>
      </c>
      <c r="AB871" t="s">
        <v>79</v>
      </c>
      <c r="AD871" t="s">
        <v>88</v>
      </c>
      <c r="AE871">
        <v>0.7469675925925926</v>
      </c>
      <c r="AF871" t="s">
        <v>70</v>
      </c>
    </row>
    <row r="872" spans="1:32">
      <c r="A872">
        <v>1023366</v>
      </c>
      <c r="B872" t="s">
        <v>75</v>
      </c>
      <c r="C872" t="s">
        <v>62</v>
      </c>
      <c r="D872">
        <v>46136</v>
      </c>
      <c r="E872">
        <v>46136</v>
      </c>
      <c r="G872">
        <v>371</v>
      </c>
      <c r="H872" t="s">
        <v>63</v>
      </c>
      <c r="I872">
        <v>8788</v>
      </c>
      <c r="J872">
        <v>995575</v>
      </c>
      <c r="L872" t="s">
        <v>1236</v>
      </c>
      <c r="M872" t="s">
        <v>65</v>
      </c>
      <c r="N872" t="s">
        <v>66</v>
      </c>
      <c r="O872" s="2">
        <v>46136</v>
      </c>
      <c r="P872" s="1">
        <v>189</v>
      </c>
      <c r="Q872" t="s">
        <v>67</v>
      </c>
      <c r="R872">
        <v>5.46</v>
      </c>
      <c r="S872">
        <v>2.44</v>
      </c>
      <c r="T872">
        <v>0.44</v>
      </c>
      <c r="U872">
        <v>183.1</v>
      </c>
      <c r="V872" s="1">
        <v>0</v>
      </c>
      <c r="X872">
        <v>20260427</v>
      </c>
      <c r="Z872" t="s">
        <v>68</v>
      </c>
      <c r="AA872">
        <v>3974527</v>
      </c>
      <c r="AB872" t="s">
        <v>79</v>
      </c>
      <c r="AE872">
        <v>0.75075231481481486</v>
      </c>
      <c r="AF872" t="s">
        <v>70</v>
      </c>
    </row>
    <row r="873" spans="1:32">
      <c r="A873">
        <v>1023366</v>
      </c>
      <c r="B873" t="s">
        <v>75</v>
      </c>
      <c r="C873" t="s">
        <v>62</v>
      </c>
      <c r="D873">
        <v>46136</v>
      </c>
      <c r="E873">
        <v>46136</v>
      </c>
      <c r="G873">
        <v>371</v>
      </c>
      <c r="H873" t="s">
        <v>63</v>
      </c>
      <c r="I873">
        <v>8792</v>
      </c>
      <c r="J873">
        <v>774574</v>
      </c>
      <c r="L873" t="s">
        <v>1237</v>
      </c>
      <c r="M873" t="s">
        <v>65</v>
      </c>
      <c r="N873" t="s">
        <v>66</v>
      </c>
      <c r="O873" s="2">
        <v>46136</v>
      </c>
      <c r="P873" s="1">
        <v>399</v>
      </c>
      <c r="Q873" t="s">
        <v>67</v>
      </c>
      <c r="R873">
        <v>11.53</v>
      </c>
      <c r="S873">
        <v>2.35</v>
      </c>
      <c r="T873">
        <v>0.42</v>
      </c>
      <c r="U873">
        <v>387.05</v>
      </c>
      <c r="V873" s="1">
        <v>0</v>
      </c>
      <c r="X873">
        <v>20260427</v>
      </c>
      <c r="Z873" t="s">
        <v>72</v>
      </c>
      <c r="AA873">
        <v>3974527</v>
      </c>
      <c r="AB873" t="s">
        <v>93</v>
      </c>
      <c r="AE873">
        <v>0.76829861111111108</v>
      </c>
      <c r="AF873" t="s">
        <v>70</v>
      </c>
    </row>
    <row r="874" spans="1:32">
      <c r="A874">
        <v>1023366</v>
      </c>
      <c r="B874" t="s">
        <v>75</v>
      </c>
      <c r="C874" t="s">
        <v>62</v>
      </c>
      <c r="D874">
        <v>46136</v>
      </c>
      <c r="E874">
        <v>46136</v>
      </c>
      <c r="G874">
        <v>371</v>
      </c>
      <c r="H874" t="s">
        <v>63</v>
      </c>
      <c r="I874">
        <v>8794</v>
      </c>
      <c r="J874">
        <v>6567</v>
      </c>
      <c r="L874" t="s">
        <v>1238</v>
      </c>
      <c r="M874" t="s">
        <v>65</v>
      </c>
      <c r="N874" t="s">
        <v>66</v>
      </c>
      <c r="O874" s="2">
        <v>46136</v>
      </c>
      <c r="P874" s="1">
        <v>34.9</v>
      </c>
      <c r="Q874" t="s">
        <v>67</v>
      </c>
      <c r="R874">
        <v>1.01</v>
      </c>
      <c r="S874">
        <v>0.14000000000000001</v>
      </c>
      <c r="T874">
        <v>0.03</v>
      </c>
      <c r="U874">
        <v>33.86</v>
      </c>
      <c r="V874" s="1">
        <v>0</v>
      </c>
      <c r="X874">
        <v>20260427</v>
      </c>
      <c r="Z874" t="s">
        <v>72</v>
      </c>
      <c r="AA874">
        <v>3974527</v>
      </c>
      <c r="AB874" t="s">
        <v>79</v>
      </c>
      <c r="AE874">
        <v>0.77182870370370371</v>
      </c>
      <c r="AF874" t="s">
        <v>70</v>
      </c>
    </row>
    <row r="875" spans="1:32">
      <c r="A875">
        <v>1023366</v>
      </c>
      <c r="B875" t="s">
        <v>75</v>
      </c>
      <c r="C875" t="s">
        <v>62</v>
      </c>
      <c r="D875">
        <v>46136</v>
      </c>
      <c r="E875">
        <v>46136</v>
      </c>
      <c r="G875">
        <v>371</v>
      </c>
      <c r="H875" t="s">
        <v>63</v>
      </c>
      <c r="I875">
        <v>8798</v>
      </c>
      <c r="J875">
        <v>326665</v>
      </c>
      <c r="L875" t="s">
        <v>1239</v>
      </c>
      <c r="M875" t="s">
        <v>65</v>
      </c>
      <c r="N875" t="s">
        <v>66</v>
      </c>
      <c r="O875" s="2">
        <v>46136</v>
      </c>
      <c r="P875" s="1">
        <v>69</v>
      </c>
      <c r="Q875" t="s">
        <v>67</v>
      </c>
      <c r="R875">
        <v>1.99</v>
      </c>
      <c r="S875">
        <v>0.89</v>
      </c>
      <c r="T875">
        <v>0.16</v>
      </c>
      <c r="U875">
        <v>66.849999999999994</v>
      </c>
      <c r="V875" s="1">
        <v>0</v>
      </c>
      <c r="X875">
        <v>20260427</v>
      </c>
      <c r="Z875" t="s">
        <v>68</v>
      </c>
      <c r="AA875">
        <v>3974527</v>
      </c>
      <c r="AB875" t="s">
        <v>79</v>
      </c>
      <c r="AE875">
        <v>0.79907407407407405</v>
      </c>
      <c r="AF875" t="s">
        <v>70</v>
      </c>
    </row>
    <row r="876" spans="1:32">
      <c r="A876">
        <v>1023366</v>
      </c>
      <c r="B876" t="s">
        <v>75</v>
      </c>
      <c r="C876" t="s">
        <v>62</v>
      </c>
      <c r="D876">
        <v>46136</v>
      </c>
      <c r="E876">
        <v>46136</v>
      </c>
      <c r="G876">
        <v>371</v>
      </c>
      <c r="H876" t="s">
        <v>63</v>
      </c>
      <c r="I876">
        <v>8803</v>
      </c>
      <c r="J876">
        <v>51191</v>
      </c>
      <c r="L876" t="s">
        <v>1240</v>
      </c>
      <c r="M876" t="s">
        <v>65</v>
      </c>
      <c r="N876" t="s">
        <v>66</v>
      </c>
      <c r="O876" s="2">
        <v>46136</v>
      </c>
      <c r="P876" s="1">
        <v>75</v>
      </c>
      <c r="Q876" t="s">
        <v>67</v>
      </c>
      <c r="R876">
        <v>2.17</v>
      </c>
      <c r="S876">
        <v>0.97</v>
      </c>
      <c r="T876">
        <v>0.17</v>
      </c>
      <c r="U876">
        <v>72.66</v>
      </c>
      <c r="V876" s="1">
        <v>0</v>
      </c>
      <c r="X876">
        <v>20260427</v>
      </c>
      <c r="Z876" t="s">
        <v>68</v>
      </c>
      <c r="AA876">
        <v>3974527</v>
      </c>
      <c r="AB876" t="s">
        <v>81</v>
      </c>
      <c r="AE876">
        <v>0.80391203703703706</v>
      </c>
      <c r="AF876" t="s">
        <v>70</v>
      </c>
    </row>
    <row r="877" spans="1:32">
      <c r="A877">
        <v>1023366</v>
      </c>
      <c r="B877" t="s">
        <v>75</v>
      </c>
      <c r="C877" t="s">
        <v>62</v>
      </c>
      <c r="D877">
        <v>46136</v>
      </c>
      <c r="E877">
        <v>46136</v>
      </c>
      <c r="G877">
        <v>371</v>
      </c>
      <c r="H877" t="s">
        <v>63</v>
      </c>
      <c r="I877">
        <v>8805</v>
      </c>
      <c r="J877">
        <v>175127</v>
      </c>
      <c r="L877" t="s">
        <v>1241</v>
      </c>
      <c r="M877" t="s">
        <v>65</v>
      </c>
      <c r="N877" t="s">
        <v>66</v>
      </c>
      <c r="O877" s="2">
        <v>46136</v>
      </c>
      <c r="P877" s="1">
        <v>29.9</v>
      </c>
      <c r="Q877" t="s">
        <v>67</v>
      </c>
      <c r="R877">
        <v>0.86</v>
      </c>
      <c r="S877">
        <v>0.38</v>
      </c>
      <c r="T877">
        <v>7.0000000000000007E-2</v>
      </c>
      <c r="U877">
        <v>28.97</v>
      </c>
      <c r="V877" s="1">
        <v>0</v>
      </c>
      <c r="X877">
        <v>20260427</v>
      </c>
      <c r="Z877" t="s">
        <v>68</v>
      </c>
      <c r="AA877">
        <v>3974527</v>
      </c>
      <c r="AB877" t="s">
        <v>79</v>
      </c>
      <c r="AE877">
        <v>0.81337962962962962</v>
      </c>
      <c r="AF877" t="s">
        <v>70</v>
      </c>
    </row>
    <row r="878" spans="1:32">
      <c r="A878">
        <v>1023366</v>
      </c>
      <c r="B878" t="s">
        <v>75</v>
      </c>
      <c r="C878" t="s">
        <v>62</v>
      </c>
      <c r="D878">
        <v>46136</v>
      </c>
      <c r="E878">
        <v>46136</v>
      </c>
      <c r="G878">
        <v>371</v>
      </c>
      <c r="H878" t="s">
        <v>63</v>
      </c>
      <c r="I878">
        <v>8807</v>
      </c>
      <c r="J878">
        <v>9379</v>
      </c>
      <c r="L878" t="s">
        <v>1242</v>
      </c>
      <c r="M878" t="s">
        <v>65</v>
      </c>
      <c r="N878" t="s">
        <v>66</v>
      </c>
      <c r="O878" s="2">
        <v>46136</v>
      </c>
      <c r="P878" s="1">
        <v>2599</v>
      </c>
      <c r="Q878" t="s">
        <v>67</v>
      </c>
      <c r="R878">
        <v>75.11</v>
      </c>
      <c r="S878">
        <v>10.130000000000001</v>
      </c>
      <c r="T878">
        <v>1.82</v>
      </c>
      <c r="U878">
        <v>2522.0700000000002</v>
      </c>
      <c r="V878" s="1">
        <v>0</v>
      </c>
      <c r="X878">
        <v>20260427</v>
      </c>
      <c r="Z878" t="s">
        <v>72</v>
      </c>
      <c r="AA878">
        <v>3974527</v>
      </c>
      <c r="AB878" t="s">
        <v>79</v>
      </c>
      <c r="AE878">
        <v>0.82405092592592588</v>
      </c>
      <c r="AF878" t="s">
        <v>70</v>
      </c>
    </row>
    <row r="879" spans="1:32">
      <c r="A879">
        <v>1023366</v>
      </c>
      <c r="B879" t="s">
        <v>75</v>
      </c>
      <c r="C879" t="s">
        <v>62</v>
      </c>
      <c r="D879">
        <v>46136</v>
      </c>
      <c r="E879">
        <v>46136</v>
      </c>
      <c r="G879">
        <v>371</v>
      </c>
      <c r="H879" t="s">
        <v>63</v>
      </c>
      <c r="I879">
        <v>8809</v>
      </c>
      <c r="J879">
        <v>174253</v>
      </c>
      <c r="L879" t="s">
        <v>1243</v>
      </c>
      <c r="M879" t="s">
        <v>65</v>
      </c>
      <c r="N879" t="s">
        <v>66</v>
      </c>
      <c r="O879" s="2">
        <v>46136</v>
      </c>
      <c r="P879" s="1">
        <v>278</v>
      </c>
      <c r="Q879" t="s">
        <v>67</v>
      </c>
      <c r="R879">
        <v>8.0299999999999994</v>
      </c>
      <c r="S879">
        <v>1.64</v>
      </c>
      <c r="T879">
        <v>0.3</v>
      </c>
      <c r="U879">
        <v>269.67</v>
      </c>
      <c r="V879" s="1">
        <v>15528.98</v>
      </c>
      <c r="W879">
        <v>46139</v>
      </c>
      <c r="X879">
        <v>20260427</v>
      </c>
      <c r="Z879" t="s">
        <v>72</v>
      </c>
      <c r="AA879">
        <v>3974527</v>
      </c>
      <c r="AB879" t="s">
        <v>77</v>
      </c>
      <c r="AE879">
        <v>0.84553240740740743</v>
      </c>
      <c r="AF879" t="s">
        <v>70</v>
      </c>
    </row>
    <row r="880" spans="1:32">
      <c r="A880">
        <v>1023366</v>
      </c>
      <c r="B880" t="s">
        <v>201</v>
      </c>
      <c r="C880" t="s">
        <v>62</v>
      </c>
      <c r="D880">
        <v>46136</v>
      </c>
      <c r="E880">
        <v>46136</v>
      </c>
      <c r="G880">
        <v>371</v>
      </c>
      <c r="H880" t="s">
        <v>63</v>
      </c>
      <c r="I880">
        <v>8790</v>
      </c>
      <c r="J880">
        <v>76861</v>
      </c>
      <c r="L880" t="s">
        <v>1244</v>
      </c>
      <c r="M880" t="s">
        <v>65</v>
      </c>
      <c r="N880" t="s">
        <v>66</v>
      </c>
      <c r="O880" s="2">
        <v>46136</v>
      </c>
      <c r="P880" s="1">
        <v>19.899999999999999</v>
      </c>
      <c r="Q880" t="s">
        <v>67</v>
      </c>
      <c r="R880">
        <v>0.57999999999999996</v>
      </c>
      <c r="S880">
        <v>0.16</v>
      </c>
      <c r="T880">
        <v>0.03</v>
      </c>
      <c r="U880">
        <v>19.29</v>
      </c>
      <c r="V880" s="1">
        <v>19.29</v>
      </c>
      <c r="W880">
        <v>46139</v>
      </c>
      <c r="X880">
        <v>20260427</v>
      </c>
      <c r="Z880" t="s">
        <v>72</v>
      </c>
      <c r="AA880">
        <v>3974527</v>
      </c>
      <c r="AB880" t="s">
        <v>203</v>
      </c>
      <c r="AE880">
        <v>0.76121527777777775</v>
      </c>
      <c r="AF880" t="s">
        <v>70</v>
      </c>
    </row>
    <row r="881" spans="1:32">
      <c r="A881">
        <v>1023366</v>
      </c>
      <c r="B881" t="s">
        <v>61</v>
      </c>
      <c r="C881" t="s">
        <v>62</v>
      </c>
      <c r="D881">
        <v>46137</v>
      </c>
      <c r="E881">
        <v>46137</v>
      </c>
      <c r="G881">
        <v>372</v>
      </c>
      <c r="H881" t="s">
        <v>63</v>
      </c>
      <c r="I881">
        <v>8897</v>
      </c>
      <c r="J881">
        <v>104206</v>
      </c>
      <c r="L881" t="s">
        <v>1245</v>
      </c>
      <c r="M881" t="s">
        <v>65</v>
      </c>
      <c r="N881" t="s">
        <v>66</v>
      </c>
      <c r="O881" s="2">
        <v>46137</v>
      </c>
      <c r="P881" s="1">
        <v>529</v>
      </c>
      <c r="Q881" t="s">
        <v>67</v>
      </c>
      <c r="R881">
        <v>15.29</v>
      </c>
      <c r="S881">
        <v>6.03</v>
      </c>
      <c r="T881">
        <v>1.0900000000000001</v>
      </c>
      <c r="U881">
        <v>512.62</v>
      </c>
      <c r="V881" s="1">
        <v>512.62</v>
      </c>
      <c r="W881">
        <v>46139</v>
      </c>
      <c r="X881">
        <v>20260427</v>
      </c>
      <c r="Z881" t="s">
        <v>68</v>
      </c>
      <c r="AA881">
        <v>3974527</v>
      </c>
      <c r="AB881" t="s">
        <v>69</v>
      </c>
      <c r="AE881">
        <v>0.71312500000000001</v>
      </c>
      <c r="AF881" t="s">
        <v>70</v>
      </c>
    </row>
    <row r="882" spans="1:32">
      <c r="A882">
        <v>1023366</v>
      </c>
      <c r="B882" t="s">
        <v>75</v>
      </c>
      <c r="C882" t="s">
        <v>62</v>
      </c>
      <c r="D882">
        <v>46137</v>
      </c>
      <c r="E882">
        <v>46137</v>
      </c>
      <c r="G882">
        <v>670</v>
      </c>
      <c r="H882" t="s">
        <v>720</v>
      </c>
      <c r="I882">
        <v>9221</v>
      </c>
      <c r="J882">
        <v>5251</v>
      </c>
      <c r="L882" t="s">
        <v>207</v>
      </c>
      <c r="M882" t="s">
        <v>65</v>
      </c>
      <c r="N882" t="s">
        <v>66</v>
      </c>
      <c r="O882" s="2">
        <v>46137</v>
      </c>
      <c r="P882" s="1">
        <v>27.5</v>
      </c>
      <c r="Q882" t="s">
        <v>67</v>
      </c>
      <c r="R882">
        <v>0.79</v>
      </c>
      <c r="S882">
        <v>0.21</v>
      </c>
      <c r="T882">
        <v>0.04</v>
      </c>
      <c r="U882">
        <v>26.67</v>
      </c>
      <c r="V882" s="1">
        <v>0</v>
      </c>
      <c r="X882">
        <v>20260427</v>
      </c>
      <c r="Z882" t="s">
        <v>72</v>
      </c>
      <c r="AA882" t="s">
        <v>350</v>
      </c>
      <c r="AB882" t="s">
        <v>79</v>
      </c>
      <c r="AE882">
        <v>0.64538194444444441</v>
      </c>
      <c r="AF882" t="s">
        <v>70</v>
      </c>
    </row>
    <row r="883" spans="1:32">
      <c r="A883">
        <v>1023366</v>
      </c>
      <c r="B883" t="s">
        <v>75</v>
      </c>
      <c r="C883" t="s">
        <v>62</v>
      </c>
      <c r="D883">
        <v>46137</v>
      </c>
      <c r="E883">
        <v>46137</v>
      </c>
      <c r="G883">
        <v>372</v>
      </c>
      <c r="H883" t="s">
        <v>63</v>
      </c>
      <c r="I883">
        <v>8825</v>
      </c>
      <c r="J883" t="s">
        <v>1246</v>
      </c>
      <c r="L883" t="s">
        <v>1247</v>
      </c>
      <c r="M883" t="s">
        <v>65</v>
      </c>
      <c r="N883" t="s">
        <v>66</v>
      </c>
      <c r="O883" s="2">
        <v>46137</v>
      </c>
      <c r="P883" s="1">
        <v>379</v>
      </c>
      <c r="Q883" t="s">
        <v>67</v>
      </c>
      <c r="R883">
        <v>10.95</v>
      </c>
      <c r="S883">
        <v>2.99</v>
      </c>
      <c r="T883">
        <v>0.54</v>
      </c>
      <c r="U883">
        <v>367.51</v>
      </c>
      <c r="V883" s="1">
        <v>0</v>
      </c>
      <c r="X883">
        <v>20260427</v>
      </c>
      <c r="Z883" t="s">
        <v>72</v>
      </c>
      <c r="AA883">
        <v>3974527</v>
      </c>
      <c r="AB883" t="s">
        <v>81</v>
      </c>
      <c r="AE883">
        <v>0.44010416666666669</v>
      </c>
      <c r="AF883" t="s">
        <v>70</v>
      </c>
    </row>
    <row r="884" spans="1:32">
      <c r="A884">
        <v>1023366</v>
      </c>
      <c r="B884" t="s">
        <v>75</v>
      </c>
      <c r="C884" t="s">
        <v>62</v>
      </c>
      <c r="D884">
        <v>46137</v>
      </c>
      <c r="E884">
        <v>46137</v>
      </c>
      <c r="G884">
        <v>372</v>
      </c>
      <c r="H884" t="s">
        <v>63</v>
      </c>
      <c r="I884">
        <v>8827</v>
      </c>
      <c r="J884">
        <v>518591</v>
      </c>
      <c r="K884">
        <v>3</v>
      </c>
      <c r="L884" t="s">
        <v>1248</v>
      </c>
      <c r="M884" t="s">
        <v>65</v>
      </c>
      <c r="N884" t="s">
        <v>66</v>
      </c>
      <c r="O884" s="2">
        <v>46137</v>
      </c>
      <c r="P884" s="1">
        <v>743</v>
      </c>
      <c r="Q884" t="s">
        <v>67</v>
      </c>
      <c r="R884">
        <v>34.47</v>
      </c>
      <c r="S884">
        <v>4.38</v>
      </c>
      <c r="T884">
        <v>0.79</v>
      </c>
      <c r="U884">
        <v>707.74</v>
      </c>
      <c r="V884" s="1">
        <v>0</v>
      </c>
      <c r="X884">
        <v>20260427</v>
      </c>
      <c r="Z884" t="s">
        <v>72</v>
      </c>
      <c r="AA884">
        <v>3974527</v>
      </c>
      <c r="AB884" t="s">
        <v>93</v>
      </c>
      <c r="AC884" t="s">
        <v>120</v>
      </c>
      <c r="AE884">
        <v>0.44491898148148146</v>
      </c>
      <c r="AF884" t="s">
        <v>70</v>
      </c>
    </row>
    <row r="885" spans="1:32">
      <c r="A885">
        <v>1023366</v>
      </c>
      <c r="B885" t="s">
        <v>75</v>
      </c>
      <c r="C885" t="s">
        <v>62</v>
      </c>
      <c r="D885">
        <v>46137</v>
      </c>
      <c r="E885">
        <v>46137</v>
      </c>
      <c r="G885">
        <v>372</v>
      </c>
      <c r="H885" t="s">
        <v>63</v>
      </c>
      <c r="I885">
        <v>8829</v>
      </c>
      <c r="J885">
        <v>8981</v>
      </c>
      <c r="L885" t="s">
        <v>1249</v>
      </c>
      <c r="M885" t="s">
        <v>65</v>
      </c>
      <c r="N885" t="s">
        <v>66</v>
      </c>
      <c r="O885" s="2">
        <v>46137</v>
      </c>
      <c r="P885" s="1">
        <v>52.9</v>
      </c>
      <c r="Q885" t="s">
        <v>67</v>
      </c>
      <c r="R885">
        <v>1.53</v>
      </c>
      <c r="S885">
        <v>0.31</v>
      </c>
      <c r="T885">
        <v>0.06</v>
      </c>
      <c r="U885">
        <v>51.31</v>
      </c>
      <c r="V885" s="1">
        <v>0</v>
      </c>
      <c r="X885">
        <v>20260427</v>
      </c>
      <c r="Z885" t="s">
        <v>72</v>
      </c>
      <c r="AA885">
        <v>3974527</v>
      </c>
      <c r="AB885" t="s">
        <v>79</v>
      </c>
      <c r="AE885">
        <v>0.50089120370370366</v>
      </c>
      <c r="AF885" t="s">
        <v>70</v>
      </c>
    </row>
    <row r="886" spans="1:32">
      <c r="A886">
        <v>1023366</v>
      </c>
      <c r="B886" t="s">
        <v>75</v>
      </c>
      <c r="C886" t="s">
        <v>62</v>
      </c>
      <c r="D886">
        <v>46137</v>
      </c>
      <c r="E886">
        <v>46137</v>
      </c>
      <c r="G886">
        <v>372</v>
      </c>
      <c r="H886" t="s">
        <v>63</v>
      </c>
      <c r="I886">
        <v>8832</v>
      </c>
      <c r="J886">
        <v>264001</v>
      </c>
      <c r="L886" t="s">
        <v>1250</v>
      </c>
      <c r="M886" t="s">
        <v>65</v>
      </c>
      <c r="N886" t="s">
        <v>66</v>
      </c>
      <c r="O886" s="2">
        <v>46137</v>
      </c>
      <c r="P886" s="1">
        <v>69</v>
      </c>
      <c r="Q886" t="s">
        <v>67</v>
      </c>
      <c r="R886">
        <v>1.99</v>
      </c>
      <c r="S886">
        <v>0.89</v>
      </c>
      <c r="T886">
        <v>0.16</v>
      </c>
      <c r="U886">
        <v>66.849999999999994</v>
      </c>
      <c r="V886" s="1">
        <v>0</v>
      </c>
      <c r="X886">
        <v>20260427</v>
      </c>
      <c r="Z886" t="s">
        <v>68</v>
      </c>
      <c r="AA886">
        <v>3974527</v>
      </c>
      <c r="AB886" t="s">
        <v>81</v>
      </c>
      <c r="AE886">
        <v>0.51021990740740741</v>
      </c>
      <c r="AF886" t="s">
        <v>70</v>
      </c>
    </row>
    <row r="887" spans="1:32">
      <c r="A887">
        <v>1023366</v>
      </c>
      <c r="B887" t="s">
        <v>75</v>
      </c>
      <c r="C887" t="s">
        <v>62</v>
      </c>
      <c r="D887">
        <v>46137</v>
      </c>
      <c r="E887">
        <v>46137</v>
      </c>
      <c r="G887">
        <v>372</v>
      </c>
      <c r="H887" t="s">
        <v>63</v>
      </c>
      <c r="I887">
        <v>8834</v>
      </c>
      <c r="J887">
        <v>172672</v>
      </c>
      <c r="L887" t="s">
        <v>1251</v>
      </c>
      <c r="M887" t="s">
        <v>65</v>
      </c>
      <c r="N887" t="s">
        <v>66</v>
      </c>
      <c r="O887" s="2">
        <v>46137</v>
      </c>
      <c r="P887" s="1">
        <v>34.9</v>
      </c>
      <c r="Q887" t="s">
        <v>67</v>
      </c>
      <c r="R887">
        <v>1.01</v>
      </c>
      <c r="S887">
        <v>0.45</v>
      </c>
      <c r="T887">
        <v>0.08</v>
      </c>
      <c r="U887">
        <v>33.81</v>
      </c>
      <c r="V887" s="1">
        <v>0</v>
      </c>
      <c r="X887">
        <v>20260427</v>
      </c>
      <c r="Z887" t="s">
        <v>68</v>
      </c>
      <c r="AA887">
        <v>3974527</v>
      </c>
      <c r="AB887" t="s">
        <v>79</v>
      </c>
      <c r="AE887">
        <v>0.53127314814814819</v>
      </c>
      <c r="AF887" t="s">
        <v>70</v>
      </c>
    </row>
    <row r="888" spans="1:32">
      <c r="A888">
        <v>1023366</v>
      </c>
      <c r="B888" t="s">
        <v>75</v>
      </c>
      <c r="C888" t="s">
        <v>62</v>
      </c>
      <c r="D888">
        <v>46137</v>
      </c>
      <c r="E888">
        <v>46137</v>
      </c>
      <c r="G888">
        <v>372</v>
      </c>
      <c r="H888" t="s">
        <v>63</v>
      </c>
      <c r="I888">
        <v>8838</v>
      </c>
      <c r="J888">
        <v>374571</v>
      </c>
      <c r="L888" t="s">
        <v>1252</v>
      </c>
      <c r="M888" t="s">
        <v>65</v>
      </c>
      <c r="N888" t="s">
        <v>66</v>
      </c>
      <c r="O888" s="2">
        <v>46137</v>
      </c>
      <c r="P888" s="1">
        <v>2399</v>
      </c>
      <c r="Q888" t="s">
        <v>67</v>
      </c>
      <c r="R888">
        <v>69.33</v>
      </c>
      <c r="S888">
        <v>30.95</v>
      </c>
      <c r="T888">
        <v>5.57</v>
      </c>
      <c r="U888">
        <v>2324.1</v>
      </c>
      <c r="V888" s="1">
        <v>0</v>
      </c>
      <c r="X888">
        <v>20260427</v>
      </c>
      <c r="Z888" t="s">
        <v>68</v>
      </c>
      <c r="AA888">
        <v>3974527</v>
      </c>
      <c r="AB888" t="s">
        <v>79</v>
      </c>
      <c r="AE888">
        <v>0.55114583333333333</v>
      </c>
      <c r="AF888" t="s">
        <v>70</v>
      </c>
    </row>
    <row r="889" spans="1:32">
      <c r="A889">
        <v>1023366</v>
      </c>
      <c r="B889" t="s">
        <v>75</v>
      </c>
      <c r="C889" t="s">
        <v>62</v>
      </c>
      <c r="D889">
        <v>46137</v>
      </c>
      <c r="E889">
        <v>46137</v>
      </c>
      <c r="G889">
        <v>372</v>
      </c>
      <c r="H889" t="s">
        <v>63</v>
      </c>
      <c r="I889">
        <v>8840</v>
      </c>
      <c r="J889">
        <v>153638</v>
      </c>
      <c r="L889" t="s">
        <v>1253</v>
      </c>
      <c r="M889" t="s">
        <v>65</v>
      </c>
      <c r="N889" t="s">
        <v>66</v>
      </c>
      <c r="O889" s="2">
        <v>46137</v>
      </c>
      <c r="P889" s="1">
        <v>108.9</v>
      </c>
      <c r="Q889" t="s">
        <v>67</v>
      </c>
      <c r="R889">
        <v>3.15</v>
      </c>
      <c r="S889">
        <v>1.41</v>
      </c>
      <c r="T889">
        <v>0.25</v>
      </c>
      <c r="U889">
        <v>105.5</v>
      </c>
      <c r="V889" s="1">
        <v>0</v>
      </c>
      <c r="X889">
        <v>20260427</v>
      </c>
      <c r="Z889" t="s">
        <v>68</v>
      </c>
      <c r="AA889">
        <v>3974527</v>
      </c>
      <c r="AB889" t="s">
        <v>93</v>
      </c>
      <c r="AE889">
        <v>0.55645833333333339</v>
      </c>
      <c r="AF889" t="s">
        <v>70</v>
      </c>
    </row>
    <row r="890" spans="1:32">
      <c r="A890">
        <v>1023366</v>
      </c>
      <c r="B890" t="s">
        <v>75</v>
      </c>
      <c r="C890" t="s">
        <v>62</v>
      </c>
      <c r="D890">
        <v>46137</v>
      </c>
      <c r="E890">
        <v>46137</v>
      </c>
      <c r="G890">
        <v>372</v>
      </c>
      <c r="H890" t="s">
        <v>63</v>
      </c>
      <c r="I890">
        <v>8842</v>
      </c>
      <c r="J890">
        <v>395013</v>
      </c>
      <c r="L890" t="s">
        <v>1254</v>
      </c>
      <c r="M890" t="s">
        <v>65</v>
      </c>
      <c r="N890" t="s">
        <v>66</v>
      </c>
      <c r="O890" s="2">
        <v>46137</v>
      </c>
      <c r="P890" s="1">
        <v>249</v>
      </c>
      <c r="Q890" t="s">
        <v>67</v>
      </c>
      <c r="R890">
        <v>7.2</v>
      </c>
      <c r="S890">
        <v>3.22</v>
      </c>
      <c r="T890">
        <v>0.57999999999999996</v>
      </c>
      <c r="U890">
        <v>241.22</v>
      </c>
      <c r="V890" s="1">
        <v>0</v>
      </c>
      <c r="X890">
        <v>20260427</v>
      </c>
      <c r="Z890" t="s">
        <v>68</v>
      </c>
      <c r="AA890">
        <v>3974527</v>
      </c>
      <c r="AB890" t="s">
        <v>79</v>
      </c>
      <c r="AE890">
        <v>0.55827546296296293</v>
      </c>
      <c r="AF890" t="s">
        <v>70</v>
      </c>
    </row>
    <row r="891" spans="1:32">
      <c r="A891">
        <v>1023366</v>
      </c>
      <c r="B891" t="s">
        <v>75</v>
      </c>
      <c r="C891" t="s">
        <v>62</v>
      </c>
      <c r="D891">
        <v>46137</v>
      </c>
      <c r="E891">
        <v>46137</v>
      </c>
      <c r="G891">
        <v>372</v>
      </c>
      <c r="H891" t="s">
        <v>63</v>
      </c>
      <c r="I891">
        <v>8844</v>
      </c>
      <c r="J891">
        <v>243372</v>
      </c>
      <c r="L891" t="s">
        <v>1255</v>
      </c>
      <c r="M891" t="s">
        <v>65</v>
      </c>
      <c r="N891" t="s">
        <v>66</v>
      </c>
      <c r="O891" s="2">
        <v>46137</v>
      </c>
      <c r="P891" s="1">
        <v>1399</v>
      </c>
      <c r="Q891" t="s">
        <v>67</v>
      </c>
      <c r="R891">
        <v>40.43</v>
      </c>
      <c r="S891">
        <v>8.25</v>
      </c>
      <c r="T891">
        <v>1.49</v>
      </c>
      <c r="U891">
        <v>1357.08</v>
      </c>
      <c r="V891" s="1">
        <v>0</v>
      </c>
      <c r="X891">
        <v>20260427</v>
      </c>
      <c r="Z891" t="s">
        <v>72</v>
      </c>
      <c r="AA891">
        <v>3974527</v>
      </c>
      <c r="AB891" t="s">
        <v>93</v>
      </c>
      <c r="AE891">
        <v>0.57089120370370372</v>
      </c>
      <c r="AF891" t="s">
        <v>70</v>
      </c>
    </row>
    <row r="892" spans="1:32">
      <c r="A892">
        <v>1023366</v>
      </c>
      <c r="B892" t="s">
        <v>75</v>
      </c>
      <c r="C892" t="s">
        <v>62</v>
      </c>
      <c r="D892">
        <v>46137</v>
      </c>
      <c r="E892">
        <v>46137</v>
      </c>
      <c r="G892">
        <v>372</v>
      </c>
      <c r="H892" t="s">
        <v>63</v>
      </c>
      <c r="I892">
        <v>8846</v>
      </c>
      <c r="J892">
        <v>250378</v>
      </c>
      <c r="K892">
        <v>3</v>
      </c>
      <c r="L892" t="s">
        <v>1256</v>
      </c>
      <c r="M892" t="s">
        <v>65</v>
      </c>
      <c r="N892" t="s">
        <v>66</v>
      </c>
      <c r="O892" s="2">
        <v>46137</v>
      </c>
      <c r="P892" s="1">
        <v>428</v>
      </c>
      <c r="Q892" t="s">
        <v>67</v>
      </c>
      <c r="R892">
        <v>19.86</v>
      </c>
      <c r="S892">
        <v>1.67</v>
      </c>
      <c r="T892">
        <v>0.3</v>
      </c>
      <c r="U892">
        <v>407.84</v>
      </c>
      <c r="V892" s="1">
        <v>0</v>
      </c>
      <c r="X892">
        <v>20260427</v>
      </c>
      <c r="Z892" t="s">
        <v>72</v>
      </c>
      <c r="AA892">
        <v>3974527</v>
      </c>
      <c r="AB892" t="s">
        <v>93</v>
      </c>
      <c r="AC892" t="s">
        <v>120</v>
      </c>
      <c r="AE892">
        <v>0.5720601851851852</v>
      </c>
      <c r="AF892" t="s">
        <v>70</v>
      </c>
    </row>
    <row r="893" spans="1:32">
      <c r="A893">
        <v>1023366</v>
      </c>
      <c r="B893" t="s">
        <v>75</v>
      </c>
      <c r="C893" t="s">
        <v>62</v>
      </c>
      <c r="D893">
        <v>46137</v>
      </c>
      <c r="E893">
        <v>46137</v>
      </c>
      <c r="G893">
        <v>372</v>
      </c>
      <c r="H893" t="s">
        <v>63</v>
      </c>
      <c r="I893">
        <v>8850</v>
      </c>
      <c r="J893">
        <v>382649</v>
      </c>
      <c r="L893" t="s">
        <v>1257</v>
      </c>
      <c r="M893" t="s">
        <v>65</v>
      </c>
      <c r="N893" t="s">
        <v>66</v>
      </c>
      <c r="O893" s="2">
        <v>46137</v>
      </c>
      <c r="P893" s="1">
        <v>149</v>
      </c>
      <c r="Q893" t="s">
        <v>67</v>
      </c>
      <c r="R893">
        <v>4.3099999999999996</v>
      </c>
      <c r="S893">
        <v>1.93</v>
      </c>
      <c r="T893">
        <v>0.35</v>
      </c>
      <c r="U893">
        <v>144.34</v>
      </c>
      <c r="V893" s="1">
        <v>0</v>
      </c>
      <c r="X893">
        <v>20260427</v>
      </c>
      <c r="Z893" t="s">
        <v>68</v>
      </c>
      <c r="AA893">
        <v>3974527</v>
      </c>
      <c r="AB893" t="s">
        <v>93</v>
      </c>
      <c r="AE893">
        <v>0.59431712962962968</v>
      </c>
      <c r="AF893" t="s">
        <v>70</v>
      </c>
    </row>
    <row r="894" spans="1:32">
      <c r="A894">
        <v>1023366</v>
      </c>
      <c r="B894" t="s">
        <v>75</v>
      </c>
      <c r="C894" t="s">
        <v>62</v>
      </c>
      <c r="D894">
        <v>46137</v>
      </c>
      <c r="E894">
        <v>46137</v>
      </c>
      <c r="G894">
        <v>372</v>
      </c>
      <c r="H894" t="s">
        <v>63</v>
      </c>
      <c r="I894">
        <v>8854</v>
      </c>
      <c r="J894">
        <v>9234</v>
      </c>
      <c r="L894" t="s">
        <v>1258</v>
      </c>
      <c r="M894" t="s">
        <v>65</v>
      </c>
      <c r="N894" t="s">
        <v>66</v>
      </c>
      <c r="O894" s="2">
        <v>46137</v>
      </c>
      <c r="P894" s="1">
        <v>1399</v>
      </c>
      <c r="Q894" t="s">
        <v>67</v>
      </c>
      <c r="R894">
        <v>40.43</v>
      </c>
      <c r="S894">
        <v>11.05</v>
      </c>
      <c r="T894">
        <v>1.99</v>
      </c>
      <c r="U894">
        <v>1356.58</v>
      </c>
      <c r="V894" s="1">
        <v>0</v>
      </c>
      <c r="X894">
        <v>20260427</v>
      </c>
      <c r="Z894" t="s">
        <v>72</v>
      </c>
      <c r="AA894">
        <v>3974527</v>
      </c>
      <c r="AB894" t="s">
        <v>79</v>
      </c>
      <c r="AE894">
        <v>0.61109953703703701</v>
      </c>
      <c r="AF894" t="s">
        <v>70</v>
      </c>
    </row>
    <row r="895" spans="1:32">
      <c r="A895">
        <v>1023366</v>
      </c>
      <c r="B895" t="s">
        <v>75</v>
      </c>
      <c r="C895" t="s">
        <v>62</v>
      </c>
      <c r="D895">
        <v>46137</v>
      </c>
      <c r="E895">
        <v>46137</v>
      </c>
      <c r="G895">
        <v>372</v>
      </c>
      <c r="H895" t="s">
        <v>63</v>
      </c>
      <c r="I895">
        <v>8856</v>
      </c>
      <c r="J895">
        <v>14530</v>
      </c>
      <c r="L895" t="s">
        <v>1259</v>
      </c>
      <c r="M895" t="s">
        <v>65</v>
      </c>
      <c r="N895" t="s">
        <v>66</v>
      </c>
      <c r="O895" s="2">
        <v>46137</v>
      </c>
      <c r="P895" s="1">
        <v>143.9</v>
      </c>
      <c r="Q895" t="s">
        <v>67</v>
      </c>
      <c r="R895">
        <v>4.16</v>
      </c>
      <c r="S895">
        <v>0.85</v>
      </c>
      <c r="T895">
        <v>0.15</v>
      </c>
      <c r="U895">
        <v>139.59</v>
      </c>
      <c r="V895" s="1">
        <v>0</v>
      </c>
      <c r="X895">
        <v>20260427</v>
      </c>
      <c r="Z895" t="s">
        <v>72</v>
      </c>
      <c r="AA895">
        <v>3974527</v>
      </c>
      <c r="AB895" t="s">
        <v>84</v>
      </c>
      <c r="AE895">
        <v>0.63741898148148146</v>
      </c>
      <c r="AF895" t="s">
        <v>70</v>
      </c>
    </row>
    <row r="896" spans="1:32">
      <c r="A896">
        <v>1023366</v>
      </c>
      <c r="B896" t="s">
        <v>75</v>
      </c>
      <c r="C896" t="s">
        <v>62</v>
      </c>
      <c r="D896">
        <v>46137</v>
      </c>
      <c r="E896">
        <v>46137</v>
      </c>
      <c r="G896">
        <v>372</v>
      </c>
      <c r="H896" t="s">
        <v>63</v>
      </c>
      <c r="I896">
        <v>8858</v>
      </c>
      <c r="J896">
        <v>202762</v>
      </c>
      <c r="L896" t="s">
        <v>1260</v>
      </c>
      <c r="M896" t="s">
        <v>65</v>
      </c>
      <c r="N896" t="s">
        <v>66</v>
      </c>
      <c r="O896" s="2">
        <v>46137</v>
      </c>
      <c r="P896" s="1">
        <v>1448</v>
      </c>
      <c r="Q896" t="s">
        <v>67</v>
      </c>
      <c r="R896">
        <v>41.85</v>
      </c>
      <c r="S896">
        <v>8.5500000000000007</v>
      </c>
      <c r="T896">
        <v>1.54</v>
      </c>
      <c r="U896">
        <v>1404.61</v>
      </c>
      <c r="V896" s="1">
        <v>0</v>
      </c>
      <c r="X896">
        <v>20260427</v>
      </c>
      <c r="Z896" t="s">
        <v>72</v>
      </c>
      <c r="AA896">
        <v>3974527</v>
      </c>
      <c r="AB896" t="s">
        <v>77</v>
      </c>
      <c r="AE896">
        <v>0.63910879629629624</v>
      </c>
      <c r="AF896" t="s">
        <v>70</v>
      </c>
    </row>
    <row r="897" spans="1:32">
      <c r="A897">
        <v>1023366</v>
      </c>
      <c r="B897" t="s">
        <v>75</v>
      </c>
      <c r="C897" t="s">
        <v>62</v>
      </c>
      <c r="D897">
        <v>46137</v>
      </c>
      <c r="E897">
        <v>46137</v>
      </c>
      <c r="G897">
        <v>372</v>
      </c>
      <c r="H897" t="s">
        <v>63</v>
      </c>
      <c r="I897">
        <v>8865</v>
      </c>
      <c r="J897">
        <v>8245</v>
      </c>
      <c r="L897" t="s">
        <v>1261</v>
      </c>
      <c r="M897" t="s">
        <v>65</v>
      </c>
      <c r="N897" t="s">
        <v>66</v>
      </c>
      <c r="O897" s="2">
        <v>46137</v>
      </c>
      <c r="P897" s="1">
        <v>69</v>
      </c>
      <c r="Q897" t="s">
        <v>67</v>
      </c>
      <c r="R897">
        <v>1.99</v>
      </c>
      <c r="S897">
        <v>0.26</v>
      </c>
      <c r="T897">
        <v>0.05</v>
      </c>
      <c r="U897">
        <v>66.959999999999994</v>
      </c>
      <c r="V897" s="1">
        <v>0</v>
      </c>
      <c r="X897">
        <v>20260427</v>
      </c>
      <c r="Z897" t="s">
        <v>72</v>
      </c>
      <c r="AA897">
        <v>3974527</v>
      </c>
      <c r="AB897" t="s">
        <v>79</v>
      </c>
      <c r="AE897">
        <v>0.65762731481481485</v>
      </c>
      <c r="AF897" t="s">
        <v>70</v>
      </c>
    </row>
    <row r="898" spans="1:32">
      <c r="A898">
        <v>1023366</v>
      </c>
      <c r="B898" t="s">
        <v>75</v>
      </c>
      <c r="C898" t="s">
        <v>62</v>
      </c>
      <c r="D898">
        <v>46137</v>
      </c>
      <c r="E898">
        <v>46137</v>
      </c>
      <c r="G898">
        <v>372</v>
      </c>
      <c r="H898" t="s">
        <v>63</v>
      </c>
      <c r="I898">
        <v>8867</v>
      </c>
      <c r="J898">
        <v>21319</v>
      </c>
      <c r="L898" t="s">
        <v>1262</v>
      </c>
      <c r="M898" t="s">
        <v>65</v>
      </c>
      <c r="N898" t="s">
        <v>66</v>
      </c>
      <c r="O898" s="2">
        <v>46137</v>
      </c>
      <c r="P898" s="1">
        <v>75</v>
      </c>
      <c r="Q898" t="s">
        <v>67</v>
      </c>
      <c r="R898">
        <v>2.17</v>
      </c>
      <c r="S898">
        <v>0.44</v>
      </c>
      <c r="T898">
        <v>0.08</v>
      </c>
      <c r="U898">
        <v>72.75</v>
      </c>
      <c r="V898" s="1">
        <v>0</v>
      </c>
      <c r="X898">
        <v>20260427</v>
      </c>
      <c r="Z898" t="s">
        <v>72</v>
      </c>
      <c r="AA898">
        <v>3974527</v>
      </c>
      <c r="AB898" t="s">
        <v>84</v>
      </c>
      <c r="AE898">
        <v>0.65832175925925929</v>
      </c>
      <c r="AF898" t="s">
        <v>70</v>
      </c>
    </row>
    <row r="899" spans="1:32">
      <c r="A899">
        <v>1023366</v>
      </c>
      <c r="B899" t="s">
        <v>75</v>
      </c>
      <c r="C899" t="s">
        <v>62</v>
      </c>
      <c r="D899">
        <v>46137</v>
      </c>
      <c r="E899">
        <v>46137</v>
      </c>
      <c r="G899">
        <v>372</v>
      </c>
      <c r="H899" t="s">
        <v>63</v>
      </c>
      <c r="I899">
        <v>8874</v>
      </c>
      <c r="J899">
        <v>768050</v>
      </c>
      <c r="L899" t="s">
        <v>1263</v>
      </c>
      <c r="M899" t="s">
        <v>65</v>
      </c>
      <c r="N899" t="s">
        <v>66</v>
      </c>
      <c r="O899" s="2">
        <v>46137</v>
      </c>
      <c r="P899" s="1">
        <v>269</v>
      </c>
      <c r="Q899" t="s">
        <v>67</v>
      </c>
      <c r="R899">
        <v>7.77</v>
      </c>
      <c r="S899">
        <v>1.58</v>
      </c>
      <c r="T899">
        <v>0.28000000000000003</v>
      </c>
      <c r="U899">
        <v>260.95</v>
      </c>
      <c r="V899" s="1">
        <v>0</v>
      </c>
      <c r="X899">
        <v>20260427</v>
      </c>
      <c r="Z899" t="s">
        <v>72</v>
      </c>
      <c r="AA899">
        <v>3974527</v>
      </c>
      <c r="AB899" t="s">
        <v>81</v>
      </c>
      <c r="AE899">
        <v>0.66673611111111108</v>
      </c>
      <c r="AF899" t="s">
        <v>70</v>
      </c>
    </row>
    <row r="900" spans="1:32">
      <c r="A900">
        <v>1023366</v>
      </c>
      <c r="B900" t="s">
        <v>75</v>
      </c>
      <c r="C900" t="s">
        <v>62</v>
      </c>
      <c r="D900">
        <v>46137</v>
      </c>
      <c r="E900">
        <v>46137</v>
      </c>
      <c r="G900">
        <v>372</v>
      </c>
      <c r="H900" t="s">
        <v>63</v>
      </c>
      <c r="I900">
        <v>8876</v>
      </c>
      <c r="J900">
        <v>391831</v>
      </c>
      <c r="L900" t="s">
        <v>1264</v>
      </c>
      <c r="M900" t="s">
        <v>65</v>
      </c>
      <c r="N900" t="s">
        <v>66</v>
      </c>
      <c r="O900" s="2">
        <v>46137</v>
      </c>
      <c r="P900" s="1">
        <v>69</v>
      </c>
      <c r="Q900" t="s">
        <v>67</v>
      </c>
      <c r="R900">
        <v>1.99</v>
      </c>
      <c r="S900">
        <v>0.89</v>
      </c>
      <c r="T900">
        <v>0.16</v>
      </c>
      <c r="U900">
        <v>66.849999999999994</v>
      </c>
      <c r="V900" s="1">
        <v>0</v>
      </c>
      <c r="X900">
        <v>20260427</v>
      </c>
      <c r="Z900" t="s">
        <v>68</v>
      </c>
      <c r="AA900">
        <v>3974527</v>
      </c>
      <c r="AB900" t="s">
        <v>79</v>
      </c>
      <c r="AE900">
        <v>0.66991898148148143</v>
      </c>
      <c r="AF900" t="s">
        <v>70</v>
      </c>
    </row>
    <row r="901" spans="1:32">
      <c r="A901">
        <v>1023366</v>
      </c>
      <c r="B901" t="s">
        <v>75</v>
      </c>
      <c r="C901" t="s">
        <v>62</v>
      </c>
      <c r="D901">
        <v>46137</v>
      </c>
      <c r="E901">
        <v>46137</v>
      </c>
      <c r="G901">
        <v>372</v>
      </c>
      <c r="H901" t="s">
        <v>63</v>
      </c>
      <c r="I901">
        <v>8879</v>
      </c>
      <c r="J901">
        <v>795699</v>
      </c>
      <c r="L901" t="s">
        <v>1265</v>
      </c>
      <c r="M901" t="s">
        <v>65</v>
      </c>
      <c r="N901" t="s">
        <v>66</v>
      </c>
      <c r="O901" s="2">
        <v>46137</v>
      </c>
      <c r="P901" s="1">
        <v>2260</v>
      </c>
      <c r="Q901" t="s">
        <v>67</v>
      </c>
      <c r="R901">
        <v>65.31</v>
      </c>
      <c r="S901">
        <v>29.15</v>
      </c>
      <c r="T901">
        <v>5.25</v>
      </c>
      <c r="U901">
        <v>2189.44</v>
      </c>
      <c r="V901" s="1">
        <v>0</v>
      </c>
      <c r="X901">
        <v>20260427</v>
      </c>
      <c r="Z901" t="s">
        <v>68</v>
      </c>
      <c r="AA901">
        <v>3974527</v>
      </c>
      <c r="AB901" t="s">
        <v>81</v>
      </c>
      <c r="AE901">
        <v>0.67212962962962963</v>
      </c>
      <c r="AF901" t="s">
        <v>70</v>
      </c>
    </row>
    <row r="902" spans="1:32">
      <c r="A902">
        <v>1023366</v>
      </c>
      <c r="B902" t="s">
        <v>75</v>
      </c>
      <c r="C902" t="s">
        <v>62</v>
      </c>
      <c r="D902">
        <v>46137</v>
      </c>
      <c r="E902">
        <v>46137</v>
      </c>
      <c r="G902">
        <v>372</v>
      </c>
      <c r="H902" t="s">
        <v>63</v>
      </c>
      <c r="I902">
        <v>8882</v>
      </c>
      <c r="J902">
        <v>227608</v>
      </c>
      <c r="L902" t="s">
        <v>1266</v>
      </c>
      <c r="M902" t="s">
        <v>65</v>
      </c>
      <c r="N902" t="s">
        <v>66</v>
      </c>
      <c r="O902" s="2">
        <v>46137</v>
      </c>
      <c r="P902" s="1">
        <v>538</v>
      </c>
      <c r="Q902" t="s">
        <v>67</v>
      </c>
      <c r="R902">
        <v>15.55</v>
      </c>
      <c r="S902">
        <v>6.94</v>
      </c>
      <c r="T902">
        <v>1.25</v>
      </c>
      <c r="U902">
        <v>521.20000000000005</v>
      </c>
      <c r="V902" s="1">
        <v>0</v>
      </c>
      <c r="X902">
        <v>20260427</v>
      </c>
      <c r="Z902" t="s">
        <v>68</v>
      </c>
      <c r="AA902">
        <v>3974527</v>
      </c>
      <c r="AB902" t="s">
        <v>81</v>
      </c>
      <c r="AE902">
        <v>0.68530092592592595</v>
      </c>
      <c r="AF902" t="s">
        <v>70</v>
      </c>
    </row>
    <row r="903" spans="1:32">
      <c r="A903">
        <v>1023366</v>
      </c>
      <c r="B903" t="s">
        <v>75</v>
      </c>
      <c r="C903" t="s">
        <v>62</v>
      </c>
      <c r="D903">
        <v>46137</v>
      </c>
      <c r="E903">
        <v>46137</v>
      </c>
      <c r="G903">
        <v>372</v>
      </c>
      <c r="H903" t="s">
        <v>63</v>
      </c>
      <c r="I903">
        <v>8884</v>
      </c>
      <c r="J903">
        <v>437626</v>
      </c>
      <c r="L903" t="s">
        <v>1267</v>
      </c>
      <c r="M903" t="s">
        <v>65</v>
      </c>
      <c r="N903" t="s">
        <v>66</v>
      </c>
      <c r="O903" s="2">
        <v>46137</v>
      </c>
      <c r="P903" s="1">
        <v>75</v>
      </c>
      <c r="Q903" t="s">
        <v>67</v>
      </c>
      <c r="R903">
        <v>2.17</v>
      </c>
      <c r="S903">
        <v>0.97</v>
      </c>
      <c r="T903">
        <v>0.17</v>
      </c>
      <c r="U903">
        <v>72.66</v>
      </c>
      <c r="V903" s="1">
        <v>0</v>
      </c>
      <c r="X903">
        <v>20260427</v>
      </c>
      <c r="Z903" t="s">
        <v>68</v>
      </c>
      <c r="AA903">
        <v>3974527</v>
      </c>
      <c r="AB903" t="s">
        <v>79</v>
      </c>
      <c r="AE903">
        <v>0.6881018518518518</v>
      </c>
      <c r="AF903" t="s">
        <v>70</v>
      </c>
    </row>
    <row r="904" spans="1:32">
      <c r="A904">
        <v>1023366</v>
      </c>
      <c r="B904" t="s">
        <v>75</v>
      </c>
      <c r="C904" t="s">
        <v>62</v>
      </c>
      <c r="D904">
        <v>46137</v>
      </c>
      <c r="E904">
        <v>46137</v>
      </c>
      <c r="G904">
        <v>372</v>
      </c>
      <c r="H904" t="s">
        <v>63</v>
      </c>
      <c r="I904">
        <v>8886</v>
      </c>
      <c r="J904">
        <v>239094</v>
      </c>
      <c r="L904" t="s">
        <v>1268</v>
      </c>
      <c r="M904" t="s">
        <v>65</v>
      </c>
      <c r="N904" t="s">
        <v>66</v>
      </c>
      <c r="O904" s="2">
        <v>46137</v>
      </c>
      <c r="P904" s="1">
        <v>62.25</v>
      </c>
      <c r="Q904" t="s">
        <v>67</v>
      </c>
      <c r="R904">
        <v>1.8</v>
      </c>
      <c r="S904">
        <v>0.8</v>
      </c>
      <c r="T904">
        <v>0.14000000000000001</v>
      </c>
      <c r="U904">
        <v>60.31</v>
      </c>
      <c r="V904" s="1">
        <v>0</v>
      </c>
      <c r="X904">
        <v>20260427</v>
      </c>
      <c r="Z904" t="s">
        <v>68</v>
      </c>
      <c r="AA904">
        <v>3974527</v>
      </c>
      <c r="AB904" t="s">
        <v>77</v>
      </c>
      <c r="AE904">
        <v>0.68877314814814816</v>
      </c>
      <c r="AF904" t="s">
        <v>70</v>
      </c>
    </row>
    <row r="905" spans="1:32">
      <c r="A905">
        <v>1023366</v>
      </c>
      <c r="B905" t="s">
        <v>75</v>
      </c>
      <c r="C905" t="s">
        <v>62</v>
      </c>
      <c r="D905">
        <v>46137</v>
      </c>
      <c r="E905">
        <v>46137</v>
      </c>
      <c r="G905">
        <v>372</v>
      </c>
      <c r="H905" t="s">
        <v>63</v>
      </c>
      <c r="I905">
        <v>8888</v>
      </c>
      <c r="J905">
        <v>445284</v>
      </c>
      <c r="L905" t="s">
        <v>1269</v>
      </c>
      <c r="M905" t="s">
        <v>65</v>
      </c>
      <c r="N905" t="s">
        <v>66</v>
      </c>
      <c r="O905" s="2">
        <v>46137</v>
      </c>
      <c r="P905" s="1">
        <v>149</v>
      </c>
      <c r="Q905" t="s">
        <v>67</v>
      </c>
      <c r="R905">
        <v>4.3099999999999996</v>
      </c>
      <c r="S905">
        <v>1.93</v>
      </c>
      <c r="T905">
        <v>0.35</v>
      </c>
      <c r="U905">
        <v>144.34</v>
      </c>
      <c r="V905" s="1">
        <v>0</v>
      </c>
      <c r="X905">
        <v>20260427</v>
      </c>
      <c r="Z905" t="s">
        <v>68</v>
      </c>
      <c r="AA905">
        <v>3974527</v>
      </c>
      <c r="AB905" t="s">
        <v>79</v>
      </c>
      <c r="AE905">
        <v>0.69113425925925931</v>
      </c>
      <c r="AF905" t="s">
        <v>70</v>
      </c>
    </row>
    <row r="906" spans="1:32">
      <c r="A906">
        <v>1023366</v>
      </c>
      <c r="B906" t="s">
        <v>75</v>
      </c>
      <c r="C906" t="s">
        <v>62</v>
      </c>
      <c r="D906">
        <v>46137</v>
      </c>
      <c r="E906">
        <v>46137</v>
      </c>
      <c r="G906">
        <v>372</v>
      </c>
      <c r="H906" t="s">
        <v>63</v>
      </c>
      <c r="I906">
        <v>8890</v>
      </c>
      <c r="J906">
        <v>380657</v>
      </c>
      <c r="L906" t="s">
        <v>1270</v>
      </c>
      <c r="M906" t="s">
        <v>65</v>
      </c>
      <c r="N906" t="s">
        <v>66</v>
      </c>
      <c r="O906" s="2">
        <v>46137</v>
      </c>
      <c r="P906" s="1">
        <v>269</v>
      </c>
      <c r="Q906" t="s">
        <v>67</v>
      </c>
      <c r="R906">
        <v>7.77</v>
      </c>
      <c r="S906">
        <v>1.58</v>
      </c>
      <c r="T906">
        <v>0.28000000000000003</v>
      </c>
      <c r="U906">
        <v>260.95</v>
      </c>
      <c r="V906" s="1">
        <v>0</v>
      </c>
      <c r="X906">
        <v>20260427</v>
      </c>
      <c r="Z906" t="s">
        <v>72</v>
      </c>
      <c r="AA906">
        <v>3974527</v>
      </c>
      <c r="AB906" t="s">
        <v>77</v>
      </c>
      <c r="AE906">
        <v>0.69303240740740746</v>
      </c>
      <c r="AF906" t="s">
        <v>70</v>
      </c>
    </row>
    <row r="907" spans="1:32">
      <c r="A907">
        <v>1023366</v>
      </c>
      <c r="B907" t="s">
        <v>75</v>
      </c>
      <c r="C907" t="s">
        <v>62</v>
      </c>
      <c r="D907">
        <v>46137</v>
      </c>
      <c r="E907">
        <v>46137</v>
      </c>
      <c r="G907">
        <v>372</v>
      </c>
      <c r="H907" t="s">
        <v>63</v>
      </c>
      <c r="I907">
        <v>8892</v>
      </c>
      <c r="J907">
        <v>504216</v>
      </c>
      <c r="L907" t="s">
        <v>1271</v>
      </c>
      <c r="M907" t="s">
        <v>65</v>
      </c>
      <c r="N907" t="s">
        <v>66</v>
      </c>
      <c r="O907" s="2">
        <v>46137</v>
      </c>
      <c r="P907" s="1">
        <v>17.899999999999999</v>
      </c>
      <c r="Q907" t="s">
        <v>67</v>
      </c>
      <c r="R907">
        <v>0.52</v>
      </c>
      <c r="S907">
        <v>0.23</v>
      </c>
      <c r="T907">
        <v>0.04</v>
      </c>
      <c r="U907">
        <v>17.34</v>
      </c>
      <c r="V907" s="1">
        <v>0</v>
      </c>
      <c r="X907">
        <v>20260427</v>
      </c>
      <c r="Z907" t="s">
        <v>68</v>
      </c>
      <c r="AA907">
        <v>3974527</v>
      </c>
      <c r="AB907" t="s">
        <v>77</v>
      </c>
      <c r="AE907">
        <v>0.70505787037037038</v>
      </c>
      <c r="AF907" t="s">
        <v>70</v>
      </c>
    </row>
    <row r="908" spans="1:32">
      <c r="A908">
        <v>1023366</v>
      </c>
      <c r="B908" t="s">
        <v>75</v>
      </c>
      <c r="C908" t="s">
        <v>62</v>
      </c>
      <c r="D908">
        <v>46137</v>
      </c>
      <c r="E908">
        <v>46137</v>
      </c>
      <c r="G908">
        <v>372</v>
      </c>
      <c r="H908" t="s">
        <v>63</v>
      </c>
      <c r="I908">
        <v>8895</v>
      </c>
      <c r="J908">
        <v>643510</v>
      </c>
      <c r="L908" t="s">
        <v>1272</v>
      </c>
      <c r="M908" t="s">
        <v>65</v>
      </c>
      <c r="N908" t="s">
        <v>66</v>
      </c>
      <c r="O908" s="2">
        <v>46137</v>
      </c>
      <c r="P908" s="1">
        <v>52</v>
      </c>
      <c r="Q908" t="s">
        <v>67</v>
      </c>
      <c r="R908">
        <v>1.5</v>
      </c>
      <c r="S908">
        <v>0.67</v>
      </c>
      <c r="T908">
        <v>0.12</v>
      </c>
      <c r="U908">
        <v>50.38</v>
      </c>
      <c r="V908" s="1">
        <v>0</v>
      </c>
      <c r="X908">
        <v>20260427</v>
      </c>
      <c r="Z908" t="s">
        <v>68</v>
      </c>
      <c r="AA908">
        <v>3974527</v>
      </c>
      <c r="AB908" t="s">
        <v>81</v>
      </c>
      <c r="AE908">
        <v>0.7088888888888889</v>
      </c>
      <c r="AF908" t="s">
        <v>70</v>
      </c>
    </row>
    <row r="909" spans="1:32">
      <c r="A909">
        <v>1023366</v>
      </c>
      <c r="B909" t="s">
        <v>75</v>
      </c>
      <c r="C909" t="s">
        <v>62</v>
      </c>
      <c r="D909">
        <v>46137</v>
      </c>
      <c r="E909">
        <v>46137</v>
      </c>
      <c r="G909">
        <v>372</v>
      </c>
      <c r="H909" t="s">
        <v>63</v>
      </c>
      <c r="I909">
        <v>8899</v>
      </c>
      <c r="J909">
        <v>986617</v>
      </c>
      <c r="K909">
        <v>2</v>
      </c>
      <c r="L909" t="s">
        <v>1273</v>
      </c>
      <c r="M909" t="s">
        <v>65</v>
      </c>
      <c r="N909" t="s">
        <v>66</v>
      </c>
      <c r="O909" s="2">
        <v>46137</v>
      </c>
      <c r="P909" s="1">
        <v>199</v>
      </c>
      <c r="Q909" t="s">
        <v>67</v>
      </c>
      <c r="R909">
        <v>5.75</v>
      </c>
      <c r="S909">
        <v>1.57</v>
      </c>
      <c r="T909">
        <v>0.28000000000000003</v>
      </c>
      <c r="U909">
        <v>192.97</v>
      </c>
      <c r="V909" s="1">
        <v>0</v>
      </c>
      <c r="X909">
        <v>20260427</v>
      </c>
      <c r="Z909" t="s">
        <v>72</v>
      </c>
      <c r="AA909">
        <v>3974527</v>
      </c>
      <c r="AB909" t="s">
        <v>106</v>
      </c>
      <c r="AC909" t="s">
        <v>74</v>
      </c>
      <c r="AE909">
        <v>0.71668981481481486</v>
      </c>
      <c r="AF909" t="s">
        <v>70</v>
      </c>
    </row>
    <row r="910" spans="1:32">
      <c r="A910">
        <v>1023366</v>
      </c>
      <c r="B910" t="s">
        <v>75</v>
      </c>
      <c r="C910" t="s">
        <v>62</v>
      </c>
      <c r="D910">
        <v>46137</v>
      </c>
      <c r="E910">
        <v>46137</v>
      </c>
      <c r="G910">
        <v>372</v>
      </c>
      <c r="H910" t="s">
        <v>63</v>
      </c>
      <c r="I910">
        <v>8905</v>
      </c>
      <c r="J910">
        <v>1741</v>
      </c>
      <c r="L910" t="s">
        <v>1274</v>
      </c>
      <c r="M910" t="s">
        <v>65</v>
      </c>
      <c r="N910" t="s">
        <v>66</v>
      </c>
      <c r="O910" s="2">
        <v>46137</v>
      </c>
      <c r="P910" s="1">
        <v>109</v>
      </c>
      <c r="Q910" t="s">
        <v>67</v>
      </c>
      <c r="R910">
        <v>3.15</v>
      </c>
      <c r="S910">
        <v>0.86</v>
      </c>
      <c r="T910">
        <v>0.15</v>
      </c>
      <c r="U910">
        <v>105.7</v>
      </c>
      <c r="V910" s="1">
        <v>0</v>
      </c>
      <c r="X910">
        <v>20260427</v>
      </c>
      <c r="Z910" t="s">
        <v>72</v>
      </c>
      <c r="AA910">
        <v>3974527</v>
      </c>
      <c r="AB910" t="s">
        <v>79</v>
      </c>
      <c r="AE910">
        <v>0.76961805555555551</v>
      </c>
      <c r="AF910" t="s">
        <v>70</v>
      </c>
    </row>
    <row r="911" spans="1:32">
      <c r="A911">
        <v>1023366</v>
      </c>
      <c r="B911" t="s">
        <v>75</v>
      </c>
      <c r="C911" t="s">
        <v>62</v>
      </c>
      <c r="D911">
        <v>46137</v>
      </c>
      <c r="E911">
        <v>46137</v>
      </c>
      <c r="G911">
        <v>372</v>
      </c>
      <c r="H911" t="s">
        <v>63</v>
      </c>
      <c r="I911">
        <v>8908</v>
      </c>
      <c r="J911" t="s">
        <v>1275</v>
      </c>
      <c r="L911" t="s">
        <v>1276</v>
      </c>
      <c r="M911" t="s">
        <v>96</v>
      </c>
      <c r="N911" t="s">
        <v>66</v>
      </c>
      <c r="O911" s="2">
        <v>46137</v>
      </c>
      <c r="P911" s="1">
        <v>548</v>
      </c>
      <c r="Q911" t="s">
        <v>67</v>
      </c>
      <c r="R911">
        <v>21.37</v>
      </c>
      <c r="S911">
        <v>10.52</v>
      </c>
      <c r="T911">
        <v>1.89</v>
      </c>
      <c r="U911">
        <v>524.74</v>
      </c>
      <c r="V911" s="1">
        <v>0</v>
      </c>
      <c r="X911">
        <v>20260427</v>
      </c>
      <c r="Z911" t="s">
        <v>72</v>
      </c>
      <c r="AA911">
        <v>3974527</v>
      </c>
      <c r="AB911" t="s">
        <v>97</v>
      </c>
      <c r="AE911">
        <v>0.78824074074074069</v>
      </c>
      <c r="AF911" t="s">
        <v>70</v>
      </c>
    </row>
    <row r="912" spans="1:32">
      <c r="A912">
        <v>1023366</v>
      </c>
      <c r="B912" t="s">
        <v>75</v>
      </c>
      <c r="C912" t="s">
        <v>62</v>
      </c>
      <c r="D912">
        <v>46137</v>
      </c>
      <c r="E912">
        <v>46137</v>
      </c>
      <c r="G912">
        <v>372</v>
      </c>
      <c r="H912" t="s">
        <v>63</v>
      </c>
      <c r="I912">
        <v>8910</v>
      </c>
      <c r="J912">
        <v>452023</v>
      </c>
      <c r="L912" t="s">
        <v>1277</v>
      </c>
      <c r="M912" t="s">
        <v>65</v>
      </c>
      <c r="N912" t="s">
        <v>66</v>
      </c>
      <c r="O912" s="2">
        <v>46137</v>
      </c>
      <c r="P912" s="1">
        <v>696</v>
      </c>
      <c r="Q912" t="s">
        <v>67</v>
      </c>
      <c r="R912">
        <v>20.11</v>
      </c>
      <c r="S912">
        <v>4.0999999999999996</v>
      </c>
      <c r="T912">
        <v>0.74</v>
      </c>
      <c r="U912">
        <v>675.15</v>
      </c>
      <c r="V912" s="1">
        <v>0</v>
      </c>
      <c r="X912">
        <v>20260427</v>
      </c>
      <c r="Z912" t="s">
        <v>72</v>
      </c>
      <c r="AA912">
        <v>3974527</v>
      </c>
      <c r="AB912" t="s">
        <v>93</v>
      </c>
      <c r="AE912">
        <v>0.79415509259259254</v>
      </c>
      <c r="AF912" t="s">
        <v>70</v>
      </c>
    </row>
    <row r="913" spans="1:32">
      <c r="A913">
        <v>1023366</v>
      </c>
      <c r="B913" t="s">
        <v>75</v>
      </c>
      <c r="C913" t="s">
        <v>62</v>
      </c>
      <c r="D913">
        <v>46137</v>
      </c>
      <c r="E913">
        <v>46137</v>
      </c>
      <c r="G913">
        <v>372</v>
      </c>
      <c r="H913" t="s">
        <v>63</v>
      </c>
      <c r="I913">
        <v>8912</v>
      </c>
      <c r="J913">
        <v>26481</v>
      </c>
      <c r="L913" t="s">
        <v>1278</v>
      </c>
      <c r="M913" t="s">
        <v>65</v>
      </c>
      <c r="N913" t="s">
        <v>66</v>
      </c>
      <c r="O913" s="2">
        <v>46137</v>
      </c>
      <c r="P913" s="1">
        <v>69</v>
      </c>
      <c r="Q913" t="s">
        <v>67</v>
      </c>
      <c r="R913">
        <v>1.99</v>
      </c>
      <c r="S913">
        <v>0.89</v>
      </c>
      <c r="T913">
        <v>0.16</v>
      </c>
      <c r="U913">
        <v>66.849999999999994</v>
      </c>
      <c r="V913" s="1">
        <v>0</v>
      </c>
      <c r="X913">
        <v>20260427</v>
      </c>
      <c r="Z913" t="s">
        <v>68</v>
      </c>
      <c r="AA913">
        <v>3974527</v>
      </c>
      <c r="AB913" t="s">
        <v>79</v>
      </c>
      <c r="AE913">
        <v>0.7983217592592593</v>
      </c>
      <c r="AF913" t="s">
        <v>70</v>
      </c>
    </row>
    <row r="914" spans="1:32">
      <c r="A914">
        <v>1023366</v>
      </c>
      <c r="B914" t="s">
        <v>75</v>
      </c>
      <c r="C914" t="s">
        <v>62</v>
      </c>
      <c r="D914">
        <v>46137</v>
      </c>
      <c r="E914">
        <v>46137</v>
      </c>
      <c r="G914">
        <v>372</v>
      </c>
      <c r="H914" t="s">
        <v>63</v>
      </c>
      <c r="I914">
        <v>8914</v>
      </c>
      <c r="J914">
        <v>6544</v>
      </c>
      <c r="L914" t="s">
        <v>1279</v>
      </c>
      <c r="M914" t="s">
        <v>65</v>
      </c>
      <c r="N914" t="s">
        <v>66</v>
      </c>
      <c r="O914" s="2">
        <v>46137</v>
      </c>
      <c r="P914" s="1">
        <v>35</v>
      </c>
      <c r="Q914" t="s">
        <v>67</v>
      </c>
      <c r="R914">
        <v>1.01</v>
      </c>
      <c r="S914">
        <v>0.13</v>
      </c>
      <c r="T914">
        <v>0.02</v>
      </c>
      <c r="U914">
        <v>33.97</v>
      </c>
      <c r="V914" s="1">
        <v>0</v>
      </c>
      <c r="X914">
        <v>20260427</v>
      </c>
      <c r="Z914" t="s">
        <v>72</v>
      </c>
      <c r="AA914">
        <v>3974527</v>
      </c>
      <c r="AB914" t="s">
        <v>79</v>
      </c>
      <c r="AE914">
        <v>0.8036226851851852</v>
      </c>
      <c r="AF914" t="s">
        <v>70</v>
      </c>
    </row>
    <row r="915" spans="1:32">
      <c r="A915">
        <v>1023366</v>
      </c>
      <c r="B915" t="s">
        <v>75</v>
      </c>
      <c r="C915" t="s">
        <v>62</v>
      </c>
      <c r="D915">
        <v>46137</v>
      </c>
      <c r="E915">
        <v>46137</v>
      </c>
      <c r="G915">
        <v>372</v>
      </c>
      <c r="H915" t="s">
        <v>63</v>
      </c>
      <c r="I915">
        <v>8917</v>
      </c>
      <c r="J915">
        <v>302941</v>
      </c>
      <c r="L915" t="s">
        <v>1280</v>
      </c>
      <c r="M915" t="s">
        <v>96</v>
      </c>
      <c r="N915" t="s">
        <v>66</v>
      </c>
      <c r="O915" s="2">
        <v>46137</v>
      </c>
      <c r="P915" s="1">
        <v>35</v>
      </c>
      <c r="Q915" t="s">
        <v>67</v>
      </c>
      <c r="R915">
        <v>1.37</v>
      </c>
      <c r="S915">
        <v>0.73</v>
      </c>
      <c r="T915">
        <v>0.13</v>
      </c>
      <c r="U915">
        <v>33.5</v>
      </c>
      <c r="V915" s="1">
        <v>0</v>
      </c>
      <c r="X915">
        <v>20260427</v>
      </c>
      <c r="Z915" t="s">
        <v>68</v>
      </c>
      <c r="AA915">
        <v>3974527</v>
      </c>
      <c r="AB915" t="s">
        <v>97</v>
      </c>
      <c r="AE915">
        <v>0.81497685185185187</v>
      </c>
      <c r="AF915" t="s">
        <v>70</v>
      </c>
    </row>
    <row r="916" spans="1:32">
      <c r="A916">
        <v>1023366</v>
      </c>
      <c r="B916" t="s">
        <v>75</v>
      </c>
      <c r="C916" t="s">
        <v>62</v>
      </c>
      <c r="D916">
        <v>46137</v>
      </c>
      <c r="E916">
        <v>46137</v>
      </c>
      <c r="G916">
        <v>372</v>
      </c>
      <c r="H916" t="s">
        <v>63</v>
      </c>
      <c r="I916">
        <v>8919</v>
      </c>
      <c r="J916">
        <v>72151</v>
      </c>
      <c r="L916" t="s">
        <v>1281</v>
      </c>
      <c r="M916" t="s">
        <v>65</v>
      </c>
      <c r="N916" t="s">
        <v>66</v>
      </c>
      <c r="O916" s="2">
        <v>46137</v>
      </c>
      <c r="P916" s="1">
        <v>55</v>
      </c>
      <c r="Q916" t="s">
        <v>67</v>
      </c>
      <c r="R916">
        <v>1.59</v>
      </c>
      <c r="S916">
        <v>0.32</v>
      </c>
      <c r="T916">
        <v>0.06</v>
      </c>
      <c r="U916">
        <v>53.35</v>
      </c>
      <c r="V916" s="1">
        <v>0</v>
      </c>
      <c r="X916">
        <v>20260427</v>
      </c>
      <c r="Z916" t="s">
        <v>72</v>
      </c>
      <c r="AA916">
        <v>3974527</v>
      </c>
      <c r="AB916" t="s">
        <v>1282</v>
      </c>
      <c r="AE916">
        <v>0.81855324074074076</v>
      </c>
      <c r="AF916" t="s">
        <v>70</v>
      </c>
    </row>
    <row r="917" spans="1:32">
      <c r="A917">
        <v>1023366</v>
      </c>
      <c r="B917" t="s">
        <v>75</v>
      </c>
      <c r="C917" t="s">
        <v>62</v>
      </c>
      <c r="D917">
        <v>46137</v>
      </c>
      <c r="E917">
        <v>46137</v>
      </c>
      <c r="G917">
        <v>372</v>
      </c>
      <c r="H917" t="s">
        <v>63</v>
      </c>
      <c r="I917">
        <v>8921</v>
      </c>
      <c r="J917">
        <v>499748</v>
      </c>
      <c r="L917" t="s">
        <v>1283</v>
      </c>
      <c r="M917" t="s">
        <v>65</v>
      </c>
      <c r="N917" t="s">
        <v>66</v>
      </c>
      <c r="O917" s="2">
        <v>46137</v>
      </c>
      <c r="P917" s="1">
        <v>69</v>
      </c>
      <c r="Q917" t="s">
        <v>67</v>
      </c>
      <c r="R917">
        <v>1.99</v>
      </c>
      <c r="S917">
        <v>0.89</v>
      </c>
      <c r="T917">
        <v>0.16</v>
      </c>
      <c r="U917">
        <v>66.849999999999994</v>
      </c>
      <c r="V917" s="1">
        <v>0</v>
      </c>
      <c r="X917">
        <v>20260427</v>
      </c>
      <c r="Z917" t="s">
        <v>68</v>
      </c>
      <c r="AA917">
        <v>3974527</v>
      </c>
      <c r="AB917" t="s">
        <v>77</v>
      </c>
      <c r="AE917">
        <v>0.83135416666666662</v>
      </c>
      <c r="AF917" t="s">
        <v>70</v>
      </c>
    </row>
    <row r="918" spans="1:32">
      <c r="A918">
        <v>1023366</v>
      </c>
      <c r="B918" t="s">
        <v>75</v>
      </c>
      <c r="C918" t="s">
        <v>62</v>
      </c>
      <c r="D918">
        <v>46137</v>
      </c>
      <c r="E918">
        <v>46137</v>
      </c>
      <c r="G918">
        <v>372</v>
      </c>
      <c r="H918" t="s">
        <v>63</v>
      </c>
      <c r="I918">
        <v>8923</v>
      </c>
      <c r="J918">
        <v>738730</v>
      </c>
      <c r="L918" t="s">
        <v>1208</v>
      </c>
      <c r="M918" t="s">
        <v>65</v>
      </c>
      <c r="N918" t="s">
        <v>66</v>
      </c>
      <c r="O918" s="2">
        <v>46137</v>
      </c>
      <c r="P918" s="1">
        <v>1018.9</v>
      </c>
      <c r="Q918" t="s">
        <v>67</v>
      </c>
      <c r="R918">
        <v>29.45</v>
      </c>
      <c r="S918">
        <v>13.15</v>
      </c>
      <c r="T918">
        <v>2.37</v>
      </c>
      <c r="U918">
        <v>987.08</v>
      </c>
      <c r="V918" s="1">
        <v>15259.04</v>
      </c>
      <c r="W918">
        <v>46139</v>
      </c>
      <c r="X918">
        <v>20260427</v>
      </c>
      <c r="Z918" t="s">
        <v>68</v>
      </c>
      <c r="AA918">
        <v>3974527</v>
      </c>
      <c r="AB918" t="s">
        <v>93</v>
      </c>
      <c r="AE918">
        <v>0.84547453703703701</v>
      </c>
      <c r="AF918" t="s">
        <v>70</v>
      </c>
    </row>
    <row r="919" spans="1:32">
      <c r="A919">
        <v>1023366</v>
      </c>
      <c r="B919" t="s">
        <v>75</v>
      </c>
      <c r="C919" t="s">
        <v>62</v>
      </c>
      <c r="D919">
        <v>46138</v>
      </c>
      <c r="E919">
        <v>46138</v>
      </c>
      <c r="G919">
        <v>373</v>
      </c>
      <c r="H919" t="s">
        <v>63</v>
      </c>
      <c r="I919">
        <v>8939</v>
      </c>
      <c r="J919">
        <v>637107</v>
      </c>
      <c r="L919" t="s">
        <v>1284</v>
      </c>
      <c r="M919" t="s">
        <v>65</v>
      </c>
      <c r="N919" t="s">
        <v>66</v>
      </c>
      <c r="O919" s="2">
        <v>46138</v>
      </c>
      <c r="P919" s="1">
        <v>312.89999999999998</v>
      </c>
      <c r="Q919" t="s">
        <v>67</v>
      </c>
      <c r="R919">
        <v>9.0399999999999991</v>
      </c>
      <c r="S919">
        <v>2.4700000000000002</v>
      </c>
      <c r="T919">
        <v>0.44</v>
      </c>
      <c r="U919">
        <v>303.42</v>
      </c>
      <c r="V919" s="1">
        <v>0</v>
      </c>
      <c r="X919">
        <v>20260427</v>
      </c>
      <c r="Z919" t="s">
        <v>68</v>
      </c>
      <c r="AA919">
        <v>3974527</v>
      </c>
      <c r="AB919" t="s">
        <v>77</v>
      </c>
      <c r="AE919">
        <v>0.48365740740740742</v>
      </c>
      <c r="AF919" t="s">
        <v>70</v>
      </c>
    </row>
    <row r="920" spans="1:32">
      <c r="A920">
        <v>1023366</v>
      </c>
      <c r="B920" t="s">
        <v>75</v>
      </c>
      <c r="C920" t="s">
        <v>62</v>
      </c>
      <c r="D920">
        <v>46138</v>
      </c>
      <c r="E920">
        <v>46138</v>
      </c>
      <c r="G920">
        <v>373</v>
      </c>
      <c r="H920" t="s">
        <v>63</v>
      </c>
      <c r="I920">
        <v>8941</v>
      </c>
      <c r="J920">
        <v>183074</v>
      </c>
      <c r="K920">
        <v>12</v>
      </c>
      <c r="L920" t="s">
        <v>1285</v>
      </c>
      <c r="M920" t="s">
        <v>65</v>
      </c>
      <c r="N920" t="s">
        <v>66</v>
      </c>
      <c r="O920" s="2">
        <v>46138</v>
      </c>
      <c r="P920" s="1">
        <v>1549</v>
      </c>
      <c r="Q920" t="s">
        <v>67</v>
      </c>
      <c r="R920">
        <v>44.77</v>
      </c>
      <c r="S920">
        <v>12.24</v>
      </c>
      <c r="T920">
        <v>2.2000000000000002</v>
      </c>
      <c r="U920">
        <v>1502.03</v>
      </c>
      <c r="V920" s="1">
        <v>0</v>
      </c>
      <c r="X920">
        <v>20260427</v>
      </c>
      <c r="Z920" t="s">
        <v>72</v>
      </c>
      <c r="AA920">
        <v>3974527</v>
      </c>
      <c r="AB920" t="s">
        <v>106</v>
      </c>
      <c r="AC920" t="s">
        <v>74</v>
      </c>
      <c r="AE920">
        <v>0.48743055555555553</v>
      </c>
      <c r="AF920" t="s">
        <v>70</v>
      </c>
    </row>
    <row r="921" spans="1:32">
      <c r="A921">
        <v>1023366</v>
      </c>
      <c r="B921" t="s">
        <v>75</v>
      </c>
      <c r="C921" t="s">
        <v>62</v>
      </c>
      <c r="D921">
        <v>46138</v>
      </c>
      <c r="E921">
        <v>46138</v>
      </c>
      <c r="G921">
        <v>373</v>
      </c>
      <c r="H921" t="s">
        <v>63</v>
      </c>
      <c r="I921">
        <v>8945</v>
      </c>
      <c r="J921">
        <v>8393</v>
      </c>
      <c r="L921" t="s">
        <v>1286</v>
      </c>
      <c r="M921" t="s">
        <v>65</v>
      </c>
      <c r="N921" t="s">
        <v>66</v>
      </c>
      <c r="O921" s="2">
        <v>46138</v>
      </c>
      <c r="P921" s="1">
        <v>159</v>
      </c>
      <c r="Q921" t="s">
        <v>67</v>
      </c>
      <c r="R921">
        <v>4.5999999999999996</v>
      </c>
      <c r="S921">
        <v>0.62</v>
      </c>
      <c r="T921">
        <v>0.11</v>
      </c>
      <c r="U921">
        <v>154.29</v>
      </c>
      <c r="V921" s="1">
        <v>0</v>
      </c>
      <c r="X921">
        <v>20260427</v>
      </c>
      <c r="Z921" t="s">
        <v>72</v>
      </c>
      <c r="AA921">
        <v>3974527</v>
      </c>
      <c r="AB921" t="s">
        <v>79</v>
      </c>
      <c r="AE921">
        <v>0.49896990740740743</v>
      </c>
      <c r="AF921" t="s">
        <v>70</v>
      </c>
    </row>
    <row r="922" spans="1:32">
      <c r="A922">
        <v>1023366</v>
      </c>
      <c r="B922" t="s">
        <v>75</v>
      </c>
      <c r="C922" t="s">
        <v>62</v>
      </c>
      <c r="D922">
        <v>46138</v>
      </c>
      <c r="E922">
        <v>46138</v>
      </c>
      <c r="G922">
        <v>373</v>
      </c>
      <c r="H922" t="s">
        <v>63</v>
      </c>
      <c r="I922">
        <v>8947</v>
      </c>
      <c r="J922">
        <v>43550</v>
      </c>
      <c r="L922" t="s">
        <v>1287</v>
      </c>
      <c r="M922" t="s">
        <v>65</v>
      </c>
      <c r="N922" t="s">
        <v>66</v>
      </c>
      <c r="O922" s="2">
        <v>46138</v>
      </c>
      <c r="P922" s="1">
        <v>188</v>
      </c>
      <c r="Q922" t="s">
        <v>67</v>
      </c>
      <c r="R922">
        <v>5.43</v>
      </c>
      <c r="S922">
        <v>1.1100000000000001</v>
      </c>
      <c r="T922">
        <v>0.2</v>
      </c>
      <c r="U922">
        <v>182.37</v>
      </c>
      <c r="V922" s="1">
        <v>0</v>
      </c>
      <c r="X922">
        <v>20260427</v>
      </c>
      <c r="Z922" t="s">
        <v>72</v>
      </c>
      <c r="AA922">
        <v>3974527</v>
      </c>
      <c r="AB922" t="s">
        <v>77</v>
      </c>
      <c r="AE922">
        <v>0.50309027777777782</v>
      </c>
      <c r="AF922" t="s">
        <v>70</v>
      </c>
    </row>
    <row r="923" spans="1:32">
      <c r="A923">
        <v>1023366</v>
      </c>
      <c r="B923" t="s">
        <v>75</v>
      </c>
      <c r="C923" t="s">
        <v>62</v>
      </c>
      <c r="D923">
        <v>46138</v>
      </c>
      <c r="E923">
        <v>46138</v>
      </c>
      <c r="G923">
        <v>373</v>
      </c>
      <c r="H923" t="s">
        <v>63</v>
      </c>
      <c r="I923">
        <v>8951</v>
      </c>
      <c r="J923">
        <v>590376</v>
      </c>
      <c r="L923" t="s">
        <v>1288</v>
      </c>
      <c r="M923" t="s">
        <v>65</v>
      </c>
      <c r="N923" t="s">
        <v>66</v>
      </c>
      <c r="O923" s="2">
        <v>46138</v>
      </c>
      <c r="P923" s="1">
        <v>159</v>
      </c>
      <c r="Q923" t="s">
        <v>67</v>
      </c>
      <c r="R923">
        <v>4.5999999999999996</v>
      </c>
      <c r="S923">
        <v>0.94</v>
      </c>
      <c r="T923">
        <v>0.17</v>
      </c>
      <c r="U923">
        <v>154.22999999999999</v>
      </c>
      <c r="V923" s="1">
        <v>0</v>
      </c>
      <c r="X923">
        <v>20260427</v>
      </c>
      <c r="Z923" t="s">
        <v>72</v>
      </c>
      <c r="AA923">
        <v>3974527</v>
      </c>
      <c r="AB923" t="s">
        <v>93</v>
      </c>
      <c r="AE923">
        <v>0.55608796296296292</v>
      </c>
      <c r="AF923" t="s">
        <v>70</v>
      </c>
    </row>
    <row r="924" spans="1:32">
      <c r="A924">
        <v>1023366</v>
      </c>
      <c r="B924" t="s">
        <v>75</v>
      </c>
      <c r="C924" t="s">
        <v>62</v>
      </c>
      <c r="D924">
        <v>46138</v>
      </c>
      <c r="E924">
        <v>46138</v>
      </c>
      <c r="G924">
        <v>373</v>
      </c>
      <c r="H924" t="s">
        <v>63</v>
      </c>
      <c r="I924">
        <v>8953</v>
      </c>
      <c r="J924">
        <v>7905</v>
      </c>
      <c r="L924" t="s">
        <v>1289</v>
      </c>
      <c r="M924" t="s">
        <v>65</v>
      </c>
      <c r="N924" t="s">
        <v>66</v>
      </c>
      <c r="O924" s="2">
        <v>46138</v>
      </c>
      <c r="P924" s="1">
        <v>52.9</v>
      </c>
      <c r="Q924" t="s">
        <v>67</v>
      </c>
      <c r="R924">
        <v>1.53</v>
      </c>
      <c r="S924">
        <v>0.42</v>
      </c>
      <c r="T924">
        <v>0.08</v>
      </c>
      <c r="U924">
        <v>51.29</v>
      </c>
      <c r="V924" s="1">
        <v>0</v>
      </c>
      <c r="X924">
        <v>20260427</v>
      </c>
      <c r="Z924" t="s">
        <v>72</v>
      </c>
      <c r="AA924">
        <v>3974527</v>
      </c>
      <c r="AB924" t="s">
        <v>79</v>
      </c>
      <c r="AE924">
        <v>0.56195601851851851</v>
      </c>
      <c r="AF924" t="s">
        <v>70</v>
      </c>
    </row>
    <row r="925" spans="1:32">
      <c r="A925">
        <v>1023366</v>
      </c>
      <c r="B925" t="s">
        <v>75</v>
      </c>
      <c r="C925" t="s">
        <v>62</v>
      </c>
      <c r="D925">
        <v>46138</v>
      </c>
      <c r="E925">
        <v>46138</v>
      </c>
      <c r="G925">
        <v>373</v>
      </c>
      <c r="H925" t="s">
        <v>63</v>
      </c>
      <c r="I925">
        <v>8955</v>
      </c>
      <c r="J925">
        <v>9546</v>
      </c>
      <c r="L925" t="s">
        <v>1290</v>
      </c>
      <c r="M925" t="s">
        <v>65</v>
      </c>
      <c r="N925" t="s">
        <v>66</v>
      </c>
      <c r="O925" s="2">
        <v>46138</v>
      </c>
      <c r="P925" s="1">
        <v>189</v>
      </c>
      <c r="Q925" t="s">
        <v>67</v>
      </c>
      <c r="R925">
        <v>5.46</v>
      </c>
      <c r="S925">
        <v>1.49</v>
      </c>
      <c r="T925">
        <v>0.27</v>
      </c>
      <c r="U925">
        <v>183.27</v>
      </c>
      <c r="V925" s="1">
        <v>0</v>
      </c>
      <c r="X925">
        <v>20260427</v>
      </c>
      <c r="Z925" t="s">
        <v>72</v>
      </c>
      <c r="AA925">
        <v>3974527</v>
      </c>
      <c r="AB925" t="s">
        <v>79</v>
      </c>
      <c r="AE925">
        <v>0.58346064814814813</v>
      </c>
      <c r="AF925" t="s">
        <v>70</v>
      </c>
    </row>
    <row r="926" spans="1:32">
      <c r="A926">
        <v>1023366</v>
      </c>
      <c r="B926" t="s">
        <v>75</v>
      </c>
      <c r="C926" t="s">
        <v>62</v>
      </c>
      <c r="D926">
        <v>46138</v>
      </c>
      <c r="E926">
        <v>46138</v>
      </c>
      <c r="G926">
        <v>373</v>
      </c>
      <c r="H926" t="s">
        <v>63</v>
      </c>
      <c r="I926">
        <v>8957</v>
      </c>
      <c r="J926">
        <v>798643</v>
      </c>
      <c r="L926" t="s">
        <v>1291</v>
      </c>
      <c r="M926" t="s">
        <v>65</v>
      </c>
      <c r="N926" t="s">
        <v>66</v>
      </c>
      <c r="O926" s="2">
        <v>46138</v>
      </c>
      <c r="P926" s="1">
        <v>86.9</v>
      </c>
      <c r="Q926" t="s">
        <v>67</v>
      </c>
      <c r="R926">
        <v>2.5099999999999998</v>
      </c>
      <c r="S926">
        <v>0.51</v>
      </c>
      <c r="T926">
        <v>0.09</v>
      </c>
      <c r="U926">
        <v>84.3</v>
      </c>
      <c r="V926" s="1">
        <v>0</v>
      </c>
      <c r="X926">
        <v>20260427</v>
      </c>
      <c r="Z926" t="s">
        <v>72</v>
      </c>
      <c r="AA926">
        <v>3974527</v>
      </c>
      <c r="AB926" t="s">
        <v>93</v>
      </c>
      <c r="AE926">
        <v>0.59699074074074077</v>
      </c>
      <c r="AF926" t="s">
        <v>70</v>
      </c>
    </row>
    <row r="927" spans="1:32">
      <c r="A927">
        <v>1023366</v>
      </c>
      <c r="B927" t="s">
        <v>75</v>
      </c>
      <c r="C927" t="s">
        <v>62</v>
      </c>
      <c r="D927">
        <v>46138</v>
      </c>
      <c r="E927">
        <v>46138</v>
      </c>
      <c r="G927">
        <v>373</v>
      </c>
      <c r="H927" t="s">
        <v>63</v>
      </c>
      <c r="I927">
        <v>8959</v>
      </c>
      <c r="J927" t="s">
        <v>1292</v>
      </c>
      <c r="L927" t="s">
        <v>1293</v>
      </c>
      <c r="M927" t="s">
        <v>96</v>
      </c>
      <c r="N927" t="s">
        <v>66</v>
      </c>
      <c r="O927" s="2">
        <v>46138</v>
      </c>
      <c r="P927" s="1">
        <v>89</v>
      </c>
      <c r="Q927" t="s">
        <v>67</v>
      </c>
      <c r="R927">
        <v>3.47</v>
      </c>
      <c r="S927">
        <v>1.71</v>
      </c>
      <c r="T927">
        <v>0.31</v>
      </c>
      <c r="U927">
        <v>85.22</v>
      </c>
      <c r="V927" s="1">
        <v>0</v>
      </c>
      <c r="X927">
        <v>20260427</v>
      </c>
      <c r="Z927" t="s">
        <v>68</v>
      </c>
      <c r="AA927">
        <v>3974527</v>
      </c>
      <c r="AB927" t="s">
        <v>97</v>
      </c>
      <c r="AE927">
        <v>0.65923611111111113</v>
      </c>
      <c r="AF927" t="s">
        <v>70</v>
      </c>
    </row>
    <row r="928" spans="1:32">
      <c r="A928">
        <v>1023366</v>
      </c>
      <c r="B928" t="s">
        <v>75</v>
      </c>
      <c r="C928" t="s">
        <v>62</v>
      </c>
      <c r="D928">
        <v>46138</v>
      </c>
      <c r="E928">
        <v>46138</v>
      </c>
      <c r="G928">
        <v>373</v>
      </c>
      <c r="H928" t="s">
        <v>63</v>
      </c>
      <c r="I928">
        <v>8961</v>
      </c>
      <c r="J928">
        <v>533757</v>
      </c>
      <c r="L928" t="s">
        <v>1294</v>
      </c>
      <c r="M928" t="s">
        <v>65</v>
      </c>
      <c r="N928" t="s">
        <v>66</v>
      </c>
      <c r="O928" s="2">
        <v>46138</v>
      </c>
      <c r="P928" s="1">
        <v>149</v>
      </c>
      <c r="Q928" t="s">
        <v>67</v>
      </c>
      <c r="R928">
        <v>4.3099999999999996</v>
      </c>
      <c r="S928">
        <v>1.93</v>
      </c>
      <c r="T928">
        <v>0.35</v>
      </c>
      <c r="U928">
        <v>144.34</v>
      </c>
      <c r="V928" s="1">
        <v>0</v>
      </c>
      <c r="X928">
        <v>20260427</v>
      </c>
      <c r="Z928" t="s">
        <v>68</v>
      </c>
      <c r="AA928">
        <v>3974527</v>
      </c>
      <c r="AB928" t="s">
        <v>77</v>
      </c>
      <c r="AE928">
        <v>0.6656481481481481</v>
      </c>
      <c r="AF928" t="s">
        <v>70</v>
      </c>
    </row>
    <row r="929" spans="1:32">
      <c r="A929">
        <v>1023366</v>
      </c>
      <c r="B929" t="s">
        <v>75</v>
      </c>
      <c r="C929" t="s">
        <v>62</v>
      </c>
      <c r="D929">
        <v>46138</v>
      </c>
      <c r="E929">
        <v>46138</v>
      </c>
      <c r="G929">
        <v>373</v>
      </c>
      <c r="H929" t="s">
        <v>63</v>
      </c>
      <c r="I929">
        <v>8963</v>
      </c>
      <c r="J929">
        <v>127106</v>
      </c>
      <c r="L929" t="s">
        <v>1295</v>
      </c>
      <c r="M929" t="s">
        <v>65</v>
      </c>
      <c r="N929" t="s">
        <v>66</v>
      </c>
      <c r="O929" s="2">
        <v>46138</v>
      </c>
      <c r="P929" s="1">
        <v>2099</v>
      </c>
      <c r="Q929" t="s">
        <v>67</v>
      </c>
      <c r="R929">
        <v>60.66</v>
      </c>
      <c r="S929">
        <v>12.38</v>
      </c>
      <c r="T929">
        <v>2.23</v>
      </c>
      <c r="U929">
        <v>2036.11</v>
      </c>
      <c r="V929" s="1">
        <v>0</v>
      </c>
      <c r="X929">
        <v>20260427</v>
      </c>
      <c r="Z929" t="s">
        <v>72</v>
      </c>
      <c r="AA929">
        <v>3974527</v>
      </c>
      <c r="AB929" t="s">
        <v>93</v>
      </c>
      <c r="AE929">
        <v>0.67211805555555559</v>
      </c>
      <c r="AF929" t="s">
        <v>70</v>
      </c>
    </row>
    <row r="930" spans="1:32">
      <c r="A930">
        <v>1023366</v>
      </c>
      <c r="B930" t="s">
        <v>75</v>
      </c>
      <c r="C930" t="s">
        <v>62</v>
      </c>
      <c r="D930">
        <v>46138</v>
      </c>
      <c r="E930">
        <v>46138</v>
      </c>
      <c r="G930">
        <v>373</v>
      </c>
      <c r="H930">
        <v>65656565</v>
      </c>
      <c r="I930">
        <v>8967</v>
      </c>
      <c r="J930">
        <v>141121</v>
      </c>
      <c r="L930" t="s">
        <v>1296</v>
      </c>
      <c r="M930" t="s">
        <v>65</v>
      </c>
      <c r="N930" t="s">
        <v>66</v>
      </c>
      <c r="O930" s="2">
        <v>46138</v>
      </c>
      <c r="P930" s="1">
        <v>908</v>
      </c>
      <c r="Q930" t="s">
        <v>67</v>
      </c>
      <c r="R930">
        <v>26.24</v>
      </c>
      <c r="S930">
        <v>11.71</v>
      </c>
      <c r="T930">
        <v>2.11</v>
      </c>
      <c r="U930">
        <v>879.65</v>
      </c>
      <c r="V930" s="1">
        <v>0</v>
      </c>
      <c r="X930">
        <v>20260427</v>
      </c>
      <c r="Z930" t="s">
        <v>68</v>
      </c>
      <c r="AA930">
        <v>3974527</v>
      </c>
      <c r="AB930" t="s">
        <v>79</v>
      </c>
      <c r="AD930" t="s">
        <v>88</v>
      </c>
      <c r="AE930">
        <v>0.70052083333333337</v>
      </c>
      <c r="AF930" t="s">
        <v>70</v>
      </c>
    </row>
    <row r="931" spans="1:32">
      <c r="A931">
        <v>1023366</v>
      </c>
      <c r="B931" t="s">
        <v>75</v>
      </c>
      <c r="C931" t="s">
        <v>62</v>
      </c>
      <c r="D931">
        <v>46138</v>
      </c>
      <c r="E931">
        <v>46138</v>
      </c>
      <c r="G931">
        <v>373</v>
      </c>
      <c r="H931" t="s">
        <v>63</v>
      </c>
      <c r="I931">
        <v>8970</v>
      </c>
      <c r="J931">
        <v>171271</v>
      </c>
      <c r="L931" t="s">
        <v>1297</v>
      </c>
      <c r="M931" t="s">
        <v>65</v>
      </c>
      <c r="N931" t="s">
        <v>66</v>
      </c>
      <c r="O931" s="2">
        <v>46138</v>
      </c>
      <c r="P931" s="1">
        <v>556.29999999999995</v>
      </c>
      <c r="Q931" t="s">
        <v>67</v>
      </c>
      <c r="R931">
        <v>16.079999999999998</v>
      </c>
      <c r="S931">
        <v>7.18</v>
      </c>
      <c r="T931">
        <v>1.29</v>
      </c>
      <c r="U931">
        <v>538.92999999999995</v>
      </c>
      <c r="V931" s="1">
        <v>0</v>
      </c>
      <c r="X931">
        <v>20260427</v>
      </c>
      <c r="Z931" t="s">
        <v>68</v>
      </c>
      <c r="AA931">
        <v>3974527</v>
      </c>
      <c r="AB931" t="s">
        <v>79</v>
      </c>
      <c r="AE931">
        <v>0.71439814814814817</v>
      </c>
      <c r="AF931" t="s">
        <v>70</v>
      </c>
    </row>
    <row r="932" spans="1:32">
      <c r="A932">
        <v>1023366</v>
      </c>
      <c r="B932" t="s">
        <v>75</v>
      </c>
      <c r="C932" t="s">
        <v>62</v>
      </c>
      <c r="D932">
        <v>46138</v>
      </c>
      <c r="E932">
        <v>46138</v>
      </c>
      <c r="G932">
        <v>373</v>
      </c>
      <c r="H932">
        <v>65656565</v>
      </c>
      <c r="I932">
        <v>8972</v>
      </c>
      <c r="J932">
        <v>630251</v>
      </c>
      <c r="L932" t="s">
        <v>1298</v>
      </c>
      <c r="M932" t="s">
        <v>65</v>
      </c>
      <c r="N932" t="s">
        <v>66</v>
      </c>
      <c r="O932" s="2">
        <v>46138</v>
      </c>
      <c r="P932" s="1">
        <v>240</v>
      </c>
      <c r="Q932" t="s">
        <v>67</v>
      </c>
      <c r="R932">
        <v>6.93</v>
      </c>
      <c r="S932">
        <v>3.09</v>
      </c>
      <c r="T932">
        <v>0.56000000000000005</v>
      </c>
      <c r="U932">
        <v>232.51</v>
      </c>
      <c r="V932" s="1">
        <v>0</v>
      </c>
      <c r="X932">
        <v>20260427</v>
      </c>
      <c r="Z932" t="s">
        <v>68</v>
      </c>
      <c r="AA932">
        <v>3974527</v>
      </c>
      <c r="AB932" t="s">
        <v>84</v>
      </c>
      <c r="AD932" t="s">
        <v>205</v>
      </c>
      <c r="AE932">
        <v>0.71616898148148145</v>
      </c>
      <c r="AF932" t="s">
        <v>70</v>
      </c>
    </row>
    <row r="933" spans="1:32">
      <c r="A933">
        <v>1023366</v>
      </c>
      <c r="B933" t="s">
        <v>75</v>
      </c>
      <c r="C933" t="s">
        <v>62</v>
      </c>
      <c r="D933">
        <v>46138</v>
      </c>
      <c r="E933">
        <v>46138</v>
      </c>
      <c r="G933">
        <v>373</v>
      </c>
      <c r="H933">
        <v>65656565</v>
      </c>
      <c r="I933">
        <v>8975</v>
      </c>
      <c r="J933">
        <v>630305</v>
      </c>
      <c r="L933" t="s">
        <v>1298</v>
      </c>
      <c r="M933" t="s">
        <v>65</v>
      </c>
      <c r="N933" t="s">
        <v>66</v>
      </c>
      <c r="O933" s="2">
        <v>46138</v>
      </c>
      <c r="P933" s="1">
        <v>199</v>
      </c>
      <c r="Q933" t="s">
        <v>67</v>
      </c>
      <c r="R933">
        <v>5.75</v>
      </c>
      <c r="S933">
        <v>2.57</v>
      </c>
      <c r="T933">
        <v>0.46</v>
      </c>
      <c r="U933">
        <v>192.79</v>
      </c>
      <c r="V933" s="1">
        <v>0</v>
      </c>
      <c r="X933">
        <v>20260427</v>
      </c>
      <c r="Z933" t="s">
        <v>68</v>
      </c>
      <c r="AA933">
        <v>3974527</v>
      </c>
      <c r="AB933" t="s">
        <v>84</v>
      </c>
      <c r="AD933" t="s">
        <v>205</v>
      </c>
      <c r="AE933">
        <v>0.71690972222222227</v>
      </c>
      <c r="AF933" t="s">
        <v>70</v>
      </c>
    </row>
    <row r="934" spans="1:32">
      <c r="A934">
        <v>1023366</v>
      </c>
      <c r="B934" t="s">
        <v>75</v>
      </c>
      <c r="C934" t="s">
        <v>62</v>
      </c>
      <c r="D934">
        <v>46138</v>
      </c>
      <c r="E934">
        <v>46138</v>
      </c>
      <c r="G934">
        <v>373</v>
      </c>
      <c r="H934" t="s">
        <v>63</v>
      </c>
      <c r="I934">
        <v>8979</v>
      </c>
      <c r="J934">
        <v>329754</v>
      </c>
      <c r="L934" t="s">
        <v>1299</v>
      </c>
      <c r="M934" t="s">
        <v>65</v>
      </c>
      <c r="N934" t="s">
        <v>66</v>
      </c>
      <c r="O934" s="2">
        <v>46138</v>
      </c>
      <c r="P934" s="1">
        <v>199</v>
      </c>
      <c r="Q934" t="s">
        <v>67</v>
      </c>
      <c r="R934">
        <v>5.75</v>
      </c>
      <c r="S934">
        <v>2.57</v>
      </c>
      <c r="T934">
        <v>0.46</v>
      </c>
      <c r="U934">
        <v>192.79</v>
      </c>
      <c r="V934" s="1">
        <v>0</v>
      </c>
      <c r="X934">
        <v>20260427</v>
      </c>
      <c r="Z934" t="s">
        <v>68</v>
      </c>
      <c r="AA934">
        <v>3974527</v>
      </c>
      <c r="AB934" t="s">
        <v>81</v>
      </c>
      <c r="AE934">
        <v>0.72215277777777775</v>
      </c>
      <c r="AF934" t="s">
        <v>70</v>
      </c>
    </row>
    <row r="935" spans="1:32">
      <c r="A935">
        <v>1023366</v>
      </c>
      <c r="B935" t="s">
        <v>75</v>
      </c>
      <c r="C935" t="s">
        <v>62</v>
      </c>
      <c r="D935">
        <v>46138</v>
      </c>
      <c r="E935">
        <v>46138</v>
      </c>
      <c r="G935">
        <v>373</v>
      </c>
      <c r="H935" t="s">
        <v>63</v>
      </c>
      <c r="I935">
        <v>8981</v>
      </c>
      <c r="J935">
        <v>455286</v>
      </c>
      <c r="L935" t="s">
        <v>1300</v>
      </c>
      <c r="M935" t="s">
        <v>65</v>
      </c>
      <c r="N935" t="s">
        <v>66</v>
      </c>
      <c r="O935" s="2">
        <v>46138</v>
      </c>
      <c r="P935" s="1">
        <v>1199</v>
      </c>
      <c r="Q935" t="s">
        <v>67</v>
      </c>
      <c r="R935">
        <v>34.65</v>
      </c>
      <c r="S935">
        <v>9.4700000000000006</v>
      </c>
      <c r="T935">
        <v>1.7</v>
      </c>
      <c r="U935">
        <v>1162.6500000000001</v>
      </c>
      <c r="V935" s="1">
        <v>0</v>
      </c>
      <c r="X935">
        <v>20260427</v>
      </c>
      <c r="Z935" t="s">
        <v>68</v>
      </c>
      <c r="AA935">
        <v>3974527</v>
      </c>
      <c r="AB935" t="s">
        <v>79</v>
      </c>
      <c r="AE935">
        <v>0.75535879629629632</v>
      </c>
      <c r="AF935" t="s">
        <v>70</v>
      </c>
    </row>
    <row r="936" spans="1:32">
      <c r="A936">
        <v>1023366</v>
      </c>
      <c r="B936" t="s">
        <v>75</v>
      </c>
      <c r="C936" t="s">
        <v>62</v>
      </c>
      <c r="D936">
        <v>46138</v>
      </c>
      <c r="E936">
        <v>46138</v>
      </c>
      <c r="G936">
        <v>373</v>
      </c>
      <c r="H936">
        <v>65656565</v>
      </c>
      <c r="I936">
        <v>8983</v>
      </c>
      <c r="J936">
        <v>658180</v>
      </c>
      <c r="L936" t="s">
        <v>1301</v>
      </c>
      <c r="M936" t="s">
        <v>65</v>
      </c>
      <c r="N936" t="s">
        <v>66</v>
      </c>
      <c r="O936" s="2">
        <v>46138</v>
      </c>
      <c r="P936" s="1">
        <v>4</v>
      </c>
      <c r="Q936" t="s">
        <v>67</v>
      </c>
      <c r="R936">
        <v>0.11</v>
      </c>
      <c r="S936">
        <v>0.05</v>
      </c>
      <c r="T936">
        <v>0.01</v>
      </c>
      <c r="U936">
        <v>3.88</v>
      </c>
      <c r="V936" s="1">
        <v>0</v>
      </c>
      <c r="X936">
        <v>20260427</v>
      </c>
      <c r="Z936" t="s">
        <v>68</v>
      </c>
      <c r="AA936">
        <v>3974527</v>
      </c>
      <c r="AB936" t="s">
        <v>77</v>
      </c>
      <c r="AD936" t="s">
        <v>298</v>
      </c>
      <c r="AE936">
        <v>0.76042824074074078</v>
      </c>
      <c r="AF936" t="s">
        <v>70</v>
      </c>
    </row>
    <row r="937" spans="1:32">
      <c r="A937">
        <v>1023366</v>
      </c>
      <c r="B937" t="s">
        <v>75</v>
      </c>
      <c r="C937" t="s">
        <v>62</v>
      </c>
      <c r="D937">
        <v>46138</v>
      </c>
      <c r="E937">
        <v>46138</v>
      </c>
      <c r="G937">
        <v>373</v>
      </c>
      <c r="H937" t="s">
        <v>63</v>
      </c>
      <c r="I937">
        <v>8986</v>
      </c>
      <c r="J937">
        <v>615749</v>
      </c>
      <c r="L937" t="s">
        <v>1302</v>
      </c>
      <c r="M937" t="s">
        <v>65</v>
      </c>
      <c r="N937" t="s">
        <v>66</v>
      </c>
      <c r="O937" s="2">
        <v>46138</v>
      </c>
      <c r="P937" s="1">
        <v>188</v>
      </c>
      <c r="Q937" t="s">
        <v>67</v>
      </c>
      <c r="R937">
        <v>5.43</v>
      </c>
      <c r="S937">
        <v>1.48</v>
      </c>
      <c r="T937">
        <v>0.27</v>
      </c>
      <c r="U937">
        <v>182.3</v>
      </c>
      <c r="V937" s="1">
        <v>0</v>
      </c>
      <c r="X937">
        <v>20260427</v>
      </c>
      <c r="Z937" t="s">
        <v>68</v>
      </c>
      <c r="AA937">
        <v>3974527</v>
      </c>
      <c r="AB937" t="s">
        <v>79</v>
      </c>
      <c r="AE937">
        <v>0.76217592592592598</v>
      </c>
      <c r="AF937" t="s">
        <v>70</v>
      </c>
    </row>
    <row r="938" spans="1:32">
      <c r="A938">
        <v>1023366</v>
      </c>
      <c r="B938" t="s">
        <v>75</v>
      </c>
      <c r="C938" t="s">
        <v>62</v>
      </c>
      <c r="D938">
        <v>46138</v>
      </c>
      <c r="E938">
        <v>46138</v>
      </c>
      <c r="G938">
        <v>373</v>
      </c>
      <c r="H938" t="s">
        <v>63</v>
      </c>
      <c r="I938">
        <v>8988</v>
      </c>
      <c r="J938">
        <v>501999</v>
      </c>
      <c r="L938" t="s">
        <v>1303</v>
      </c>
      <c r="M938" t="s">
        <v>65</v>
      </c>
      <c r="N938" t="s">
        <v>66</v>
      </c>
      <c r="O938" s="2">
        <v>46138</v>
      </c>
      <c r="P938" s="1">
        <v>55</v>
      </c>
      <c r="Q938" t="s">
        <v>67</v>
      </c>
      <c r="R938">
        <v>1.59</v>
      </c>
      <c r="S938">
        <v>0.43</v>
      </c>
      <c r="T938">
        <v>0.08</v>
      </c>
      <c r="U938">
        <v>53.33</v>
      </c>
      <c r="V938" s="1">
        <v>0</v>
      </c>
      <c r="X938">
        <v>20260427</v>
      </c>
      <c r="Z938" t="s">
        <v>72</v>
      </c>
      <c r="AA938">
        <v>3974527</v>
      </c>
      <c r="AB938" t="s">
        <v>93</v>
      </c>
      <c r="AE938">
        <v>0.76339120370370372</v>
      </c>
      <c r="AF938" t="s">
        <v>70</v>
      </c>
    </row>
    <row r="939" spans="1:32">
      <c r="A939">
        <v>1023366</v>
      </c>
      <c r="B939" t="s">
        <v>75</v>
      </c>
      <c r="C939" t="s">
        <v>62</v>
      </c>
      <c r="D939">
        <v>46138</v>
      </c>
      <c r="E939">
        <v>46138</v>
      </c>
      <c r="G939">
        <v>373</v>
      </c>
      <c r="H939" t="s">
        <v>63</v>
      </c>
      <c r="I939">
        <v>8990</v>
      </c>
      <c r="J939">
        <v>170019</v>
      </c>
      <c r="L939" t="s">
        <v>1304</v>
      </c>
      <c r="M939" t="s">
        <v>65</v>
      </c>
      <c r="N939" t="s">
        <v>66</v>
      </c>
      <c r="O939" s="2">
        <v>46138</v>
      </c>
      <c r="P939" s="1">
        <v>104</v>
      </c>
      <c r="Q939" t="s">
        <v>67</v>
      </c>
      <c r="R939">
        <v>3.01</v>
      </c>
      <c r="S939">
        <v>1.35</v>
      </c>
      <c r="T939">
        <v>0.24</v>
      </c>
      <c r="U939">
        <v>100.75</v>
      </c>
      <c r="V939" s="1">
        <v>0</v>
      </c>
      <c r="X939">
        <v>20260427</v>
      </c>
      <c r="Z939" t="s">
        <v>68</v>
      </c>
      <c r="AA939">
        <v>3974527</v>
      </c>
      <c r="AB939" t="s">
        <v>883</v>
      </c>
      <c r="AE939">
        <v>0.76509259259259255</v>
      </c>
      <c r="AF939" t="s">
        <v>70</v>
      </c>
    </row>
    <row r="940" spans="1:32">
      <c r="A940">
        <v>1023366</v>
      </c>
      <c r="B940" t="s">
        <v>75</v>
      </c>
      <c r="C940" t="s">
        <v>62</v>
      </c>
      <c r="D940">
        <v>46138</v>
      </c>
      <c r="E940">
        <v>46138</v>
      </c>
      <c r="G940">
        <v>373</v>
      </c>
      <c r="H940" t="s">
        <v>63</v>
      </c>
      <c r="I940">
        <v>8992</v>
      </c>
      <c r="J940">
        <v>242877</v>
      </c>
      <c r="L940" t="s">
        <v>1305</v>
      </c>
      <c r="M940" t="s">
        <v>65</v>
      </c>
      <c r="N940" t="s">
        <v>66</v>
      </c>
      <c r="O940" s="2">
        <v>46138</v>
      </c>
      <c r="P940" s="1">
        <v>199</v>
      </c>
      <c r="Q940" t="s">
        <v>67</v>
      </c>
      <c r="R940">
        <v>5.75</v>
      </c>
      <c r="S940">
        <v>2.57</v>
      </c>
      <c r="T940">
        <v>0.46</v>
      </c>
      <c r="U940">
        <v>192.79</v>
      </c>
      <c r="V940" s="1">
        <v>0</v>
      </c>
      <c r="X940">
        <v>20260427</v>
      </c>
      <c r="Z940" t="s">
        <v>68</v>
      </c>
      <c r="AA940">
        <v>3974527</v>
      </c>
      <c r="AB940" t="s">
        <v>77</v>
      </c>
      <c r="AE940">
        <v>0.77075231481481477</v>
      </c>
      <c r="AF940" t="s">
        <v>70</v>
      </c>
    </row>
    <row r="941" spans="1:32">
      <c r="A941">
        <v>1023366</v>
      </c>
      <c r="B941" t="s">
        <v>75</v>
      </c>
      <c r="C941" t="s">
        <v>62</v>
      </c>
      <c r="D941">
        <v>46138</v>
      </c>
      <c r="E941">
        <v>46138</v>
      </c>
      <c r="G941">
        <v>373</v>
      </c>
      <c r="H941" t="s">
        <v>63</v>
      </c>
      <c r="I941">
        <v>8994</v>
      </c>
      <c r="J941">
        <v>43027</v>
      </c>
      <c r="K941">
        <v>12</v>
      </c>
      <c r="L941" t="s">
        <v>1306</v>
      </c>
      <c r="M941" t="s">
        <v>65</v>
      </c>
      <c r="N941" t="s">
        <v>66</v>
      </c>
      <c r="O941" s="2">
        <v>46138</v>
      </c>
      <c r="P941" s="1">
        <v>1048</v>
      </c>
      <c r="Q941" t="s">
        <v>67</v>
      </c>
      <c r="R941">
        <v>30.29</v>
      </c>
      <c r="S941">
        <v>6.19</v>
      </c>
      <c r="T941">
        <v>1.1100000000000001</v>
      </c>
      <c r="U941">
        <v>1016.6</v>
      </c>
      <c r="V941" s="1">
        <v>0</v>
      </c>
      <c r="X941">
        <v>20260427</v>
      </c>
      <c r="Z941" t="s">
        <v>72</v>
      </c>
      <c r="AA941">
        <v>3974527</v>
      </c>
      <c r="AB941" t="s">
        <v>1282</v>
      </c>
      <c r="AC941" t="s">
        <v>74</v>
      </c>
      <c r="AE941">
        <v>0.78445601851851854</v>
      </c>
      <c r="AF941" t="s">
        <v>70</v>
      </c>
    </row>
    <row r="942" spans="1:32">
      <c r="A942">
        <v>1023366</v>
      </c>
      <c r="B942" t="s">
        <v>75</v>
      </c>
      <c r="C942" t="s">
        <v>62</v>
      </c>
      <c r="D942">
        <v>46138</v>
      </c>
      <c r="E942">
        <v>46138</v>
      </c>
      <c r="G942">
        <v>373</v>
      </c>
      <c r="H942" t="s">
        <v>63</v>
      </c>
      <c r="I942">
        <v>8996</v>
      </c>
      <c r="J942">
        <v>991415</v>
      </c>
      <c r="L942" t="s">
        <v>1307</v>
      </c>
      <c r="M942" t="s">
        <v>65</v>
      </c>
      <c r="N942" t="s">
        <v>66</v>
      </c>
      <c r="O942" s="2">
        <v>46138</v>
      </c>
      <c r="P942" s="1">
        <v>69</v>
      </c>
      <c r="Q942" t="s">
        <v>67</v>
      </c>
      <c r="R942">
        <v>1.99</v>
      </c>
      <c r="S942">
        <v>0.89</v>
      </c>
      <c r="T942">
        <v>0.16</v>
      </c>
      <c r="U942">
        <v>66.849999999999994</v>
      </c>
      <c r="V942" s="1">
        <v>0</v>
      </c>
      <c r="X942">
        <v>20260427</v>
      </c>
      <c r="Z942" t="s">
        <v>68</v>
      </c>
      <c r="AA942">
        <v>3974527</v>
      </c>
      <c r="AB942" t="s">
        <v>77</v>
      </c>
      <c r="AE942">
        <v>0.78716435185185185</v>
      </c>
      <c r="AF942" t="s">
        <v>70</v>
      </c>
    </row>
    <row r="943" spans="1:32">
      <c r="A943">
        <v>1023366</v>
      </c>
      <c r="B943" t="s">
        <v>75</v>
      </c>
      <c r="C943" t="s">
        <v>62</v>
      </c>
      <c r="D943">
        <v>46138</v>
      </c>
      <c r="E943">
        <v>46138</v>
      </c>
      <c r="G943">
        <v>373</v>
      </c>
      <c r="H943" t="s">
        <v>63</v>
      </c>
      <c r="I943">
        <v>8998</v>
      </c>
      <c r="J943">
        <v>333800</v>
      </c>
      <c r="K943">
        <v>12</v>
      </c>
      <c r="L943" t="s">
        <v>1308</v>
      </c>
      <c r="M943" t="s">
        <v>65</v>
      </c>
      <c r="N943" t="s">
        <v>66</v>
      </c>
      <c r="O943" s="2">
        <v>46138</v>
      </c>
      <c r="P943" s="1">
        <v>1899</v>
      </c>
      <c r="Q943" t="s">
        <v>67</v>
      </c>
      <c r="R943">
        <v>54.88</v>
      </c>
      <c r="S943">
        <v>11.2</v>
      </c>
      <c r="T943">
        <v>2.02</v>
      </c>
      <c r="U943">
        <v>1842.1</v>
      </c>
      <c r="V943" s="1">
        <v>0</v>
      </c>
      <c r="X943">
        <v>20260427</v>
      </c>
      <c r="Z943" t="s">
        <v>72</v>
      </c>
      <c r="AA943">
        <v>3974527</v>
      </c>
      <c r="AB943" t="s">
        <v>106</v>
      </c>
      <c r="AC943" t="s">
        <v>74</v>
      </c>
      <c r="AE943">
        <v>0.7880787037037037</v>
      </c>
      <c r="AF943" t="s">
        <v>70</v>
      </c>
    </row>
    <row r="944" spans="1:32">
      <c r="A944">
        <v>1023366</v>
      </c>
      <c r="B944" t="s">
        <v>75</v>
      </c>
      <c r="C944" t="s">
        <v>62</v>
      </c>
      <c r="D944">
        <v>46138</v>
      </c>
      <c r="E944">
        <v>46138</v>
      </c>
      <c r="G944">
        <v>373</v>
      </c>
      <c r="H944" t="s">
        <v>63</v>
      </c>
      <c r="I944">
        <v>9000</v>
      </c>
      <c r="J944">
        <v>1702</v>
      </c>
      <c r="L944" t="s">
        <v>1309</v>
      </c>
      <c r="M944" t="s">
        <v>65</v>
      </c>
      <c r="N944" t="s">
        <v>66</v>
      </c>
      <c r="O944" s="2">
        <v>46138</v>
      </c>
      <c r="P944" s="1">
        <v>338</v>
      </c>
      <c r="Q944" t="s">
        <v>67</v>
      </c>
      <c r="R944">
        <v>9.77</v>
      </c>
      <c r="S944">
        <v>1.32</v>
      </c>
      <c r="T944">
        <v>0.24</v>
      </c>
      <c r="U944">
        <v>327.99</v>
      </c>
      <c r="V944" s="1">
        <v>0</v>
      </c>
      <c r="X944">
        <v>20260427</v>
      </c>
      <c r="Z944" t="s">
        <v>72</v>
      </c>
      <c r="AA944">
        <v>3974527</v>
      </c>
      <c r="AB944" t="s">
        <v>79</v>
      </c>
      <c r="AE944">
        <v>0.79302083333333329</v>
      </c>
      <c r="AF944" t="s">
        <v>70</v>
      </c>
    </row>
    <row r="945" spans="1:32">
      <c r="A945">
        <v>1023366</v>
      </c>
      <c r="B945" t="s">
        <v>75</v>
      </c>
      <c r="C945" t="s">
        <v>62</v>
      </c>
      <c r="D945">
        <v>46138</v>
      </c>
      <c r="E945">
        <v>46138</v>
      </c>
      <c r="G945">
        <v>373</v>
      </c>
      <c r="H945" t="s">
        <v>63</v>
      </c>
      <c r="I945">
        <v>9002</v>
      </c>
      <c r="J945">
        <v>46009</v>
      </c>
      <c r="L945" t="s">
        <v>1310</v>
      </c>
      <c r="M945" t="s">
        <v>65</v>
      </c>
      <c r="N945" t="s">
        <v>66</v>
      </c>
      <c r="O945" s="2">
        <v>46138</v>
      </c>
      <c r="P945" s="1">
        <v>169</v>
      </c>
      <c r="Q945" t="s">
        <v>67</v>
      </c>
      <c r="R945">
        <v>4.88</v>
      </c>
      <c r="S945">
        <v>0.99</v>
      </c>
      <c r="T945">
        <v>0.18</v>
      </c>
      <c r="U945">
        <v>163.94</v>
      </c>
      <c r="V945" s="1">
        <v>0</v>
      </c>
      <c r="X945">
        <v>20260427</v>
      </c>
      <c r="Z945" t="s">
        <v>72</v>
      </c>
      <c r="AA945">
        <v>3974527</v>
      </c>
      <c r="AB945" t="s">
        <v>1282</v>
      </c>
      <c r="AE945">
        <v>0.7949074074074074</v>
      </c>
      <c r="AF945" t="s">
        <v>70</v>
      </c>
    </row>
    <row r="946" spans="1:32">
      <c r="A946">
        <v>1023366</v>
      </c>
      <c r="B946" t="s">
        <v>75</v>
      </c>
      <c r="C946" t="s">
        <v>62</v>
      </c>
      <c r="D946">
        <v>46138</v>
      </c>
      <c r="E946">
        <v>46138</v>
      </c>
      <c r="G946">
        <v>373</v>
      </c>
      <c r="H946" t="s">
        <v>63</v>
      </c>
      <c r="I946">
        <v>9004</v>
      </c>
      <c r="J946">
        <v>562556</v>
      </c>
      <c r="L946" t="s">
        <v>1311</v>
      </c>
      <c r="M946" t="s">
        <v>65</v>
      </c>
      <c r="N946" t="s">
        <v>66</v>
      </c>
      <c r="O946" s="2">
        <v>46138</v>
      </c>
      <c r="P946" s="1">
        <v>109</v>
      </c>
      <c r="Q946" t="s">
        <v>67</v>
      </c>
      <c r="R946">
        <v>3.15</v>
      </c>
      <c r="S946">
        <v>1.41</v>
      </c>
      <c r="T946">
        <v>0.25</v>
      </c>
      <c r="U946">
        <v>105.6</v>
      </c>
      <c r="V946" s="1">
        <v>0</v>
      </c>
      <c r="X946">
        <v>20260427</v>
      </c>
      <c r="Z946" t="s">
        <v>68</v>
      </c>
      <c r="AA946">
        <v>3974527</v>
      </c>
      <c r="AB946" t="s">
        <v>79</v>
      </c>
      <c r="AE946">
        <v>0.79853009259259256</v>
      </c>
      <c r="AF946" t="s">
        <v>70</v>
      </c>
    </row>
    <row r="947" spans="1:32">
      <c r="A947">
        <v>1023366</v>
      </c>
      <c r="B947" t="s">
        <v>75</v>
      </c>
      <c r="C947" t="s">
        <v>62</v>
      </c>
      <c r="D947">
        <v>46138</v>
      </c>
      <c r="E947">
        <v>46138</v>
      </c>
      <c r="G947">
        <v>373</v>
      </c>
      <c r="H947" t="s">
        <v>63</v>
      </c>
      <c r="I947">
        <v>9007</v>
      </c>
      <c r="J947">
        <v>740719</v>
      </c>
      <c r="L947" t="s">
        <v>1312</v>
      </c>
      <c r="M947" t="s">
        <v>96</v>
      </c>
      <c r="N947" t="s">
        <v>66</v>
      </c>
      <c r="O947" s="2">
        <v>46138</v>
      </c>
      <c r="P947" s="1">
        <v>169.9</v>
      </c>
      <c r="Q947" t="s">
        <v>67</v>
      </c>
      <c r="R947">
        <v>6.63</v>
      </c>
      <c r="S947">
        <v>3.27</v>
      </c>
      <c r="T947">
        <v>0.59</v>
      </c>
      <c r="U947">
        <v>162.68</v>
      </c>
      <c r="V947" s="1">
        <v>0</v>
      </c>
      <c r="X947">
        <v>20260427</v>
      </c>
      <c r="Z947" t="s">
        <v>68</v>
      </c>
      <c r="AA947">
        <v>3974527</v>
      </c>
      <c r="AB947" t="s">
        <v>97</v>
      </c>
      <c r="AE947">
        <v>0.80399305555555556</v>
      </c>
      <c r="AF947" t="s">
        <v>70</v>
      </c>
    </row>
    <row r="948" spans="1:32">
      <c r="A948">
        <v>1023366</v>
      </c>
      <c r="B948" t="s">
        <v>75</v>
      </c>
      <c r="C948" t="s">
        <v>62</v>
      </c>
      <c r="D948">
        <v>46138</v>
      </c>
      <c r="E948">
        <v>46138</v>
      </c>
      <c r="G948">
        <v>373</v>
      </c>
      <c r="H948" t="s">
        <v>63</v>
      </c>
      <c r="I948">
        <v>9009</v>
      </c>
      <c r="J948">
        <v>9418</v>
      </c>
      <c r="L948" t="s">
        <v>1313</v>
      </c>
      <c r="M948" t="s">
        <v>65</v>
      </c>
      <c r="N948" t="s">
        <v>66</v>
      </c>
      <c r="O948" s="2">
        <v>46138</v>
      </c>
      <c r="P948" s="1">
        <v>808</v>
      </c>
      <c r="Q948" t="s">
        <v>67</v>
      </c>
      <c r="R948">
        <v>23.35</v>
      </c>
      <c r="S948">
        <v>4.7699999999999996</v>
      </c>
      <c r="T948">
        <v>0.86</v>
      </c>
      <c r="U948">
        <v>783.79</v>
      </c>
      <c r="V948" s="1">
        <v>0</v>
      </c>
      <c r="X948">
        <v>20260427</v>
      </c>
      <c r="Z948" t="s">
        <v>72</v>
      </c>
      <c r="AA948">
        <v>3974527</v>
      </c>
      <c r="AB948" t="s">
        <v>79</v>
      </c>
      <c r="AE948">
        <v>0.8223611111111111</v>
      </c>
      <c r="AF948" t="s">
        <v>70</v>
      </c>
    </row>
    <row r="949" spans="1:32">
      <c r="A949">
        <v>1023366</v>
      </c>
      <c r="B949" t="s">
        <v>75</v>
      </c>
      <c r="C949" t="s">
        <v>62</v>
      </c>
      <c r="D949">
        <v>46138</v>
      </c>
      <c r="E949">
        <v>46138</v>
      </c>
      <c r="G949">
        <v>373</v>
      </c>
      <c r="H949">
        <v>65656565</v>
      </c>
      <c r="I949">
        <v>9011</v>
      </c>
      <c r="J949">
        <v>736141</v>
      </c>
      <c r="L949" t="s">
        <v>1314</v>
      </c>
      <c r="M949" t="s">
        <v>65</v>
      </c>
      <c r="N949" t="s">
        <v>66</v>
      </c>
      <c r="O949" s="2">
        <v>46138</v>
      </c>
      <c r="P949" s="1">
        <v>35</v>
      </c>
      <c r="Q949" t="s">
        <v>67</v>
      </c>
      <c r="R949">
        <v>1.01</v>
      </c>
      <c r="S949">
        <v>0.45</v>
      </c>
      <c r="T949">
        <v>0.08</v>
      </c>
      <c r="U949">
        <v>33.909999999999997</v>
      </c>
      <c r="V949" s="1">
        <v>0</v>
      </c>
      <c r="X949">
        <v>20260427</v>
      </c>
      <c r="Z949" t="s">
        <v>68</v>
      </c>
      <c r="AA949">
        <v>3974527</v>
      </c>
      <c r="AB949" t="s">
        <v>79</v>
      </c>
      <c r="AD949" t="s">
        <v>88</v>
      </c>
      <c r="AE949">
        <v>0.82737268518518514</v>
      </c>
      <c r="AF949" t="s">
        <v>70</v>
      </c>
    </row>
    <row r="950" spans="1:32">
      <c r="A950">
        <v>1023366</v>
      </c>
      <c r="B950" t="s">
        <v>75</v>
      </c>
      <c r="C950" t="s">
        <v>62</v>
      </c>
      <c r="D950">
        <v>46138</v>
      </c>
      <c r="E950">
        <v>46138</v>
      </c>
      <c r="G950">
        <v>373</v>
      </c>
      <c r="H950" t="s">
        <v>63</v>
      </c>
      <c r="I950">
        <v>9014</v>
      </c>
      <c r="J950">
        <v>7846</v>
      </c>
      <c r="L950" t="s">
        <v>1315</v>
      </c>
      <c r="M950" t="s">
        <v>65</v>
      </c>
      <c r="N950" t="s">
        <v>66</v>
      </c>
      <c r="O950" s="2">
        <v>46138</v>
      </c>
      <c r="P950" s="1">
        <v>159</v>
      </c>
      <c r="Q950" t="s">
        <v>67</v>
      </c>
      <c r="R950">
        <v>4.5999999999999996</v>
      </c>
      <c r="S950">
        <v>0.94</v>
      </c>
      <c r="T950">
        <v>0.17</v>
      </c>
      <c r="U950">
        <v>154.22999999999999</v>
      </c>
      <c r="V950" s="1">
        <v>0</v>
      </c>
      <c r="X950">
        <v>20260427</v>
      </c>
      <c r="Z950" t="s">
        <v>72</v>
      </c>
      <c r="AA950">
        <v>3974527</v>
      </c>
      <c r="AB950" t="s">
        <v>79</v>
      </c>
      <c r="AE950">
        <v>0.83133101851851854</v>
      </c>
      <c r="AF950" t="s">
        <v>70</v>
      </c>
    </row>
    <row r="951" spans="1:32">
      <c r="A951">
        <v>1023366</v>
      </c>
      <c r="B951" t="s">
        <v>75</v>
      </c>
      <c r="C951" t="s">
        <v>62</v>
      </c>
      <c r="D951">
        <v>46138</v>
      </c>
      <c r="E951">
        <v>46138</v>
      </c>
      <c r="G951">
        <v>373</v>
      </c>
      <c r="H951">
        <v>65656565</v>
      </c>
      <c r="I951">
        <v>9016</v>
      </c>
      <c r="J951">
        <v>463368</v>
      </c>
      <c r="L951" t="s">
        <v>927</v>
      </c>
      <c r="M951" t="s">
        <v>65</v>
      </c>
      <c r="N951" t="s">
        <v>66</v>
      </c>
      <c r="O951" s="2">
        <v>46138</v>
      </c>
      <c r="P951" s="1">
        <v>529</v>
      </c>
      <c r="Q951" t="s">
        <v>67</v>
      </c>
      <c r="R951">
        <v>15.28</v>
      </c>
      <c r="S951">
        <v>6.82</v>
      </c>
      <c r="T951">
        <v>1.23</v>
      </c>
      <c r="U951">
        <v>512.49</v>
      </c>
      <c r="V951" s="1">
        <v>0</v>
      </c>
      <c r="X951">
        <v>20260427</v>
      </c>
      <c r="Z951" t="s">
        <v>68</v>
      </c>
      <c r="AA951">
        <v>3974527</v>
      </c>
      <c r="AB951" t="s">
        <v>79</v>
      </c>
      <c r="AD951" t="s">
        <v>88</v>
      </c>
      <c r="AE951">
        <v>0.83506944444444442</v>
      </c>
      <c r="AF951" t="s">
        <v>70</v>
      </c>
    </row>
    <row r="952" spans="1:32">
      <c r="A952">
        <v>1023366</v>
      </c>
      <c r="B952" t="s">
        <v>75</v>
      </c>
      <c r="C952" t="s">
        <v>62</v>
      </c>
      <c r="D952">
        <v>46138</v>
      </c>
      <c r="E952">
        <v>46138</v>
      </c>
      <c r="G952">
        <v>373</v>
      </c>
      <c r="H952" t="s">
        <v>63</v>
      </c>
      <c r="I952">
        <v>9020</v>
      </c>
      <c r="J952">
        <v>93084</v>
      </c>
      <c r="L952" t="s">
        <v>1316</v>
      </c>
      <c r="M952" t="s">
        <v>96</v>
      </c>
      <c r="N952" t="s">
        <v>66</v>
      </c>
      <c r="O952" s="2">
        <v>46138</v>
      </c>
      <c r="P952" s="1">
        <v>138</v>
      </c>
      <c r="Q952" t="s">
        <v>67</v>
      </c>
      <c r="R952">
        <v>5.38</v>
      </c>
      <c r="S952">
        <v>3.87</v>
      </c>
      <c r="T952">
        <v>0.7</v>
      </c>
      <c r="U952">
        <v>131.91999999999999</v>
      </c>
      <c r="V952" s="1">
        <v>0</v>
      </c>
      <c r="X952">
        <v>20260427</v>
      </c>
      <c r="Z952" t="s">
        <v>72</v>
      </c>
      <c r="AA952">
        <v>3974527</v>
      </c>
      <c r="AB952" t="s">
        <v>97</v>
      </c>
      <c r="AE952">
        <v>0.83681712962962962</v>
      </c>
      <c r="AF952" t="s">
        <v>70</v>
      </c>
    </row>
    <row r="953" spans="1:32">
      <c r="A953">
        <v>1023366</v>
      </c>
      <c r="B953" t="s">
        <v>75</v>
      </c>
      <c r="C953" t="s">
        <v>62</v>
      </c>
      <c r="D953">
        <v>46138</v>
      </c>
      <c r="E953">
        <v>46138</v>
      </c>
      <c r="G953">
        <v>373</v>
      </c>
      <c r="H953" t="s">
        <v>63</v>
      </c>
      <c r="I953">
        <v>9022</v>
      </c>
      <c r="J953">
        <v>4428</v>
      </c>
      <c r="L953" t="s">
        <v>1317</v>
      </c>
      <c r="M953" t="s">
        <v>65</v>
      </c>
      <c r="N953" t="s">
        <v>66</v>
      </c>
      <c r="O953" s="2">
        <v>46138</v>
      </c>
      <c r="P953" s="1">
        <v>198</v>
      </c>
      <c r="Q953" t="s">
        <v>67</v>
      </c>
      <c r="R953">
        <v>5.72</v>
      </c>
      <c r="S953">
        <v>0.77</v>
      </c>
      <c r="T953">
        <v>0.14000000000000001</v>
      </c>
      <c r="U953">
        <v>192.14</v>
      </c>
      <c r="V953" s="1">
        <v>14107.48</v>
      </c>
      <c r="W953">
        <v>46139</v>
      </c>
      <c r="X953">
        <v>20260427</v>
      </c>
      <c r="Z953" t="s">
        <v>72</v>
      </c>
      <c r="AA953">
        <v>3974527</v>
      </c>
      <c r="AB953" t="s">
        <v>79</v>
      </c>
      <c r="AE953">
        <v>0.83841435185185187</v>
      </c>
      <c r="AF953" t="s">
        <v>70</v>
      </c>
    </row>
    <row r="954" spans="1:32">
      <c r="A954">
        <v>1023366</v>
      </c>
      <c r="B954" t="s">
        <v>201</v>
      </c>
      <c r="C954" t="s">
        <v>62</v>
      </c>
      <c r="D954">
        <v>46138</v>
      </c>
      <c r="E954">
        <v>46138</v>
      </c>
      <c r="G954">
        <v>373</v>
      </c>
      <c r="H954" t="s">
        <v>63</v>
      </c>
      <c r="I954">
        <v>8965</v>
      </c>
      <c r="J954">
        <v>68445</v>
      </c>
      <c r="L954" t="s">
        <v>1318</v>
      </c>
      <c r="M954" t="s">
        <v>65</v>
      </c>
      <c r="N954" t="s">
        <v>66</v>
      </c>
      <c r="O954" s="2">
        <v>46138</v>
      </c>
      <c r="P954" s="1">
        <v>269</v>
      </c>
      <c r="Q954" t="s">
        <v>67</v>
      </c>
      <c r="R954">
        <v>7.77</v>
      </c>
      <c r="S954">
        <v>2.12</v>
      </c>
      <c r="T954">
        <v>0.38</v>
      </c>
      <c r="U954">
        <v>260.85000000000002</v>
      </c>
      <c r="V954" s="1">
        <v>260.85000000000002</v>
      </c>
      <c r="W954">
        <v>46139</v>
      </c>
      <c r="X954">
        <v>20260427</v>
      </c>
      <c r="Z954" t="s">
        <v>72</v>
      </c>
      <c r="AA954">
        <v>3974527</v>
      </c>
      <c r="AB954" t="s">
        <v>203</v>
      </c>
      <c r="AE954">
        <v>0.69495370370370368</v>
      </c>
      <c r="AF954" t="s">
        <v>70</v>
      </c>
    </row>
    <row r="955" spans="1:32">
      <c r="A955">
        <v>1023366</v>
      </c>
      <c r="B955" t="s">
        <v>61</v>
      </c>
      <c r="C955" t="s">
        <v>62</v>
      </c>
      <c r="D955">
        <v>46139</v>
      </c>
      <c r="E955">
        <v>46139</v>
      </c>
      <c r="G955">
        <v>374</v>
      </c>
      <c r="H955" t="s">
        <v>63</v>
      </c>
      <c r="I955">
        <v>9048</v>
      </c>
      <c r="J955" t="s">
        <v>1319</v>
      </c>
      <c r="L955" t="s">
        <v>1320</v>
      </c>
      <c r="M955" t="s">
        <v>96</v>
      </c>
      <c r="N955" t="s">
        <v>66</v>
      </c>
      <c r="O955" s="2">
        <v>46139</v>
      </c>
      <c r="P955" s="1">
        <v>353</v>
      </c>
      <c r="Q955" t="s">
        <v>67</v>
      </c>
      <c r="R955">
        <v>13.77</v>
      </c>
      <c r="S955">
        <v>8.1199999999999992</v>
      </c>
      <c r="T955">
        <v>1.46</v>
      </c>
      <c r="U955">
        <v>337.77</v>
      </c>
      <c r="V955" s="1">
        <v>0</v>
      </c>
      <c r="X955">
        <v>20260428</v>
      </c>
      <c r="Z955" t="s">
        <v>72</v>
      </c>
      <c r="AA955">
        <v>3974527</v>
      </c>
      <c r="AB955" t="s">
        <v>234</v>
      </c>
      <c r="AE955">
        <v>0.5562731481481481</v>
      </c>
      <c r="AF955" t="s">
        <v>70</v>
      </c>
    </row>
    <row r="956" spans="1:32">
      <c r="A956">
        <v>1023366</v>
      </c>
      <c r="B956" t="s">
        <v>61</v>
      </c>
      <c r="C956" t="s">
        <v>62</v>
      </c>
      <c r="D956">
        <v>46139</v>
      </c>
      <c r="E956">
        <v>46139</v>
      </c>
      <c r="G956">
        <v>374</v>
      </c>
      <c r="H956" t="s">
        <v>63</v>
      </c>
      <c r="I956">
        <v>9051</v>
      </c>
      <c r="J956" t="s">
        <v>1321</v>
      </c>
      <c r="L956" t="s">
        <v>1322</v>
      </c>
      <c r="M956" t="s">
        <v>96</v>
      </c>
      <c r="N956" t="s">
        <v>66</v>
      </c>
      <c r="O956" s="2">
        <v>46139</v>
      </c>
      <c r="P956" s="1">
        <v>328</v>
      </c>
      <c r="Q956" t="s">
        <v>67</v>
      </c>
      <c r="R956">
        <v>12.79</v>
      </c>
      <c r="S956">
        <v>6.3</v>
      </c>
      <c r="T956">
        <v>1.1299999999999999</v>
      </c>
      <c r="U956">
        <v>314.08</v>
      </c>
      <c r="V956" s="1">
        <v>651.85</v>
      </c>
      <c r="W956">
        <v>46140</v>
      </c>
      <c r="X956">
        <v>20260428</v>
      </c>
      <c r="Z956" t="s">
        <v>72</v>
      </c>
      <c r="AA956">
        <v>3974527</v>
      </c>
      <c r="AB956" t="s">
        <v>234</v>
      </c>
      <c r="AE956">
        <v>0.56168981481481484</v>
      </c>
      <c r="AF956" t="s">
        <v>70</v>
      </c>
    </row>
    <row r="957" spans="1:32">
      <c r="A957">
        <v>1023366</v>
      </c>
      <c r="B957" t="s">
        <v>75</v>
      </c>
      <c r="C957" t="s">
        <v>62</v>
      </c>
      <c r="D957">
        <v>46139</v>
      </c>
      <c r="E957">
        <v>46139</v>
      </c>
      <c r="G957">
        <v>374</v>
      </c>
      <c r="H957" t="s">
        <v>63</v>
      </c>
      <c r="I957">
        <v>9037</v>
      </c>
      <c r="J957">
        <v>396946</v>
      </c>
      <c r="L957" t="s">
        <v>1323</v>
      </c>
      <c r="M957" t="s">
        <v>65</v>
      </c>
      <c r="N957" t="s">
        <v>66</v>
      </c>
      <c r="O957" s="2">
        <v>46139</v>
      </c>
      <c r="P957" s="1">
        <v>52.9</v>
      </c>
      <c r="Q957" t="s">
        <v>67</v>
      </c>
      <c r="R957">
        <v>1.53</v>
      </c>
      <c r="S957">
        <v>0.68</v>
      </c>
      <c r="T957">
        <v>0.12</v>
      </c>
      <c r="U957">
        <v>51.25</v>
      </c>
      <c r="V957" s="1">
        <v>0</v>
      </c>
      <c r="X957">
        <v>20260428</v>
      </c>
      <c r="Z957" t="s">
        <v>68</v>
      </c>
      <c r="AA957">
        <v>3974527</v>
      </c>
      <c r="AB957" t="s">
        <v>79</v>
      </c>
      <c r="AE957">
        <v>0.44780092592592591</v>
      </c>
      <c r="AF957" t="s">
        <v>70</v>
      </c>
    </row>
    <row r="958" spans="1:32">
      <c r="A958">
        <v>1023366</v>
      </c>
      <c r="B958" t="s">
        <v>75</v>
      </c>
      <c r="C958" t="s">
        <v>62</v>
      </c>
      <c r="D958">
        <v>46139</v>
      </c>
      <c r="E958">
        <v>46139</v>
      </c>
      <c r="G958">
        <v>374</v>
      </c>
      <c r="H958" t="s">
        <v>63</v>
      </c>
      <c r="I958">
        <v>9043</v>
      </c>
      <c r="J958">
        <v>506522</v>
      </c>
      <c r="L958" t="s">
        <v>1324</v>
      </c>
      <c r="M958" t="s">
        <v>65</v>
      </c>
      <c r="N958" t="s">
        <v>66</v>
      </c>
      <c r="O958" s="2">
        <v>46139</v>
      </c>
      <c r="P958" s="1">
        <v>756</v>
      </c>
      <c r="Q958" t="s">
        <v>67</v>
      </c>
      <c r="R958">
        <v>21.85</v>
      </c>
      <c r="S958">
        <v>9.75</v>
      </c>
      <c r="T958">
        <v>1.76</v>
      </c>
      <c r="U958">
        <v>732.39</v>
      </c>
      <c r="V958" s="1">
        <v>0</v>
      </c>
      <c r="X958">
        <v>20260428</v>
      </c>
      <c r="Z958" t="s">
        <v>68</v>
      </c>
      <c r="AA958">
        <v>3974527</v>
      </c>
      <c r="AB958" t="s">
        <v>93</v>
      </c>
      <c r="AE958">
        <v>0.54090277777777773</v>
      </c>
      <c r="AF958" t="s">
        <v>70</v>
      </c>
    </row>
    <row r="959" spans="1:32">
      <c r="A959">
        <v>1023366</v>
      </c>
      <c r="B959" t="s">
        <v>75</v>
      </c>
      <c r="C959" t="s">
        <v>62</v>
      </c>
      <c r="D959">
        <v>46139</v>
      </c>
      <c r="E959">
        <v>46139</v>
      </c>
      <c r="G959">
        <v>374</v>
      </c>
      <c r="H959" t="s">
        <v>63</v>
      </c>
      <c r="I959">
        <v>9045</v>
      </c>
      <c r="J959">
        <v>522981</v>
      </c>
      <c r="L959" t="s">
        <v>1325</v>
      </c>
      <c r="M959" t="s">
        <v>65</v>
      </c>
      <c r="N959" t="s">
        <v>66</v>
      </c>
      <c r="O959" s="2">
        <v>46139</v>
      </c>
      <c r="P959" s="1">
        <v>49</v>
      </c>
      <c r="Q959" t="s">
        <v>67</v>
      </c>
      <c r="R959">
        <v>1.42</v>
      </c>
      <c r="S959">
        <v>0.19</v>
      </c>
      <c r="T959">
        <v>0.03</v>
      </c>
      <c r="U959">
        <v>47.55</v>
      </c>
      <c r="V959" s="1">
        <v>0</v>
      </c>
      <c r="X959">
        <v>20260428</v>
      </c>
      <c r="Z959" t="s">
        <v>72</v>
      </c>
      <c r="AA959">
        <v>3974527</v>
      </c>
      <c r="AB959" t="s">
        <v>93</v>
      </c>
      <c r="AE959">
        <v>0.54401620370370374</v>
      </c>
      <c r="AF959" t="s">
        <v>70</v>
      </c>
    </row>
    <row r="960" spans="1:32">
      <c r="A960">
        <v>1023366</v>
      </c>
      <c r="B960" t="s">
        <v>75</v>
      </c>
      <c r="C960" t="s">
        <v>62</v>
      </c>
      <c r="D960">
        <v>46139</v>
      </c>
      <c r="E960">
        <v>46139</v>
      </c>
      <c r="G960">
        <v>374</v>
      </c>
      <c r="H960" t="s">
        <v>63</v>
      </c>
      <c r="I960">
        <v>9055</v>
      </c>
      <c r="J960">
        <v>799531</v>
      </c>
      <c r="L960" t="s">
        <v>1326</v>
      </c>
      <c r="M960" t="s">
        <v>65</v>
      </c>
      <c r="N960" t="s">
        <v>66</v>
      </c>
      <c r="O960" s="2">
        <v>46139</v>
      </c>
      <c r="P960" s="1">
        <v>139</v>
      </c>
      <c r="Q960" t="s">
        <v>67</v>
      </c>
      <c r="R960">
        <v>4.0199999999999996</v>
      </c>
      <c r="S960">
        <v>1.8</v>
      </c>
      <c r="T960">
        <v>0.32</v>
      </c>
      <c r="U960">
        <v>134.66</v>
      </c>
      <c r="V960" s="1">
        <v>0</v>
      </c>
      <c r="X960">
        <v>20260428</v>
      </c>
      <c r="Z960" t="s">
        <v>68</v>
      </c>
      <c r="AA960">
        <v>3974527</v>
      </c>
      <c r="AB960" t="s">
        <v>93</v>
      </c>
      <c r="AE960">
        <v>0.59684027777777782</v>
      </c>
      <c r="AF960" t="s">
        <v>70</v>
      </c>
    </row>
    <row r="961" spans="1:32">
      <c r="A961">
        <v>1023366</v>
      </c>
      <c r="B961" t="s">
        <v>75</v>
      </c>
      <c r="C961" t="s">
        <v>62</v>
      </c>
      <c r="D961">
        <v>46139</v>
      </c>
      <c r="E961">
        <v>46139</v>
      </c>
      <c r="G961">
        <v>374</v>
      </c>
      <c r="H961" t="s">
        <v>63</v>
      </c>
      <c r="I961">
        <v>9060</v>
      </c>
      <c r="J961">
        <v>890282</v>
      </c>
      <c r="L961" t="s">
        <v>1327</v>
      </c>
      <c r="M961" t="s">
        <v>65</v>
      </c>
      <c r="N961" t="s">
        <v>66</v>
      </c>
      <c r="O961" s="2">
        <v>46139</v>
      </c>
      <c r="P961" s="1">
        <v>204</v>
      </c>
      <c r="Q961" t="s">
        <v>67</v>
      </c>
      <c r="R961">
        <v>5.9</v>
      </c>
      <c r="S961">
        <v>1.21</v>
      </c>
      <c r="T961">
        <v>0.22</v>
      </c>
      <c r="U961">
        <v>197.88</v>
      </c>
      <c r="V961" s="1">
        <v>0</v>
      </c>
      <c r="X961">
        <v>20260428</v>
      </c>
      <c r="Z961" t="s">
        <v>72</v>
      </c>
      <c r="AA961">
        <v>3974527</v>
      </c>
      <c r="AB961" t="s">
        <v>93</v>
      </c>
      <c r="AE961">
        <v>0.61708333333333332</v>
      </c>
      <c r="AF961" t="s">
        <v>70</v>
      </c>
    </row>
    <row r="962" spans="1:32">
      <c r="A962">
        <v>1023366</v>
      </c>
      <c r="B962" t="s">
        <v>75</v>
      </c>
      <c r="C962" t="s">
        <v>62</v>
      </c>
      <c r="D962">
        <v>46139</v>
      </c>
      <c r="E962">
        <v>46139</v>
      </c>
      <c r="G962">
        <v>374</v>
      </c>
      <c r="H962" t="s">
        <v>63</v>
      </c>
      <c r="I962">
        <v>9062</v>
      </c>
      <c r="J962">
        <v>332671</v>
      </c>
      <c r="L962" t="s">
        <v>1328</v>
      </c>
      <c r="M962" t="s">
        <v>65</v>
      </c>
      <c r="N962" t="s">
        <v>66</v>
      </c>
      <c r="O962" s="2">
        <v>46139</v>
      </c>
      <c r="P962" s="1">
        <v>55</v>
      </c>
      <c r="Q962" t="s">
        <v>67</v>
      </c>
      <c r="R962">
        <v>1.59</v>
      </c>
      <c r="S962">
        <v>0.43</v>
      </c>
      <c r="T962">
        <v>0.08</v>
      </c>
      <c r="U962">
        <v>53.33</v>
      </c>
      <c r="V962" s="1">
        <v>0</v>
      </c>
      <c r="X962">
        <v>20260428</v>
      </c>
      <c r="Z962" t="s">
        <v>72</v>
      </c>
      <c r="AA962">
        <v>3974527</v>
      </c>
      <c r="AB962" t="s">
        <v>77</v>
      </c>
      <c r="AE962">
        <v>0.64812499999999995</v>
      </c>
      <c r="AF962" t="s">
        <v>70</v>
      </c>
    </row>
    <row r="963" spans="1:32">
      <c r="A963">
        <v>1023366</v>
      </c>
      <c r="B963" t="s">
        <v>75</v>
      </c>
      <c r="C963" t="s">
        <v>62</v>
      </c>
      <c r="D963">
        <v>46139</v>
      </c>
      <c r="E963">
        <v>46139</v>
      </c>
      <c r="G963">
        <v>374</v>
      </c>
      <c r="H963" t="s">
        <v>63</v>
      </c>
      <c r="I963">
        <v>9069</v>
      </c>
      <c r="J963" t="s">
        <v>1329</v>
      </c>
      <c r="L963" t="s">
        <v>1330</v>
      </c>
      <c r="M963" t="s">
        <v>96</v>
      </c>
      <c r="N963" t="s">
        <v>66</v>
      </c>
      <c r="O963" s="2">
        <v>46139</v>
      </c>
      <c r="P963" s="1">
        <v>214</v>
      </c>
      <c r="Q963" t="s">
        <v>67</v>
      </c>
      <c r="R963">
        <v>8.35</v>
      </c>
      <c r="S963">
        <v>4.12</v>
      </c>
      <c r="T963">
        <v>0.74</v>
      </c>
      <c r="U963">
        <v>204.91</v>
      </c>
      <c r="V963" s="1">
        <v>0</v>
      </c>
      <c r="X963">
        <v>20260428</v>
      </c>
      <c r="Z963" t="s">
        <v>72</v>
      </c>
      <c r="AA963">
        <v>3974527</v>
      </c>
      <c r="AB963" t="s">
        <v>97</v>
      </c>
      <c r="AE963">
        <v>0.66342592592592597</v>
      </c>
      <c r="AF963" t="s">
        <v>70</v>
      </c>
    </row>
    <row r="964" spans="1:32">
      <c r="A964">
        <v>1023366</v>
      </c>
      <c r="B964" t="s">
        <v>75</v>
      </c>
      <c r="C964" t="s">
        <v>62</v>
      </c>
      <c r="D964">
        <v>46139</v>
      </c>
      <c r="E964">
        <v>46139</v>
      </c>
      <c r="G964">
        <v>374</v>
      </c>
      <c r="H964" t="s">
        <v>63</v>
      </c>
      <c r="I964">
        <v>9071</v>
      </c>
      <c r="J964">
        <v>993874</v>
      </c>
      <c r="L964" t="s">
        <v>1331</v>
      </c>
      <c r="M964" t="s">
        <v>65</v>
      </c>
      <c r="N964" t="s">
        <v>66</v>
      </c>
      <c r="O964" s="2">
        <v>46139</v>
      </c>
      <c r="P964" s="1">
        <v>2599</v>
      </c>
      <c r="Q964" t="s">
        <v>67</v>
      </c>
      <c r="R964">
        <v>75.11</v>
      </c>
      <c r="S964">
        <v>33.53</v>
      </c>
      <c r="T964">
        <v>6.04</v>
      </c>
      <c r="U964">
        <v>2517.85</v>
      </c>
      <c r="V964" s="1">
        <v>0</v>
      </c>
      <c r="X964">
        <v>20260428</v>
      </c>
      <c r="Z964" t="s">
        <v>68</v>
      </c>
      <c r="AA964">
        <v>3974527</v>
      </c>
      <c r="AB964" t="s">
        <v>79</v>
      </c>
      <c r="AE964">
        <v>0.67594907407407412</v>
      </c>
      <c r="AF964" t="s">
        <v>70</v>
      </c>
    </row>
    <row r="965" spans="1:32">
      <c r="A965">
        <v>1023366</v>
      </c>
      <c r="B965" t="s">
        <v>75</v>
      </c>
      <c r="C965" t="s">
        <v>62</v>
      </c>
      <c r="D965">
        <v>46139</v>
      </c>
      <c r="E965">
        <v>46139</v>
      </c>
      <c r="G965">
        <v>374</v>
      </c>
      <c r="H965">
        <v>65656565</v>
      </c>
      <c r="I965">
        <v>9073</v>
      </c>
      <c r="J965">
        <v>663609</v>
      </c>
      <c r="L965" t="s">
        <v>1332</v>
      </c>
      <c r="M965" t="s">
        <v>65</v>
      </c>
      <c r="N965" t="s">
        <v>66</v>
      </c>
      <c r="O965" s="2">
        <v>46139</v>
      </c>
      <c r="P965" s="1">
        <v>69</v>
      </c>
      <c r="Q965" t="s">
        <v>67</v>
      </c>
      <c r="R965">
        <v>1.99</v>
      </c>
      <c r="S965">
        <v>0.89</v>
      </c>
      <c r="T965">
        <v>0.16</v>
      </c>
      <c r="U965">
        <v>66.849999999999994</v>
      </c>
      <c r="V965" s="1">
        <v>0</v>
      </c>
      <c r="X965">
        <v>20260428</v>
      </c>
      <c r="Z965" t="s">
        <v>68</v>
      </c>
      <c r="AA965">
        <v>3974527</v>
      </c>
      <c r="AB965" t="s">
        <v>79</v>
      </c>
      <c r="AD965" t="s">
        <v>88</v>
      </c>
      <c r="AE965">
        <v>0.68071759259259257</v>
      </c>
      <c r="AF965" t="s">
        <v>70</v>
      </c>
    </row>
    <row r="966" spans="1:32">
      <c r="A966">
        <v>1023366</v>
      </c>
      <c r="B966" t="s">
        <v>75</v>
      </c>
      <c r="C966" t="s">
        <v>62</v>
      </c>
      <c r="D966">
        <v>46139</v>
      </c>
      <c r="E966">
        <v>46139</v>
      </c>
      <c r="G966">
        <v>374</v>
      </c>
      <c r="H966" t="s">
        <v>63</v>
      </c>
      <c r="I966">
        <v>9078</v>
      </c>
      <c r="J966" t="s">
        <v>1333</v>
      </c>
      <c r="L966" t="s">
        <v>1334</v>
      </c>
      <c r="M966" t="s">
        <v>65</v>
      </c>
      <c r="N966" t="s">
        <v>66</v>
      </c>
      <c r="O966" s="2">
        <v>46139</v>
      </c>
      <c r="P966" s="1">
        <v>159</v>
      </c>
      <c r="Q966" t="s">
        <v>67</v>
      </c>
      <c r="R966">
        <v>4.5999999999999996</v>
      </c>
      <c r="S966">
        <v>1.26</v>
      </c>
      <c r="T966">
        <v>0.23</v>
      </c>
      <c r="U966">
        <v>154.16999999999999</v>
      </c>
      <c r="V966" s="1">
        <v>0</v>
      </c>
      <c r="X966">
        <v>20260428</v>
      </c>
      <c r="Z966" t="s">
        <v>72</v>
      </c>
      <c r="AA966">
        <v>3974527</v>
      </c>
      <c r="AB966" t="s">
        <v>79</v>
      </c>
      <c r="AE966">
        <v>0.70212962962962966</v>
      </c>
      <c r="AF966" t="s">
        <v>70</v>
      </c>
    </row>
    <row r="967" spans="1:32">
      <c r="A967">
        <v>1023366</v>
      </c>
      <c r="B967" t="s">
        <v>75</v>
      </c>
      <c r="C967" t="s">
        <v>62</v>
      </c>
      <c r="D967">
        <v>46139</v>
      </c>
      <c r="E967">
        <v>46139</v>
      </c>
      <c r="G967">
        <v>374</v>
      </c>
      <c r="H967" t="s">
        <v>63</v>
      </c>
      <c r="I967">
        <v>9080</v>
      </c>
      <c r="J967">
        <v>3934</v>
      </c>
      <c r="L967" t="s">
        <v>1335</v>
      </c>
      <c r="M967" t="s">
        <v>65</v>
      </c>
      <c r="N967" t="s">
        <v>66</v>
      </c>
      <c r="O967" s="2">
        <v>46139</v>
      </c>
      <c r="P967" s="1">
        <v>1499</v>
      </c>
      <c r="Q967" t="s">
        <v>67</v>
      </c>
      <c r="R967">
        <v>43.32</v>
      </c>
      <c r="S967">
        <v>8.84</v>
      </c>
      <c r="T967">
        <v>1.59</v>
      </c>
      <c r="U967">
        <v>1454.09</v>
      </c>
      <c r="V967" s="1">
        <v>0</v>
      </c>
      <c r="X967">
        <v>20260428</v>
      </c>
      <c r="Z967" t="s">
        <v>72</v>
      </c>
      <c r="AA967">
        <v>3974527</v>
      </c>
      <c r="AB967" t="s">
        <v>79</v>
      </c>
      <c r="AE967">
        <v>0.71273148148148147</v>
      </c>
      <c r="AF967" t="s">
        <v>70</v>
      </c>
    </row>
    <row r="968" spans="1:32">
      <c r="A968">
        <v>1023366</v>
      </c>
      <c r="B968" t="s">
        <v>75</v>
      </c>
      <c r="C968" t="s">
        <v>62</v>
      </c>
      <c r="D968">
        <v>46139</v>
      </c>
      <c r="E968">
        <v>46139</v>
      </c>
      <c r="G968">
        <v>374</v>
      </c>
      <c r="H968" t="s">
        <v>63</v>
      </c>
      <c r="I968">
        <v>9083</v>
      </c>
      <c r="J968" t="s">
        <v>1336</v>
      </c>
      <c r="L968" t="s">
        <v>1337</v>
      </c>
      <c r="M968" t="s">
        <v>65</v>
      </c>
      <c r="N968" t="s">
        <v>66</v>
      </c>
      <c r="O968" s="2">
        <v>46139</v>
      </c>
      <c r="P968" s="1">
        <v>159</v>
      </c>
      <c r="Q968" t="s">
        <v>67</v>
      </c>
      <c r="R968">
        <v>4.5999999999999996</v>
      </c>
      <c r="S968">
        <v>1.26</v>
      </c>
      <c r="T968">
        <v>0.23</v>
      </c>
      <c r="U968">
        <v>154.16999999999999</v>
      </c>
      <c r="V968" s="1">
        <v>0</v>
      </c>
      <c r="X968">
        <v>20260428</v>
      </c>
      <c r="Z968" t="s">
        <v>72</v>
      </c>
      <c r="AA968">
        <v>3974527</v>
      </c>
      <c r="AB968" t="s">
        <v>81</v>
      </c>
      <c r="AE968">
        <v>0.71659722222222222</v>
      </c>
      <c r="AF968" t="s">
        <v>70</v>
      </c>
    </row>
    <row r="969" spans="1:32">
      <c r="A969">
        <v>1023366</v>
      </c>
      <c r="B969" t="s">
        <v>75</v>
      </c>
      <c r="C969" t="s">
        <v>62</v>
      </c>
      <c r="D969">
        <v>46139</v>
      </c>
      <c r="E969">
        <v>46139</v>
      </c>
      <c r="G969">
        <v>374</v>
      </c>
      <c r="H969" t="s">
        <v>63</v>
      </c>
      <c r="I969">
        <v>9087</v>
      </c>
      <c r="J969">
        <v>191668</v>
      </c>
      <c r="L969" t="s">
        <v>1338</v>
      </c>
      <c r="M969" t="s">
        <v>65</v>
      </c>
      <c r="N969" t="s">
        <v>66</v>
      </c>
      <c r="O969" s="2">
        <v>46139</v>
      </c>
      <c r="P969" s="1">
        <v>109</v>
      </c>
      <c r="Q969" t="s">
        <v>67</v>
      </c>
      <c r="R969">
        <v>3.15</v>
      </c>
      <c r="S969">
        <v>1.41</v>
      </c>
      <c r="T969">
        <v>0.25</v>
      </c>
      <c r="U969">
        <v>105.6</v>
      </c>
      <c r="V969" s="1">
        <v>0</v>
      </c>
      <c r="X969">
        <v>20260428</v>
      </c>
      <c r="Z969" t="s">
        <v>68</v>
      </c>
      <c r="AA969">
        <v>3974527</v>
      </c>
      <c r="AB969" t="s">
        <v>77</v>
      </c>
      <c r="AE969">
        <v>0.74949074074074074</v>
      </c>
      <c r="AF969" t="s">
        <v>70</v>
      </c>
    </row>
    <row r="970" spans="1:32">
      <c r="A970">
        <v>1023366</v>
      </c>
      <c r="B970" t="s">
        <v>75</v>
      </c>
      <c r="C970" t="s">
        <v>62</v>
      </c>
      <c r="D970">
        <v>46139</v>
      </c>
      <c r="E970">
        <v>46139</v>
      </c>
      <c r="G970">
        <v>374</v>
      </c>
      <c r="H970" t="s">
        <v>63</v>
      </c>
      <c r="I970">
        <v>9090</v>
      </c>
      <c r="J970" t="s">
        <v>1339</v>
      </c>
      <c r="K970">
        <v>3</v>
      </c>
      <c r="L970" t="s">
        <v>1340</v>
      </c>
      <c r="M970" t="s">
        <v>96</v>
      </c>
      <c r="N970" t="s">
        <v>66</v>
      </c>
      <c r="O970" s="2">
        <v>46139</v>
      </c>
      <c r="P970" s="1">
        <v>269</v>
      </c>
      <c r="Q970" t="s">
        <v>67</v>
      </c>
      <c r="R970">
        <v>10.49</v>
      </c>
      <c r="S970">
        <v>7.54</v>
      </c>
      <c r="T970">
        <v>1.36</v>
      </c>
      <c r="U970">
        <v>257.14999999999998</v>
      </c>
      <c r="V970" s="1">
        <v>0</v>
      </c>
      <c r="X970">
        <v>20260428</v>
      </c>
      <c r="Z970" t="s">
        <v>72</v>
      </c>
      <c r="AA970">
        <v>3974527</v>
      </c>
      <c r="AB970" t="s">
        <v>97</v>
      </c>
      <c r="AC970" t="s">
        <v>74</v>
      </c>
      <c r="AE970">
        <v>0.75535879629629632</v>
      </c>
      <c r="AF970" t="s">
        <v>70</v>
      </c>
    </row>
    <row r="971" spans="1:32">
      <c r="A971">
        <v>1023366</v>
      </c>
      <c r="B971" t="s">
        <v>75</v>
      </c>
      <c r="C971" t="s">
        <v>62</v>
      </c>
      <c r="D971">
        <v>46139</v>
      </c>
      <c r="E971">
        <v>46139</v>
      </c>
      <c r="G971">
        <v>374</v>
      </c>
      <c r="H971" t="s">
        <v>63</v>
      </c>
      <c r="I971">
        <v>9092</v>
      </c>
      <c r="J971">
        <v>608772</v>
      </c>
      <c r="L971" t="s">
        <v>1341</v>
      </c>
      <c r="M971" t="s">
        <v>65</v>
      </c>
      <c r="N971" t="s">
        <v>66</v>
      </c>
      <c r="O971" s="2">
        <v>46139</v>
      </c>
      <c r="P971" s="1">
        <v>55</v>
      </c>
      <c r="Q971" t="s">
        <v>67</v>
      </c>
      <c r="R971">
        <v>1.59</v>
      </c>
      <c r="S971">
        <v>0.32</v>
      </c>
      <c r="T971">
        <v>0.06</v>
      </c>
      <c r="U971">
        <v>53.35</v>
      </c>
      <c r="V971" s="1">
        <v>0</v>
      </c>
      <c r="X971">
        <v>20260428</v>
      </c>
      <c r="Z971" t="s">
        <v>72</v>
      </c>
      <c r="AA971">
        <v>3974527</v>
      </c>
      <c r="AB971" t="s">
        <v>93</v>
      </c>
      <c r="AE971">
        <v>0.77109953703703704</v>
      </c>
      <c r="AF971" t="s">
        <v>70</v>
      </c>
    </row>
    <row r="972" spans="1:32">
      <c r="A972">
        <v>1023366</v>
      </c>
      <c r="B972" t="s">
        <v>75</v>
      </c>
      <c r="C972" t="s">
        <v>62</v>
      </c>
      <c r="D972">
        <v>46139</v>
      </c>
      <c r="E972">
        <v>46139</v>
      </c>
      <c r="G972">
        <v>374</v>
      </c>
      <c r="H972">
        <v>65656565</v>
      </c>
      <c r="I972">
        <v>9094</v>
      </c>
      <c r="J972">
        <v>255645</v>
      </c>
      <c r="L972" t="s">
        <v>1342</v>
      </c>
      <c r="M972" t="s">
        <v>65</v>
      </c>
      <c r="N972" t="s">
        <v>66</v>
      </c>
      <c r="O972" s="2">
        <v>46139</v>
      </c>
      <c r="P972" s="1">
        <v>55</v>
      </c>
      <c r="Q972" t="s">
        <v>67</v>
      </c>
      <c r="R972">
        <v>1.58</v>
      </c>
      <c r="S972">
        <v>0.7</v>
      </c>
      <c r="T972">
        <v>0.13</v>
      </c>
      <c r="U972">
        <v>53.29</v>
      </c>
      <c r="V972" s="1">
        <v>0</v>
      </c>
      <c r="X972">
        <v>20260428</v>
      </c>
      <c r="Z972" t="s">
        <v>68</v>
      </c>
      <c r="AA972">
        <v>3974527</v>
      </c>
      <c r="AB972" t="s">
        <v>79</v>
      </c>
      <c r="AD972" t="s">
        <v>88</v>
      </c>
      <c r="AE972">
        <v>0.77506944444444448</v>
      </c>
      <c r="AF972" t="s">
        <v>70</v>
      </c>
    </row>
    <row r="973" spans="1:32">
      <c r="A973">
        <v>1023366</v>
      </c>
      <c r="B973" t="s">
        <v>75</v>
      </c>
      <c r="C973" t="s">
        <v>62</v>
      </c>
      <c r="D973">
        <v>46139</v>
      </c>
      <c r="E973">
        <v>46139</v>
      </c>
      <c r="G973">
        <v>374</v>
      </c>
      <c r="H973" t="s">
        <v>63</v>
      </c>
      <c r="I973">
        <v>9097</v>
      </c>
      <c r="J973">
        <v>1925</v>
      </c>
      <c r="L973" t="s">
        <v>1343</v>
      </c>
      <c r="M973" t="s">
        <v>65</v>
      </c>
      <c r="N973" t="s">
        <v>66</v>
      </c>
      <c r="O973" s="2">
        <v>46139</v>
      </c>
      <c r="P973" s="1">
        <v>2999</v>
      </c>
      <c r="Q973" t="s">
        <v>67</v>
      </c>
      <c r="R973">
        <v>86.67</v>
      </c>
      <c r="S973">
        <v>17.690000000000001</v>
      </c>
      <c r="T973">
        <v>3.18</v>
      </c>
      <c r="U973">
        <v>2909.15</v>
      </c>
      <c r="V973" s="1">
        <v>0</v>
      </c>
      <c r="X973">
        <v>20260428</v>
      </c>
      <c r="Z973" t="s">
        <v>72</v>
      </c>
      <c r="AA973">
        <v>3974527</v>
      </c>
      <c r="AB973" t="s">
        <v>79</v>
      </c>
      <c r="AE973">
        <v>0.80928240740740742</v>
      </c>
      <c r="AF973" t="s">
        <v>70</v>
      </c>
    </row>
    <row r="974" spans="1:32">
      <c r="A974">
        <v>1023366</v>
      </c>
      <c r="B974" t="s">
        <v>75</v>
      </c>
      <c r="C974" t="s">
        <v>62</v>
      </c>
      <c r="D974">
        <v>46139</v>
      </c>
      <c r="E974">
        <v>46139</v>
      </c>
      <c r="G974">
        <v>374</v>
      </c>
      <c r="H974" t="s">
        <v>63</v>
      </c>
      <c r="I974">
        <v>9099</v>
      </c>
      <c r="J974">
        <v>75900</v>
      </c>
      <c r="L974" t="s">
        <v>1344</v>
      </c>
      <c r="M974" t="s">
        <v>65</v>
      </c>
      <c r="N974" t="s">
        <v>66</v>
      </c>
      <c r="O974" s="2">
        <v>46139</v>
      </c>
      <c r="P974" s="1">
        <v>1549</v>
      </c>
      <c r="Q974" t="s">
        <v>67</v>
      </c>
      <c r="R974">
        <v>44.77</v>
      </c>
      <c r="S974">
        <v>19.989999999999998</v>
      </c>
      <c r="T974">
        <v>3.6</v>
      </c>
      <c r="U974">
        <v>1500.63</v>
      </c>
      <c r="V974" s="1">
        <v>10648.27</v>
      </c>
      <c r="W974">
        <v>46140</v>
      </c>
      <c r="X974">
        <v>20260428</v>
      </c>
      <c r="Z974" t="s">
        <v>68</v>
      </c>
      <c r="AA974">
        <v>3974527</v>
      </c>
      <c r="AB974" t="s">
        <v>79</v>
      </c>
      <c r="AE974">
        <v>0.83211805555555551</v>
      </c>
      <c r="AF974" t="s">
        <v>70</v>
      </c>
    </row>
    <row r="975" spans="1:32">
      <c r="A975">
        <v>1023366</v>
      </c>
      <c r="B975" t="s">
        <v>201</v>
      </c>
      <c r="C975" t="s">
        <v>62</v>
      </c>
      <c r="D975">
        <v>46139</v>
      </c>
      <c r="E975">
        <v>46139</v>
      </c>
      <c r="G975">
        <v>374</v>
      </c>
      <c r="H975" t="s">
        <v>63</v>
      </c>
      <c r="I975">
        <v>9053</v>
      </c>
      <c r="J975">
        <v>37718</v>
      </c>
      <c r="L975" t="s">
        <v>1345</v>
      </c>
      <c r="M975" t="s">
        <v>65</v>
      </c>
      <c r="N975" t="s">
        <v>66</v>
      </c>
      <c r="O975" s="2">
        <v>46139</v>
      </c>
      <c r="P975" s="1">
        <v>139</v>
      </c>
      <c r="Q975" t="s">
        <v>67</v>
      </c>
      <c r="R975">
        <v>4.0199999999999996</v>
      </c>
      <c r="S975">
        <v>1.1000000000000001</v>
      </c>
      <c r="T975">
        <v>0.2</v>
      </c>
      <c r="U975">
        <v>134.78</v>
      </c>
      <c r="V975" s="1">
        <v>0</v>
      </c>
      <c r="X975">
        <v>20260428</v>
      </c>
      <c r="Z975" t="s">
        <v>72</v>
      </c>
      <c r="AA975">
        <v>3974527</v>
      </c>
      <c r="AB975" t="s">
        <v>203</v>
      </c>
      <c r="AE975">
        <v>0.59197916666666661</v>
      </c>
      <c r="AF975" t="s">
        <v>70</v>
      </c>
    </row>
    <row r="976" spans="1:32">
      <c r="A976">
        <v>1023366</v>
      </c>
      <c r="B976" t="s">
        <v>201</v>
      </c>
      <c r="C976" t="s">
        <v>62</v>
      </c>
      <c r="D976">
        <v>46139</v>
      </c>
      <c r="E976">
        <v>46139</v>
      </c>
      <c r="G976">
        <v>374</v>
      </c>
      <c r="H976" t="s">
        <v>63</v>
      </c>
      <c r="I976">
        <v>9064</v>
      </c>
      <c r="J976">
        <v>46253</v>
      </c>
      <c r="K976">
        <v>6</v>
      </c>
      <c r="L976" t="s">
        <v>1346</v>
      </c>
      <c r="M976" t="s">
        <v>65</v>
      </c>
      <c r="N976" t="s">
        <v>66</v>
      </c>
      <c r="O976" s="2">
        <v>46139</v>
      </c>
      <c r="P976" s="1">
        <v>2999</v>
      </c>
      <c r="Q976" t="s">
        <v>67</v>
      </c>
      <c r="R976">
        <v>86.67</v>
      </c>
      <c r="S976">
        <v>23.69</v>
      </c>
      <c r="T976">
        <v>4.26</v>
      </c>
      <c r="U976">
        <v>2908.07</v>
      </c>
      <c r="V976" s="1">
        <v>3042.85</v>
      </c>
      <c r="W976">
        <v>46140</v>
      </c>
      <c r="X976">
        <v>20260428</v>
      </c>
      <c r="Z976" t="s">
        <v>72</v>
      </c>
      <c r="AA976">
        <v>3974527</v>
      </c>
      <c r="AB976" t="s">
        <v>203</v>
      </c>
      <c r="AC976" t="s">
        <v>74</v>
      </c>
      <c r="AE976">
        <v>0.65105324074074078</v>
      </c>
      <c r="AF976" t="s">
        <v>70</v>
      </c>
    </row>
    <row r="977" spans="1:32">
      <c r="A977">
        <v>1023366</v>
      </c>
      <c r="B977" t="s">
        <v>61</v>
      </c>
      <c r="C977" t="s">
        <v>62</v>
      </c>
      <c r="D977">
        <v>46140</v>
      </c>
      <c r="E977">
        <v>46140</v>
      </c>
      <c r="G977">
        <v>375</v>
      </c>
      <c r="H977" t="s">
        <v>63</v>
      </c>
      <c r="I977">
        <v>9125</v>
      </c>
      <c r="J977">
        <v>358336</v>
      </c>
      <c r="L977" t="s">
        <v>1347</v>
      </c>
      <c r="M977" t="s">
        <v>96</v>
      </c>
      <c r="N977" t="s">
        <v>66</v>
      </c>
      <c r="O977" s="2">
        <v>46140</v>
      </c>
      <c r="P977" s="1">
        <v>269</v>
      </c>
      <c r="Q977" t="s">
        <v>67</v>
      </c>
      <c r="R977">
        <v>10.49</v>
      </c>
      <c r="S977">
        <v>5.51</v>
      </c>
      <c r="T977">
        <v>0.99</v>
      </c>
      <c r="U977">
        <v>257.52</v>
      </c>
      <c r="V977" s="1">
        <v>0</v>
      </c>
      <c r="X977">
        <v>20260429</v>
      </c>
      <c r="Z977" t="s">
        <v>72</v>
      </c>
      <c r="AA977">
        <v>3974527</v>
      </c>
      <c r="AB977" t="s">
        <v>234</v>
      </c>
      <c r="AE977">
        <v>0.50935185185185183</v>
      </c>
      <c r="AF977" t="s">
        <v>70</v>
      </c>
    </row>
    <row r="978" spans="1:32">
      <c r="A978">
        <v>1023366</v>
      </c>
      <c r="B978" t="s">
        <v>61</v>
      </c>
      <c r="C978" t="s">
        <v>62</v>
      </c>
      <c r="D978">
        <v>46140</v>
      </c>
      <c r="E978">
        <v>46140</v>
      </c>
      <c r="G978">
        <v>375</v>
      </c>
      <c r="H978" t="s">
        <v>63</v>
      </c>
      <c r="I978">
        <v>9138</v>
      </c>
      <c r="J978">
        <v>58738</v>
      </c>
      <c r="L978" t="s">
        <v>1348</v>
      </c>
      <c r="M978" t="s">
        <v>65</v>
      </c>
      <c r="N978" t="s">
        <v>66</v>
      </c>
      <c r="O978" s="2">
        <v>46140</v>
      </c>
      <c r="P978" s="1">
        <v>69</v>
      </c>
      <c r="Q978" t="s">
        <v>67</v>
      </c>
      <c r="R978">
        <v>1.99</v>
      </c>
      <c r="S978">
        <v>0.78</v>
      </c>
      <c r="T978">
        <v>0.14000000000000001</v>
      </c>
      <c r="U978">
        <v>66.87</v>
      </c>
      <c r="V978" s="1">
        <v>324.39</v>
      </c>
      <c r="W978">
        <v>46141</v>
      </c>
      <c r="X978">
        <v>20260429</v>
      </c>
      <c r="Z978" t="s">
        <v>68</v>
      </c>
      <c r="AA978">
        <v>3974527</v>
      </c>
      <c r="AB978" t="s">
        <v>69</v>
      </c>
      <c r="AE978">
        <v>0.60326388888888893</v>
      </c>
      <c r="AF978" t="s">
        <v>70</v>
      </c>
    </row>
    <row r="979" spans="1:32">
      <c r="A979">
        <v>1023366</v>
      </c>
      <c r="B979" t="s">
        <v>75</v>
      </c>
      <c r="C979" t="s">
        <v>62</v>
      </c>
      <c r="D979">
        <v>46140</v>
      </c>
      <c r="E979">
        <v>46140</v>
      </c>
      <c r="G979">
        <v>671</v>
      </c>
      <c r="H979" t="s">
        <v>720</v>
      </c>
      <c r="I979">
        <v>9229</v>
      </c>
      <c r="J979">
        <v>899517</v>
      </c>
      <c r="L979" t="s">
        <v>1349</v>
      </c>
      <c r="M979" t="s">
        <v>65</v>
      </c>
      <c r="N979" t="s">
        <v>66</v>
      </c>
      <c r="O979" s="2">
        <v>46140</v>
      </c>
      <c r="P979" s="1">
        <v>380</v>
      </c>
      <c r="Q979" t="s">
        <v>67</v>
      </c>
      <c r="R979">
        <v>10.98</v>
      </c>
      <c r="S979">
        <v>4.9000000000000004</v>
      </c>
      <c r="T979">
        <v>0.88</v>
      </c>
      <c r="U979">
        <v>368.14</v>
      </c>
      <c r="V979" s="1">
        <v>0</v>
      </c>
      <c r="X979">
        <v>20260429</v>
      </c>
      <c r="Z979" t="s">
        <v>68</v>
      </c>
      <c r="AA979" t="s">
        <v>350</v>
      </c>
      <c r="AB979" t="s">
        <v>81</v>
      </c>
      <c r="AE979">
        <v>0.7024421296296296</v>
      </c>
      <c r="AF979" t="s">
        <v>70</v>
      </c>
    </row>
    <row r="980" spans="1:32">
      <c r="A980">
        <v>1023366</v>
      </c>
      <c r="B980" t="s">
        <v>75</v>
      </c>
      <c r="C980" t="s">
        <v>62</v>
      </c>
      <c r="D980">
        <v>46140</v>
      </c>
      <c r="E980">
        <v>46140</v>
      </c>
      <c r="G980">
        <v>671</v>
      </c>
      <c r="H980" t="s">
        <v>720</v>
      </c>
      <c r="I980">
        <v>9231</v>
      </c>
      <c r="J980">
        <v>911192</v>
      </c>
      <c r="L980" t="s">
        <v>1350</v>
      </c>
      <c r="M980" t="s">
        <v>65</v>
      </c>
      <c r="N980" t="s">
        <v>66</v>
      </c>
      <c r="O980" s="2">
        <v>46140</v>
      </c>
      <c r="P980" s="1">
        <v>146</v>
      </c>
      <c r="Q980" t="s">
        <v>67</v>
      </c>
      <c r="R980">
        <v>4.22</v>
      </c>
      <c r="S980">
        <v>0.56999999999999995</v>
      </c>
      <c r="T980">
        <v>0.1</v>
      </c>
      <c r="U980">
        <v>141.68</v>
      </c>
      <c r="V980" s="1">
        <v>0</v>
      </c>
      <c r="X980">
        <v>20260429</v>
      </c>
      <c r="Z980" t="s">
        <v>72</v>
      </c>
      <c r="AA980" t="s">
        <v>350</v>
      </c>
      <c r="AB980" t="s">
        <v>93</v>
      </c>
      <c r="AE980">
        <v>0.80122685185185183</v>
      </c>
      <c r="AF980" t="s">
        <v>70</v>
      </c>
    </row>
    <row r="981" spans="1:32">
      <c r="A981">
        <v>1023366</v>
      </c>
      <c r="B981" t="s">
        <v>75</v>
      </c>
      <c r="C981" t="s">
        <v>62</v>
      </c>
      <c r="D981">
        <v>46140</v>
      </c>
      <c r="E981">
        <v>46140</v>
      </c>
      <c r="G981">
        <v>375</v>
      </c>
      <c r="H981" t="s">
        <v>63</v>
      </c>
      <c r="I981">
        <v>9116</v>
      </c>
      <c r="J981">
        <v>40164</v>
      </c>
      <c r="L981" t="s">
        <v>1351</v>
      </c>
      <c r="M981" t="s">
        <v>65</v>
      </c>
      <c r="N981" t="s">
        <v>66</v>
      </c>
      <c r="O981" s="2">
        <v>46140</v>
      </c>
      <c r="P981" s="1">
        <v>1000</v>
      </c>
      <c r="Q981" t="s">
        <v>67</v>
      </c>
      <c r="R981">
        <v>28.9</v>
      </c>
      <c r="S981">
        <v>3.9</v>
      </c>
      <c r="T981">
        <v>0.7</v>
      </c>
      <c r="U981">
        <v>970.4</v>
      </c>
      <c r="V981" s="1">
        <v>0</v>
      </c>
      <c r="X981">
        <v>20260429</v>
      </c>
      <c r="Z981" t="s">
        <v>72</v>
      </c>
      <c r="AA981">
        <v>3974527</v>
      </c>
      <c r="AB981" t="s">
        <v>84</v>
      </c>
      <c r="AE981">
        <v>0.44594907407407408</v>
      </c>
      <c r="AF981" t="s">
        <v>70</v>
      </c>
    </row>
    <row r="982" spans="1:32">
      <c r="A982">
        <v>1023366</v>
      </c>
      <c r="B982" t="s">
        <v>75</v>
      </c>
      <c r="C982" t="s">
        <v>62</v>
      </c>
      <c r="D982">
        <v>46140</v>
      </c>
      <c r="E982">
        <v>46140</v>
      </c>
      <c r="G982">
        <v>375</v>
      </c>
      <c r="H982" t="s">
        <v>63</v>
      </c>
      <c r="I982">
        <v>9118</v>
      </c>
      <c r="J982">
        <v>43261</v>
      </c>
      <c r="L982" t="s">
        <v>1352</v>
      </c>
      <c r="M982" t="s">
        <v>65</v>
      </c>
      <c r="N982" t="s">
        <v>66</v>
      </c>
      <c r="O982" s="2">
        <v>46140</v>
      </c>
      <c r="P982" s="1">
        <v>1283</v>
      </c>
      <c r="Q982" t="s">
        <v>67</v>
      </c>
      <c r="R982">
        <v>37.08</v>
      </c>
      <c r="S982">
        <v>7.57</v>
      </c>
      <c r="T982">
        <v>1.36</v>
      </c>
      <c r="U982">
        <v>1244.56</v>
      </c>
      <c r="V982" s="1">
        <v>0</v>
      </c>
      <c r="X982">
        <v>20260429</v>
      </c>
      <c r="Z982" t="s">
        <v>72</v>
      </c>
      <c r="AA982">
        <v>3974527</v>
      </c>
      <c r="AB982" t="s">
        <v>84</v>
      </c>
      <c r="AE982">
        <v>0.45685185185185184</v>
      </c>
      <c r="AF982" t="s">
        <v>70</v>
      </c>
    </row>
    <row r="983" spans="1:32">
      <c r="A983">
        <v>1023366</v>
      </c>
      <c r="B983" t="s">
        <v>75</v>
      </c>
      <c r="C983" t="s">
        <v>62</v>
      </c>
      <c r="D983">
        <v>46140</v>
      </c>
      <c r="E983">
        <v>46140</v>
      </c>
      <c r="G983">
        <v>375</v>
      </c>
      <c r="H983" t="s">
        <v>63</v>
      </c>
      <c r="I983">
        <v>9120</v>
      </c>
      <c r="J983">
        <v>510360</v>
      </c>
      <c r="L983" t="s">
        <v>1353</v>
      </c>
      <c r="M983" t="s">
        <v>65</v>
      </c>
      <c r="N983" t="s">
        <v>66</v>
      </c>
      <c r="O983" s="2">
        <v>46140</v>
      </c>
      <c r="P983" s="1">
        <v>199</v>
      </c>
      <c r="Q983" t="s">
        <v>67</v>
      </c>
      <c r="R983">
        <v>5.75</v>
      </c>
      <c r="S983">
        <v>0.77</v>
      </c>
      <c r="T983">
        <v>0.14000000000000001</v>
      </c>
      <c r="U983">
        <v>193.11</v>
      </c>
      <c r="V983" s="1">
        <v>0</v>
      </c>
      <c r="X983">
        <v>20260429</v>
      </c>
      <c r="Z983" t="s">
        <v>72</v>
      </c>
      <c r="AA983">
        <v>3974527</v>
      </c>
      <c r="AB983" t="s">
        <v>77</v>
      </c>
      <c r="AE983">
        <v>0.49369212962962961</v>
      </c>
      <c r="AF983" t="s">
        <v>70</v>
      </c>
    </row>
    <row r="984" spans="1:32">
      <c r="A984">
        <v>1023366</v>
      </c>
      <c r="B984" t="s">
        <v>75</v>
      </c>
      <c r="C984" t="s">
        <v>62</v>
      </c>
      <c r="D984">
        <v>46140</v>
      </c>
      <c r="E984">
        <v>46140</v>
      </c>
      <c r="G984">
        <v>375</v>
      </c>
      <c r="H984" t="s">
        <v>63</v>
      </c>
      <c r="I984">
        <v>9122</v>
      </c>
      <c r="J984">
        <v>7938</v>
      </c>
      <c r="L984" t="s">
        <v>1354</v>
      </c>
      <c r="M984" t="s">
        <v>65</v>
      </c>
      <c r="N984" t="s">
        <v>66</v>
      </c>
      <c r="O984" s="2">
        <v>46140</v>
      </c>
      <c r="P984" s="1">
        <v>189</v>
      </c>
      <c r="Q984" t="s">
        <v>67</v>
      </c>
      <c r="R984">
        <v>5.46</v>
      </c>
      <c r="S984">
        <v>0.73</v>
      </c>
      <c r="T984">
        <v>0.13</v>
      </c>
      <c r="U984">
        <v>183.41</v>
      </c>
      <c r="V984" s="1">
        <v>0</v>
      </c>
      <c r="X984">
        <v>20260429</v>
      </c>
      <c r="Z984" t="s">
        <v>72</v>
      </c>
      <c r="AA984">
        <v>3974527</v>
      </c>
      <c r="AB984" t="s">
        <v>79</v>
      </c>
      <c r="AE984">
        <v>0.50100694444444449</v>
      </c>
      <c r="AF984" t="s">
        <v>70</v>
      </c>
    </row>
    <row r="985" spans="1:32">
      <c r="A985">
        <v>1023366</v>
      </c>
      <c r="B985" t="s">
        <v>75</v>
      </c>
      <c r="C985" t="s">
        <v>62</v>
      </c>
      <c r="D985">
        <v>46140</v>
      </c>
      <c r="E985">
        <v>46140</v>
      </c>
      <c r="G985">
        <v>375</v>
      </c>
      <c r="H985" t="s">
        <v>63</v>
      </c>
      <c r="I985">
        <v>9127</v>
      </c>
      <c r="J985">
        <v>74172</v>
      </c>
      <c r="L985" t="s">
        <v>1355</v>
      </c>
      <c r="M985" t="s">
        <v>65</v>
      </c>
      <c r="N985" t="s">
        <v>66</v>
      </c>
      <c r="O985" s="2">
        <v>46140</v>
      </c>
      <c r="P985" s="1">
        <v>19</v>
      </c>
      <c r="Q985" t="s">
        <v>67</v>
      </c>
      <c r="R985">
        <v>0.55000000000000004</v>
      </c>
      <c r="S985">
        <v>0.11</v>
      </c>
      <c r="T985">
        <v>0.02</v>
      </c>
      <c r="U985">
        <v>18.43</v>
      </c>
      <c r="V985" s="1">
        <v>0</v>
      </c>
      <c r="X985">
        <v>20260429</v>
      </c>
      <c r="Z985" t="s">
        <v>72</v>
      </c>
      <c r="AA985">
        <v>3974527</v>
      </c>
      <c r="AB985" t="s">
        <v>84</v>
      </c>
      <c r="AE985">
        <v>0.55887731481481484</v>
      </c>
      <c r="AF985" t="s">
        <v>70</v>
      </c>
    </row>
    <row r="986" spans="1:32">
      <c r="A986">
        <v>1023366</v>
      </c>
      <c r="B986" t="s">
        <v>75</v>
      </c>
      <c r="C986" t="s">
        <v>62</v>
      </c>
      <c r="D986">
        <v>46140</v>
      </c>
      <c r="E986">
        <v>46140</v>
      </c>
      <c r="G986">
        <v>375</v>
      </c>
      <c r="H986" t="s">
        <v>63</v>
      </c>
      <c r="I986">
        <v>9129</v>
      </c>
      <c r="J986">
        <v>364245</v>
      </c>
      <c r="L986" t="s">
        <v>1356</v>
      </c>
      <c r="M986" t="s">
        <v>65</v>
      </c>
      <c r="N986" t="s">
        <v>66</v>
      </c>
      <c r="O986" s="2">
        <v>46140</v>
      </c>
      <c r="P986" s="1">
        <v>159</v>
      </c>
      <c r="Q986" t="s">
        <v>67</v>
      </c>
      <c r="R986">
        <v>4.5999999999999996</v>
      </c>
      <c r="S986">
        <v>2.06</v>
      </c>
      <c r="T986">
        <v>0.37</v>
      </c>
      <c r="U986">
        <v>154.03</v>
      </c>
      <c r="V986" s="1">
        <v>0</v>
      </c>
      <c r="X986">
        <v>20260429</v>
      </c>
      <c r="Z986" t="s">
        <v>68</v>
      </c>
      <c r="AA986">
        <v>3974527</v>
      </c>
      <c r="AB986" t="s">
        <v>79</v>
      </c>
      <c r="AE986">
        <v>0.56626157407407407</v>
      </c>
      <c r="AF986" t="s">
        <v>70</v>
      </c>
    </row>
    <row r="987" spans="1:32">
      <c r="A987">
        <v>1023366</v>
      </c>
      <c r="B987" t="s">
        <v>75</v>
      </c>
      <c r="C987" t="s">
        <v>62</v>
      </c>
      <c r="D987">
        <v>46140</v>
      </c>
      <c r="E987">
        <v>46140</v>
      </c>
      <c r="G987">
        <v>375</v>
      </c>
      <c r="H987" t="s">
        <v>63</v>
      </c>
      <c r="I987">
        <v>9133</v>
      </c>
      <c r="J987">
        <v>956126</v>
      </c>
      <c r="L987" t="s">
        <v>1357</v>
      </c>
      <c r="M987" t="s">
        <v>65</v>
      </c>
      <c r="N987" t="s">
        <v>66</v>
      </c>
      <c r="O987" s="2">
        <v>46140</v>
      </c>
      <c r="P987" s="1">
        <v>199</v>
      </c>
      <c r="Q987" t="s">
        <v>67</v>
      </c>
      <c r="R987">
        <v>5.75</v>
      </c>
      <c r="S987">
        <v>2.57</v>
      </c>
      <c r="T987">
        <v>0.46</v>
      </c>
      <c r="U987">
        <v>192.79</v>
      </c>
      <c r="V987" s="1">
        <v>0</v>
      </c>
      <c r="X987">
        <v>20260429</v>
      </c>
      <c r="Z987" t="s">
        <v>68</v>
      </c>
      <c r="AA987">
        <v>3974527</v>
      </c>
      <c r="AB987" t="s">
        <v>77</v>
      </c>
      <c r="AE987">
        <v>0.58567129629629633</v>
      </c>
      <c r="AF987" t="s">
        <v>70</v>
      </c>
    </row>
    <row r="988" spans="1:32">
      <c r="A988">
        <v>1023366</v>
      </c>
      <c r="B988" t="s">
        <v>75</v>
      </c>
      <c r="C988" t="s">
        <v>62</v>
      </c>
      <c r="D988">
        <v>46140</v>
      </c>
      <c r="E988">
        <v>46140</v>
      </c>
      <c r="G988">
        <v>375</v>
      </c>
      <c r="H988" t="s">
        <v>63</v>
      </c>
      <c r="I988">
        <v>9136</v>
      </c>
      <c r="J988">
        <v>924230</v>
      </c>
      <c r="L988" t="s">
        <v>1358</v>
      </c>
      <c r="M988" t="s">
        <v>65</v>
      </c>
      <c r="N988" t="s">
        <v>66</v>
      </c>
      <c r="O988" s="2">
        <v>46140</v>
      </c>
      <c r="P988" s="1">
        <v>1099</v>
      </c>
      <c r="Q988" t="s">
        <v>67</v>
      </c>
      <c r="R988">
        <v>31.76</v>
      </c>
      <c r="S988">
        <v>6.48</v>
      </c>
      <c r="T988">
        <v>1.17</v>
      </c>
      <c r="U988">
        <v>1066.07</v>
      </c>
      <c r="V988" s="1">
        <v>0</v>
      </c>
      <c r="X988">
        <v>20260429</v>
      </c>
      <c r="Z988" t="s">
        <v>72</v>
      </c>
      <c r="AA988">
        <v>3974527</v>
      </c>
      <c r="AB988" t="s">
        <v>81</v>
      </c>
      <c r="AE988">
        <v>0.5929861111111111</v>
      </c>
      <c r="AF988" t="s">
        <v>70</v>
      </c>
    </row>
    <row r="989" spans="1:32">
      <c r="A989">
        <v>1023366</v>
      </c>
      <c r="B989" t="s">
        <v>75</v>
      </c>
      <c r="C989" t="s">
        <v>62</v>
      </c>
      <c r="D989">
        <v>46140</v>
      </c>
      <c r="E989">
        <v>46140</v>
      </c>
      <c r="G989">
        <v>375</v>
      </c>
      <c r="H989" t="s">
        <v>63</v>
      </c>
      <c r="I989">
        <v>9140</v>
      </c>
      <c r="J989">
        <v>3411</v>
      </c>
      <c r="L989" t="s">
        <v>1359</v>
      </c>
      <c r="M989" t="s">
        <v>65</v>
      </c>
      <c r="N989" t="s">
        <v>66</v>
      </c>
      <c r="O989" s="2">
        <v>46140</v>
      </c>
      <c r="P989" s="1">
        <v>359</v>
      </c>
      <c r="Q989" t="s">
        <v>67</v>
      </c>
      <c r="R989">
        <v>10.38</v>
      </c>
      <c r="S989">
        <v>2.12</v>
      </c>
      <c r="T989">
        <v>0.38</v>
      </c>
      <c r="U989">
        <v>348.24</v>
      </c>
      <c r="V989" s="1">
        <v>0</v>
      </c>
      <c r="X989">
        <v>20260429</v>
      </c>
      <c r="Z989" t="s">
        <v>72</v>
      </c>
      <c r="AA989">
        <v>3974527</v>
      </c>
      <c r="AB989" t="s">
        <v>79</v>
      </c>
      <c r="AE989">
        <v>0.60442129629629626</v>
      </c>
      <c r="AF989" t="s">
        <v>70</v>
      </c>
    </row>
    <row r="990" spans="1:32">
      <c r="A990">
        <v>1023366</v>
      </c>
      <c r="B990" t="s">
        <v>75</v>
      </c>
      <c r="C990" t="s">
        <v>62</v>
      </c>
      <c r="D990">
        <v>46140</v>
      </c>
      <c r="E990">
        <v>46140</v>
      </c>
      <c r="G990">
        <v>375</v>
      </c>
      <c r="H990" t="s">
        <v>63</v>
      </c>
      <c r="I990">
        <v>9144</v>
      </c>
      <c r="J990">
        <v>764094</v>
      </c>
      <c r="L990" t="s">
        <v>1360</v>
      </c>
      <c r="M990" t="s">
        <v>65</v>
      </c>
      <c r="N990" t="s">
        <v>66</v>
      </c>
      <c r="O990" s="2">
        <v>46140</v>
      </c>
      <c r="P990" s="1">
        <v>204</v>
      </c>
      <c r="Q990" t="s">
        <v>67</v>
      </c>
      <c r="R990">
        <v>5.9</v>
      </c>
      <c r="S990">
        <v>1.21</v>
      </c>
      <c r="T990">
        <v>0.22</v>
      </c>
      <c r="U990">
        <v>197.88</v>
      </c>
      <c r="V990" s="1">
        <v>0</v>
      </c>
      <c r="X990">
        <v>20260429</v>
      </c>
      <c r="Z990" t="s">
        <v>72</v>
      </c>
      <c r="AA990">
        <v>3974527</v>
      </c>
      <c r="AB990" t="s">
        <v>106</v>
      </c>
      <c r="AE990">
        <v>0.64299768518518519</v>
      </c>
      <c r="AF990" t="s">
        <v>70</v>
      </c>
    </row>
    <row r="991" spans="1:32">
      <c r="A991">
        <v>1023366</v>
      </c>
      <c r="B991" t="s">
        <v>75</v>
      </c>
      <c r="C991" t="s">
        <v>62</v>
      </c>
      <c r="D991">
        <v>46140</v>
      </c>
      <c r="E991">
        <v>46140</v>
      </c>
      <c r="G991">
        <v>375</v>
      </c>
      <c r="H991" t="s">
        <v>63</v>
      </c>
      <c r="I991">
        <v>9146</v>
      </c>
      <c r="J991">
        <v>523508</v>
      </c>
      <c r="L991" t="s">
        <v>1361</v>
      </c>
      <c r="M991" t="s">
        <v>65</v>
      </c>
      <c r="N991" t="s">
        <v>66</v>
      </c>
      <c r="O991" s="2">
        <v>46140</v>
      </c>
      <c r="P991" s="1">
        <v>69</v>
      </c>
      <c r="Q991" t="s">
        <v>67</v>
      </c>
      <c r="R991">
        <v>1.99</v>
      </c>
      <c r="S991">
        <v>0.89</v>
      </c>
      <c r="T991">
        <v>0.16</v>
      </c>
      <c r="U991">
        <v>66.849999999999994</v>
      </c>
      <c r="V991" s="1">
        <v>0</v>
      </c>
      <c r="X991">
        <v>20260429</v>
      </c>
      <c r="Z991" t="s">
        <v>68</v>
      </c>
      <c r="AA991">
        <v>3974527</v>
      </c>
      <c r="AB991" t="s">
        <v>79</v>
      </c>
      <c r="AE991">
        <v>0.65887731481481482</v>
      </c>
      <c r="AF991" t="s">
        <v>70</v>
      </c>
    </row>
    <row r="992" spans="1:32">
      <c r="A992">
        <v>1023366</v>
      </c>
      <c r="B992" t="s">
        <v>75</v>
      </c>
      <c r="C992" t="s">
        <v>62</v>
      </c>
      <c r="D992">
        <v>46140</v>
      </c>
      <c r="E992">
        <v>46140</v>
      </c>
      <c r="G992">
        <v>375</v>
      </c>
      <c r="H992" t="s">
        <v>63</v>
      </c>
      <c r="I992">
        <v>9148</v>
      </c>
      <c r="J992">
        <v>947262</v>
      </c>
      <c r="L992" t="s">
        <v>1061</v>
      </c>
      <c r="M992" t="s">
        <v>65</v>
      </c>
      <c r="N992" t="s">
        <v>66</v>
      </c>
      <c r="O992" s="2">
        <v>46140</v>
      </c>
      <c r="P992" s="1">
        <v>1899</v>
      </c>
      <c r="Q992" t="s">
        <v>67</v>
      </c>
      <c r="R992">
        <v>54.88</v>
      </c>
      <c r="S992">
        <v>15</v>
      </c>
      <c r="T992">
        <v>2.7</v>
      </c>
      <c r="U992">
        <v>1841.42</v>
      </c>
      <c r="V992" s="1">
        <v>0</v>
      </c>
      <c r="X992">
        <v>20260429</v>
      </c>
      <c r="Z992" t="s">
        <v>68</v>
      </c>
      <c r="AA992">
        <v>3974527</v>
      </c>
      <c r="AB992" t="s">
        <v>77</v>
      </c>
      <c r="AE992">
        <v>0.6804513888888889</v>
      </c>
      <c r="AF992" t="s">
        <v>70</v>
      </c>
    </row>
    <row r="993" spans="1:32">
      <c r="A993">
        <v>1023366</v>
      </c>
      <c r="B993" t="s">
        <v>75</v>
      </c>
      <c r="C993" t="s">
        <v>62</v>
      </c>
      <c r="D993">
        <v>46140</v>
      </c>
      <c r="E993">
        <v>46140</v>
      </c>
      <c r="G993">
        <v>375</v>
      </c>
      <c r="H993" t="s">
        <v>63</v>
      </c>
      <c r="I993">
        <v>9150</v>
      </c>
      <c r="J993">
        <v>301206</v>
      </c>
      <c r="L993" t="s">
        <v>1362</v>
      </c>
      <c r="M993" t="s">
        <v>65</v>
      </c>
      <c r="N993" t="s">
        <v>66</v>
      </c>
      <c r="O993" s="2">
        <v>46140</v>
      </c>
      <c r="P993" s="1">
        <v>189</v>
      </c>
      <c r="Q993" t="s">
        <v>67</v>
      </c>
      <c r="R993">
        <v>5.46</v>
      </c>
      <c r="S993">
        <v>2.44</v>
      </c>
      <c r="T993">
        <v>0.44</v>
      </c>
      <c r="U993">
        <v>183.1</v>
      </c>
      <c r="V993" s="1">
        <v>0</v>
      </c>
      <c r="X993">
        <v>20260429</v>
      </c>
      <c r="Z993" t="s">
        <v>68</v>
      </c>
      <c r="AA993">
        <v>3974527</v>
      </c>
      <c r="AB993" t="s">
        <v>93</v>
      </c>
      <c r="AE993">
        <v>0.68212962962962964</v>
      </c>
      <c r="AF993" t="s">
        <v>70</v>
      </c>
    </row>
    <row r="994" spans="1:32">
      <c r="A994">
        <v>1023366</v>
      </c>
      <c r="B994" t="s">
        <v>75</v>
      </c>
      <c r="C994" t="s">
        <v>62</v>
      </c>
      <c r="D994">
        <v>46140</v>
      </c>
      <c r="E994">
        <v>46140</v>
      </c>
      <c r="G994">
        <v>375</v>
      </c>
      <c r="H994" t="s">
        <v>63</v>
      </c>
      <c r="I994">
        <v>9152</v>
      </c>
      <c r="J994">
        <v>87252</v>
      </c>
      <c r="L994" t="s">
        <v>1363</v>
      </c>
      <c r="M994" t="s">
        <v>65</v>
      </c>
      <c r="N994" t="s">
        <v>66</v>
      </c>
      <c r="O994" s="2">
        <v>46140</v>
      </c>
      <c r="P994" s="1">
        <v>178</v>
      </c>
      <c r="Q994" t="s">
        <v>67</v>
      </c>
      <c r="R994">
        <v>5.14</v>
      </c>
      <c r="S994">
        <v>2.29</v>
      </c>
      <c r="T994">
        <v>0.41</v>
      </c>
      <c r="U994">
        <v>172.45</v>
      </c>
      <c r="V994" s="1">
        <v>0</v>
      </c>
      <c r="X994">
        <v>20260429</v>
      </c>
      <c r="Z994" t="s">
        <v>68</v>
      </c>
      <c r="AA994">
        <v>3974527</v>
      </c>
      <c r="AB994" t="s">
        <v>84</v>
      </c>
      <c r="AE994">
        <v>0.74192129629629633</v>
      </c>
      <c r="AF994" t="s">
        <v>70</v>
      </c>
    </row>
    <row r="995" spans="1:32">
      <c r="A995">
        <v>1023366</v>
      </c>
      <c r="B995" t="s">
        <v>75</v>
      </c>
      <c r="C995" t="s">
        <v>62</v>
      </c>
      <c r="D995">
        <v>46140</v>
      </c>
      <c r="E995">
        <v>46140</v>
      </c>
      <c r="G995">
        <v>375</v>
      </c>
      <c r="H995" t="s">
        <v>63</v>
      </c>
      <c r="I995">
        <v>9154</v>
      </c>
      <c r="J995">
        <v>100131</v>
      </c>
      <c r="L995" t="s">
        <v>1364</v>
      </c>
      <c r="M995" t="s">
        <v>65</v>
      </c>
      <c r="N995" t="s">
        <v>66</v>
      </c>
      <c r="O995" s="2">
        <v>46140</v>
      </c>
      <c r="P995" s="1">
        <v>52.9</v>
      </c>
      <c r="Q995" t="s">
        <v>67</v>
      </c>
      <c r="R995">
        <v>1.53</v>
      </c>
      <c r="S995">
        <v>0.68</v>
      </c>
      <c r="T995">
        <v>0.12</v>
      </c>
      <c r="U995">
        <v>51.25</v>
      </c>
      <c r="V995" s="1">
        <v>0</v>
      </c>
      <c r="X995">
        <v>20260429</v>
      </c>
      <c r="Z995" t="s">
        <v>68</v>
      </c>
      <c r="AA995">
        <v>3974527</v>
      </c>
      <c r="AB995" t="s">
        <v>84</v>
      </c>
      <c r="AE995">
        <v>0.79159722222222217</v>
      </c>
      <c r="AF995" t="s">
        <v>70</v>
      </c>
    </row>
    <row r="996" spans="1:32">
      <c r="A996">
        <v>1023366</v>
      </c>
      <c r="B996" t="s">
        <v>75</v>
      </c>
      <c r="C996" t="s">
        <v>62</v>
      </c>
      <c r="D996">
        <v>46140</v>
      </c>
      <c r="E996">
        <v>46140</v>
      </c>
      <c r="G996">
        <v>375</v>
      </c>
      <c r="H996">
        <v>65656565</v>
      </c>
      <c r="I996">
        <v>9156</v>
      </c>
      <c r="J996">
        <v>54149</v>
      </c>
      <c r="L996" t="s">
        <v>1365</v>
      </c>
      <c r="M996" t="s">
        <v>65</v>
      </c>
      <c r="N996" t="s">
        <v>66</v>
      </c>
      <c r="O996" s="2">
        <v>46140</v>
      </c>
      <c r="P996" s="1">
        <v>1899</v>
      </c>
      <c r="Q996" t="s">
        <v>67</v>
      </c>
      <c r="R996">
        <v>54.88</v>
      </c>
      <c r="S996">
        <v>11.2</v>
      </c>
      <c r="T996">
        <v>2.02</v>
      </c>
      <c r="U996">
        <v>1842.1</v>
      </c>
      <c r="V996" s="1">
        <v>0</v>
      </c>
      <c r="X996">
        <v>20260429</v>
      </c>
      <c r="Z996" t="s">
        <v>72</v>
      </c>
      <c r="AA996">
        <v>3974527</v>
      </c>
      <c r="AB996" t="s">
        <v>77</v>
      </c>
      <c r="AD996" t="s">
        <v>298</v>
      </c>
      <c r="AE996">
        <v>0.7955092592592593</v>
      </c>
      <c r="AF996" t="s">
        <v>70</v>
      </c>
    </row>
    <row r="997" spans="1:32">
      <c r="A997">
        <v>1023366</v>
      </c>
      <c r="B997" t="s">
        <v>75</v>
      </c>
      <c r="C997" t="s">
        <v>62</v>
      </c>
      <c r="D997">
        <v>46140</v>
      </c>
      <c r="E997">
        <v>46140</v>
      </c>
      <c r="G997">
        <v>375</v>
      </c>
      <c r="H997" t="s">
        <v>63</v>
      </c>
      <c r="I997">
        <v>9159</v>
      </c>
      <c r="J997">
        <v>632778</v>
      </c>
      <c r="L997" t="s">
        <v>1366</v>
      </c>
      <c r="M997" t="s">
        <v>65</v>
      </c>
      <c r="N997" t="s">
        <v>66</v>
      </c>
      <c r="O997" s="2">
        <v>46140</v>
      </c>
      <c r="P997" s="1">
        <v>55</v>
      </c>
      <c r="Q997" t="s">
        <v>67</v>
      </c>
      <c r="R997">
        <v>1.59</v>
      </c>
      <c r="S997">
        <v>0.71</v>
      </c>
      <c r="T997">
        <v>0.13</v>
      </c>
      <c r="U997">
        <v>53.28</v>
      </c>
      <c r="V997" s="1">
        <v>0</v>
      </c>
      <c r="X997">
        <v>20260429</v>
      </c>
      <c r="Z997" t="s">
        <v>68</v>
      </c>
      <c r="AA997">
        <v>3974527</v>
      </c>
      <c r="AB997" t="s">
        <v>79</v>
      </c>
      <c r="AE997">
        <v>0.80924768518518519</v>
      </c>
      <c r="AF997" t="s">
        <v>70</v>
      </c>
    </row>
    <row r="998" spans="1:32">
      <c r="A998">
        <v>1023366</v>
      </c>
      <c r="B998" t="s">
        <v>75</v>
      </c>
      <c r="C998" t="s">
        <v>62</v>
      </c>
      <c r="D998">
        <v>46140</v>
      </c>
      <c r="E998">
        <v>46140</v>
      </c>
      <c r="G998">
        <v>375</v>
      </c>
      <c r="H998" t="s">
        <v>63</v>
      </c>
      <c r="I998">
        <v>9161</v>
      </c>
      <c r="J998">
        <v>1855</v>
      </c>
      <c r="L998" t="s">
        <v>1367</v>
      </c>
      <c r="M998" t="s">
        <v>65</v>
      </c>
      <c r="N998" t="s">
        <v>66</v>
      </c>
      <c r="O998" s="2">
        <v>46140</v>
      </c>
      <c r="P998" s="1">
        <v>149</v>
      </c>
      <c r="Q998" t="s">
        <v>67</v>
      </c>
      <c r="R998">
        <v>4.3099999999999996</v>
      </c>
      <c r="S998">
        <v>1.18</v>
      </c>
      <c r="T998">
        <v>0.21</v>
      </c>
      <c r="U998">
        <v>144.47999999999999</v>
      </c>
      <c r="V998" s="1">
        <v>0</v>
      </c>
      <c r="X998">
        <v>20260429</v>
      </c>
      <c r="Z998" t="s">
        <v>72</v>
      </c>
      <c r="AA998">
        <v>3974527</v>
      </c>
      <c r="AB998" t="s">
        <v>79</v>
      </c>
      <c r="AE998">
        <v>0.81111111111111112</v>
      </c>
      <c r="AF998" t="s">
        <v>70</v>
      </c>
    </row>
    <row r="999" spans="1:32">
      <c r="A999">
        <v>1023366</v>
      </c>
      <c r="B999" t="s">
        <v>75</v>
      </c>
      <c r="C999" t="s">
        <v>62</v>
      </c>
      <c r="D999">
        <v>46140</v>
      </c>
      <c r="E999">
        <v>46140</v>
      </c>
      <c r="G999">
        <v>375</v>
      </c>
      <c r="H999" t="s">
        <v>63</v>
      </c>
      <c r="I999">
        <v>9164</v>
      </c>
      <c r="J999">
        <v>3903</v>
      </c>
      <c r="L999" t="s">
        <v>1368</v>
      </c>
      <c r="M999" t="s">
        <v>65</v>
      </c>
      <c r="N999" t="s">
        <v>66</v>
      </c>
      <c r="O999" s="2">
        <v>46140</v>
      </c>
      <c r="P999" s="1">
        <v>79</v>
      </c>
      <c r="Q999" t="s">
        <v>67</v>
      </c>
      <c r="R999">
        <v>2.2799999999999998</v>
      </c>
      <c r="S999">
        <v>0.62</v>
      </c>
      <c r="T999">
        <v>0.11</v>
      </c>
      <c r="U999">
        <v>76.61</v>
      </c>
      <c r="V999" s="1">
        <v>0</v>
      </c>
      <c r="X999">
        <v>20260429</v>
      </c>
      <c r="Z999" t="s">
        <v>72</v>
      </c>
      <c r="AA999">
        <v>3974527</v>
      </c>
      <c r="AB999" t="s">
        <v>81</v>
      </c>
      <c r="AE999">
        <v>0.81768518518518518</v>
      </c>
      <c r="AF999" t="s">
        <v>70</v>
      </c>
    </row>
    <row r="1000" spans="1:32">
      <c r="A1000">
        <v>1023366</v>
      </c>
      <c r="B1000" t="s">
        <v>75</v>
      </c>
      <c r="C1000" t="s">
        <v>62</v>
      </c>
      <c r="D1000">
        <v>46140</v>
      </c>
      <c r="E1000">
        <v>46140</v>
      </c>
      <c r="G1000">
        <v>375</v>
      </c>
      <c r="H1000" t="s">
        <v>63</v>
      </c>
      <c r="I1000">
        <v>9166</v>
      </c>
      <c r="J1000">
        <v>550615</v>
      </c>
      <c r="L1000" t="s">
        <v>1369</v>
      </c>
      <c r="M1000" t="s">
        <v>65</v>
      </c>
      <c r="N1000" t="s">
        <v>66</v>
      </c>
      <c r="O1000" s="2">
        <v>46140</v>
      </c>
      <c r="P1000" s="1">
        <v>89</v>
      </c>
      <c r="Q1000" t="s">
        <v>67</v>
      </c>
      <c r="R1000">
        <v>2.57</v>
      </c>
      <c r="S1000">
        <v>1.1499999999999999</v>
      </c>
      <c r="T1000">
        <v>0.21</v>
      </c>
      <c r="U1000">
        <v>86.22</v>
      </c>
      <c r="V1000" s="1">
        <v>0</v>
      </c>
      <c r="X1000">
        <v>20260429</v>
      </c>
      <c r="Z1000" t="s">
        <v>68</v>
      </c>
      <c r="AA1000">
        <v>3974527</v>
      </c>
      <c r="AB1000" t="s">
        <v>77</v>
      </c>
      <c r="AE1000">
        <v>0.8271412037037037</v>
      </c>
      <c r="AF1000" t="s">
        <v>70</v>
      </c>
    </row>
    <row r="1001" spans="1:32">
      <c r="A1001">
        <v>1023366</v>
      </c>
      <c r="B1001" t="s">
        <v>75</v>
      </c>
      <c r="C1001" t="s">
        <v>62</v>
      </c>
      <c r="D1001">
        <v>46140</v>
      </c>
      <c r="E1001">
        <v>46140</v>
      </c>
      <c r="G1001">
        <v>375</v>
      </c>
      <c r="H1001" t="s">
        <v>63</v>
      </c>
      <c r="I1001">
        <v>9168</v>
      </c>
      <c r="J1001">
        <v>48996</v>
      </c>
      <c r="L1001" t="s">
        <v>1370</v>
      </c>
      <c r="M1001" t="s">
        <v>65</v>
      </c>
      <c r="N1001" t="s">
        <v>66</v>
      </c>
      <c r="O1001" s="2">
        <v>46140</v>
      </c>
      <c r="P1001" s="1">
        <v>69</v>
      </c>
      <c r="Q1001" t="s">
        <v>67</v>
      </c>
      <c r="R1001">
        <v>1.99</v>
      </c>
      <c r="S1001">
        <v>0.89</v>
      </c>
      <c r="T1001">
        <v>0.16</v>
      </c>
      <c r="U1001">
        <v>66.849999999999994</v>
      </c>
      <c r="V1001" s="1">
        <v>0</v>
      </c>
      <c r="X1001">
        <v>20260429</v>
      </c>
      <c r="Z1001" t="s">
        <v>68</v>
      </c>
      <c r="AA1001">
        <v>3974527</v>
      </c>
      <c r="AB1001" t="s">
        <v>79</v>
      </c>
      <c r="AE1001">
        <v>0.83408564814814812</v>
      </c>
      <c r="AF1001" t="s">
        <v>70</v>
      </c>
    </row>
    <row r="1002" spans="1:32">
      <c r="A1002">
        <v>1023366</v>
      </c>
      <c r="B1002" t="s">
        <v>75</v>
      </c>
      <c r="C1002" t="s">
        <v>62</v>
      </c>
      <c r="D1002">
        <v>46140</v>
      </c>
      <c r="E1002">
        <v>46140</v>
      </c>
      <c r="G1002">
        <v>375</v>
      </c>
      <c r="H1002" t="s">
        <v>63</v>
      </c>
      <c r="I1002">
        <v>9171</v>
      </c>
      <c r="J1002" t="s">
        <v>1371</v>
      </c>
      <c r="L1002" t="s">
        <v>1372</v>
      </c>
      <c r="M1002" t="s">
        <v>65</v>
      </c>
      <c r="N1002" t="s">
        <v>66</v>
      </c>
      <c r="O1002" s="2">
        <v>46140</v>
      </c>
      <c r="P1002" s="1">
        <v>1899</v>
      </c>
      <c r="Q1002" t="s">
        <v>67</v>
      </c>
      <c r="R1002">
        <v>54.88</v>
      </c>
      <c r="S1002">
        <v>15</v>
      </c>
      <c r="T1002">
        <v>2.7</v>
      </c>
      <c r="U1002">
        <v>1841.42</v>
      </c>
      <c r="V1002" s="1">
        <v>0</v>
      </c>
      <c r="X1002">
        <v>20260429</v>
      </c>
      <c r="Z1002" t="s">
        <v>72</v>
      </c>
      <c r="AA1002">
        <v>3974527</v>
      </c>
      <c r="AB1002" t="s">
        <v>81</v>
      </c>
      <c r="AE1002">
        <v>0.86099537037037033</v>
      </c>
      <c r="AF1002" t="s">
        <v>70</v>
      </c>
    </row>
    <row r="1003" spans="1:32">
      <c r="A1003">
        <v>1023366</v>
      </c>
      <c r="B1003" t="s">
        <v>75</v>
      </c>
      <c r="C1003" t="s">
        <v>62</v>
      </c>
      <c r="D1003">
        <v>46140</v>
      </c>
      <c r="E1003">
        <v>46140</v>
      </c>
      <c r="G1003">
        <v>375</v>
      </c>
      <c r="H1003">
        <v>65656565</v>
      </c>
      <c r="I1003">
        <v>9173</v>
      </c>
      <c r="J1003">
        <v>154877</v>
      </c>
      <c r="L1003" t="s">
        <v>1373</v>
      </c>
      <c r="M1003" t="s">
        <v>65</v>
      </c>
      <c r="N1003" t="s">
        <v>66</v>
      </c>
      <c r="O1003" s="2">
        <v>46140</v>
      </c>
      <c r="P1003" s="1">
        <v>49</v>
      </c>
      <c r="Q1003" t="s">
        <v>67</v>
      </c>
      <c r="R1003">
        <v>1.41</v>
      </c>
      <c r="S1003">
        <v>0.63</v>
      </c>
      <c r="T1003">
        <v>0.11</v>
      </c>
      <c r="U1003">
        <v>47.48</v>
      </c>
      <c r="V1003" s="1">
        <v>11552.25</v>
      </c>
      <c r="W1003">
        <v>46141</v>
      </c>
      <c r="X1003">
        <v>20260429</v>
      </c>
      <c r="Z1003" t="s">
        <v>68</v>
      </c>
      <c r="AA1003">
        <v>3974527</v>
      </c>
      <c r="AB1003" t="s">
        <v>79</v>
      </c>
      <c r="AD1003" t="s">
        <v>88</v>
      </c>
      <c r="AE1003">
        <v>0.87554398148148149</v>
      </c>
      <c r="AF1003" t="s">
        <v>70</v>
      </c>
    </row>
    <row r="1004" spans="1:32">
      <c r="A1004">
        <v>1023366</v>
      </c>
      <c r="B1004" t="s">
        <v>61</v>
      </c>
      <c r="C1004" t="s">
        <v>62</v>
      </c>
      <c r="D1004">
        <v>46141</v>
      </c>
      <c r="E1004">
        <v>46141</v>
      </c>
      <c r="G1004">
        <v>376</v>
      </c>
      <c r="H1004" t="s">
        <v>63</v>
      </c>
      <c r="I1004">
        <v>9228</v>
      </c>
      <c r="J1004">
        <v>224048</v>
      </c>
      <c r="L1004" t="s">
        <v>1374</v>
      </c>
      <c r="M1004" t="s">
        <v>96</v>
      </c>
      <c r="N1004" t="s">
        <v>66</v>
      </c>
      <c r="O1004" s="2">
        <v>46141</v>
      </c>
      <c r="P1004" s="1">
        <v>29.8</v>
      </c>
      <c r="Q1004" t="s">
        <v>67</v>
      </c>
      <c r="R1004">
        <v>1.1599999999999999</v>
      </c>
      <c r="S1004">
        <v>0.68</v>
      </c>
      <c r="T1004">
        <v>0.12</v>
      </c>
      <c r="U1004">
        <v>28.52</v>
      </c>
      <c r="V1004" s="1">
        <v>0</v>
      </c>
      <c r="X1004">
        <v>20260430</v>
      </c>
      <c r="Z1004" t="s">
        <v>68</v>
      </c>
      <c r="AA1004">
        <v>3974527</v>
      </c>
      <c r="AB1004" t="s">
        <v>234</v>
      </c>
      <c r="AE1004">
        <v>0.67607638888888888</v>
      </c>
      <c r="AF1004" t="s">
        <v>70</v>
      </c>
    </row>
    <row r="1005" spans="1:32">
      <c r="A1005">
        <v>1023366</v>
      </c>
      <c r="B1005" t="s">
        <v>61</v>
      </c>
      <c r="C1005" t="s">
        <v>62</v>
      </c>
      <c r="D1005">
        <v>46141</v>
      </c>
      <c r="E1005">
        <v>46141</v>
      </c>
      <c r="G1005">
        <v>376</v>
      </c>
      <c r="H1005" t="s">
        <v>63</v>
      </c>
      <c r="I1005">
        <v>9230</v>
      </c>
      <c r="J1005">
        <v>224272</v>
      </c>
      <c r="L1005" t="s">
        <v>1375</v>
      </c>
      <c r="M1005" t="s">
        <v>96</v>
      </c>
      <c r="N1005" t="s">
        <v>66</v>
      </c>
      <c r="O1005" s="2">
        <v>46141</v>
      </c>
      <c r="P1005" s="1">
        <v>14.9</v>
      </c>
      <c r="Q1005" t="s">
        <v>67</v>
      </c>
      <c r="R1005">
        <v>0.57999999999999996</v>
      </c>
      <c r="S1005">
        <v>0.34</v>
      </c>
      <c r="T1005">
        <v>0.06</v>
      </c>
      <c r="U1005">
        <v>14.26</v>
      </c>
      <c r="V1005" s="1">
        <v>0</v>
      </c>
      <c r="X1005">
        <v>20260430</v>
      </c>
      <c r="Z1005" t="s">
        <v>68</v>
      </c>
      <c r="AA1005">
        <v>3974527</v>
      </c>
      <c r="AB1005" t="s">
        <v>234</v>
      </c>
      <c r="AE1005">
        <v>0.67719907407407409</v>
      </c>
      <c r="AF1005" t="s">
        <v>70</v>
      </c>
    </row>
    <row r="1006" spans="1:32">
      <c r="A1006">
        <v>1023366</v>
      </c>
      <c r="B1006" t="s">
        <v>61</v>
      </c>
      <c r="C1006" t="s">
        <v>62</v>
      </c>
      <c r="D1006">
        <v>46141</v>
      </c>
      <c r="E1006">
        <v>46141</v>
      </c>
      <c r="G1006">
        <v>376</v>
      </c>
      <c r="H1006" t="s">
        <v>63</v>
      </c>
      <c r="I1006">
        <v>9249</v>
      </c>
      <c r="J1006">
        <v>174650</v>
      </c>
      <c r="L1006" t="s">
        <v>1376</v>
      </c>
      <c r="M1006" t="s">
        <v>96</v>
      </c>
      <c r="N1006" t="s">
        <v>66</v>
      </c>
      <c r="O1006" s="2">
        <v>46141</v>
      </c>
      <c r="P1006" s="1">
        <v>687</v>
      </c>
      <c r="Q1006" t="s">
        <v>67</v>
      </c>
      <c r="R1006">
        <v>26.79</v>
      </c>
      <c r="S1006">
        <v>15.8</v>
      </c>
      <c r="T1006">
        <v>2.84</v>
      </c>
      <c r="U1006">
        <v>657.37</v>
      </c>
      <c r="V1006" s="1">
        <v>0</v>
      </c>
      <c r="X1006">
        <v>20260430</v>
      </c>
      <c r="Z1006" t="s">
        <v>68</v>
      </c>
      <c r="AA1006">
        <v>3974527</v>
      </c>
      <c r="AB1006" t="s">
        <v>234</v>
      </c>
      <c r="AE1006">
        <v>0.73998842592592595</v>
      </c>
      <c r="AF1006" t="s">
        <v>70</v>
      </c>
    </row>
    <row r="1007" spans="1:32">
      <c r="A1007">
        <v>1023366</v>
      </c>
      <c r="B1007" t="s">
        <v>61</v>
      </c>
      <c r="C1007" t="s">
        <v>62</v>
      </c>
      <c r="D1007">
        <v>46141</v>
      </c>
      <c r="E1007">
        <v>46141</v>
      </c>
      <c r="G1007">
        <v>376</v>
      </c>
      <c r="H1007" t="s">
        <v>63</v>
      </c>
      <c r="I1007">
        <v>9267</v>
      </c>
      <c r="J1007" t="s">
        <v>1377</v>
      </c>
      <c r="L1007" t="s">
        <v>1378</v>
      </c>
      <c r="M1007" t="s">
        <v>96</v>
      </c>
      <c r="N1007" t="s">
        <v>66</v>
      </c>
      <c r="O1007" s="2">
        <v>46141</v>
      </c>
      <c r="P1007" s="1">
        <v>149</v>
      </c>
      <c r="Q1007" t="s">
        <v>67</v>
      </c>
      <c r="R1007">
        <v>5.81</v>
      </c>
      <c r="S1007">
        <v>2.86</v>
      </c>
      <c r="T1007">
        <v>0.51</v>
      </c>
      <c r="U1007">
        <v>142.68</v>
      </c>
      <c r="V1007" s="1">
        <v>0</v>
      </c>
      <c r="X1007">
        <v>20260430</v>
      </c>
      <c r="Z1007" t="s">
        <v>68</v>
      </c>
      <c r="AA1007">
        <v>3974527</v>
      </c>
      <c r="AB1007" t="s">
        <v>234</v>
      </c>
      <c r="AE1007">
        <v>0.82041666666666668</v>
      </c>
      <c r="AF1007" t="s">
        <v>70</v>
      </c>
    </row>
    <row r="1008" spans="1:32">
      <c r="A1008">
        <v>1023366</v>
      </c>
      <c r="B1008" t="s">
        <v>61</v>
      </c>
      <c r="C1008" t="s">
        <v>62</v>
      </c>
      <c r="D1008">
        <v>46141</v>
      </c>
      <c r="E1008">
        <v>46141</v>
      </c>
      <c r="G1008">
        <v>376</v>
      </c>
      <c r="H1008" t="s">
        <v>63</v>
      </c>
      <c r="I1008">
        <v>9270</v>
      </c>
      <c r="J1008">
        <v>195253</v>
      </c>
      <c r="L1008" t="s">
        <v>1379</v>
      </c>
      <c r="M1008" t="s">
        <v>96</v>
      </c>
      <c r="N1008" t="s">
        <v>66</v>
      </c>
      <c r="O1008" s="2">
        <v>46141</v>
      </c>
      <c r="P1008" s="1">
        <v>123.9</v>
      </c>
      <c r="Q1008" t="s">
        <v>67</v>
      </c>
      <c r="R1008">
        <v>4.83</v>
      </c>
      <c r="S1008">
        <v>2.85</v>
      </c>
      <c r="T1008">
        <v>0.51</v>
      </c>
      <c r="U1008">
        <v>118.56</v>
      </c>
      <c r="V1008" s="1">
        <v>961.39</v>
      </c>
      <c r="W1008">
        <v>46142</v>
      </c>
      <c r="X1008">
        <v>20260430</v>
      </c>
      <c r="Z1008" t="s">
        <v>68</v>
      </c>
      <c r="AA1008">
        <v>3974527</v>
      </c>
      <c r="AB1008" t="s">
        <v>234</v>
      </c>
      <c r="AE1008">
        <v>0.82837962962962963</v>
      </c>
      <c r="AF1008" t="s">
        <v>70</v>
      </c>
    </row>
    <row r="1009" spans="1:32">
      <c r="A1009">
        <v>1023366</v>
      </c>
      <c r="B1009" t="s">
        <v>75</v>
      </c>
      <c r="C1009" t="s">
        <v>62</v>
      </c>
      <c r="D1009">
        <v>46141</v>
      </c>
      <c r="E1009">
        <v>46141</v>
      </c>
      <c r="G1009">
        <v>672</v>
      </c>
      <c r="H1009" t="s">
        <v>720</v>
      </c>
      <c r="I1009">
        <v>9237</v>
      </c>
      <c r="J1009">
        <v>925930</v>
      </c>
      <c r="L1009" t="s">
        <v>1380</v>
      </c>
      <c r="M1009" t="s">
        <v>65</v>
      </c>
      <c r="N1009" t="s">
        <v>66</v>
      </c>
      <c r="O1009" s="2">
        <v>46141</v>
      </c>
      <c r="P1009" s="1">
        <v>2099</v>
      </c>
      <c r="Q1009" t="s">
        <v>67</v>
      </c>
      <c r="R1009">
        <v>60.66</v>
      </c>
      <c r="S1009">
        <v>16.579999999999998</v>
      </c>
      <c r="T1009">
        <v>2.98</v>
      </c>
      <c r="U1009">
        <v>2035.36</v>
      </c>
      <c r="V1009" s="1">
        <v>0</v>
      </c>
      <c r="X1009">
        <v>20260430</v>
      </c>
      <c r="Z1009" t="s">
        <v>68</v>
      </c>
      <c r="AA1009" t="s">
        <v>350</v>
      </c>
      <c r="AB1009" t="s">
        <v>79</v>
      </c>
      <c r="AE1009">
        <v>0.67880787037037038</v>
      </c>
      <c r="AF1009" t="s">
        <v>70</v>
      </c>
    </row>
    <row r="1010" spans="1:32">
      <c r="A1010">
        <v>1023366</v>
      </c>
      <c r="B1010" t="s">
        <v>75</v>
      </c>
      <c r="C1010" t="s">
        <v>62</v>
      </c>
      <c r="D1010">
        <v>46141</v>
      </c>
      <c r="E1010">
        <v>46141</v>
      </c>
      <c r="G1010">
        <v>376</v>
      </c>
      <c r="H1010" t="s">
        <v>63</v>
      </c>
      <c r="I1010">
        <v>9189</v>
      </c>
      <c r="J1010">
        <v>306498</v>
      </c>
      <c r="L1010" t="s">
        <v>1381</v>
      </c>
      <c r="M1010" t="s">
        <v>65</v>
      </c>
      <c r="N1010" t="s">
        <v>66</v>
      </c>
      <c r="O1010" s="2">
        <v>46141</v>
      </c>
      <c r="P1010" s="1">
        <v>229</v>
      </c>
      <c r="Q1010" t="s">
        <v>67</v>
      </c>
      <c r="R1010">
        <v>6.62</v>
      </c>
      <c r="S1010">
        <v>2.96</v>
      </c>
      <c r="T1010">
        <v>0.53</v>
      </c>
      <c r="U1010">
        <v>221.85</v>
      </c>
      <c r="V1010" s="1">
        <v>0</v>
      </c>
      <c r="X1010">
        <v>20260430</v>
      </c>
      <c r="Z1010" t="s">
        <v>68</v>
      </c>
      <c r="AA1010">
        <v>3974527</v>
      </c>
      <c r="AB1010" t="s">
        <v>79</v>
      </c>
      <c r="AE1010">
        <v>0.41958333333333331</v>
      </c>
      <c r="AF1010" t="s">
        <v>70</v>
      </c>
    </row>
    <row r="1011" spans="1:32">
      <c r="A1011">
        <v>1023366</v>
      </c>
      <c r="B1011" t="s">
        <v>75</v>
      </c>
      <c r="C1011" t="s">
        <v>62</v>
      </c>
      <c r="D1011">
        <v>46141</v>
      </c>
      <c r="E1011">
        <v>46141</v>
      </c>
      <c r="G1011">
        <v>376</v>
      </c>
      <c r="H1011" t="s">
        <v>63</v>
      </c>
      <c r="I1011">
        <v>9191</v>
      </c>
      <c r="J1011">
        <v>44481</v>
      </c>
      <c r="L1011" t="s">
        <v>1382</v>
      </c>
      <c r="M1011" t="s">
        <v>65</v>
      </c>
      <c r="N1011" t="s">
        <v>66</v>
      </c>
      <c r="O1011" s="2">
        <v>46141</v>
      </c>
      <c r="P1011" s="1">
        <v>19.899999999999999</v>
      </c>
      <c r="Q1011" t="s">
        <v>67</v>
      </c>
      <c r="R1011">
        <v>0.57999999999999996</v>
      </c>
      <c r="S1011">
        <v>0.12</v>
      </c>
      <c r="T1011">
        <v>0.02</v>
      </c>
      <c r="U1011">
        <v>19.3</v>
      </c>
      <c r="V1011" s="1">
        <v>0</v>
      </c>
      <c r="X1011">
        <v>20260430</v>
      </c>
      <c r="Z1011" t="s">
        <v>72</v>
      </c>
      <c r="AA1011">
        <v>3974527</v>
      </c>
      <c r="AB1011" t="s">
        <v>84</v>
      </c>
      <c r="AE1011">
        <v>0.45914351851851853</v>
      </c>
      <c r="AF1011" t="s">
        <v>70</v>
      </c>
    </row>
    <row r="1012" spans="1:32">
      <c r="A1012">
        <v>1023366</v>
      </c>
      <c r="B1012" t="s">
        <v>75</v>
      </c>
      <c r="C1012" t="s">
        <v>62</v>
      </c>
      <c r="D1012">
        <v>46141</v>
      </c>
      <c r="E1012">
        <v>46141</v>
      </c>
      <c r="G1012">
        <v>376</v>
      </c>
      <c r="H1012" t="s">
        <v>63</v>
      </c>
      <c r="I1012">
        <v>9193</v>
      </c>
      <c r="J1012">
        <v>598781</v>
      </c>
      <c r="L1012" t="s">
        <v>1383</v>
      </c>
      <c r="M1012" t="s">
        <v>65</v>
      </c>
      <c r="N1012" t="s">
        <v>66</v>
      </c>
      <c r="O1012" s="2">
        <v>46141</v>
      </c>
      <c r="P1012" s="1">
        <v>949</v>
      </c>
      <c r="Q1012" t="s">
        <v>67</v>
      </c>
      <c r="R1012">
        <v>27.43</v>
      </c>
      <c r="S1012">
        <v>5.6</v>
      </c>
      <c r="T1012">
        <v>1.01</v>
      </c>
      <c r="U1012">
        <v>920.56</v>
      </c>
      <c r="V1012" s="1">
        <v>0</v>
      </c>
      <c r="X1012">
        <v>20260430</v>
      </c>
      <c r="Z1012" t="s">
        <v>72</v>
      </c>
      <c r="AA1012">
        <v>3974527</v>
      </c>
      <c r="AB1012" t="s">
        <v>93</v>
      </c>
      <c r="AE1012">
        <v>0.4962037037037037</v>
      </c>
      <c r="AF1012" t="s">
        <v>70</v>
      </c>
    </row>
    <row r="1013" spans="1:32">
      <c r="A1013">
        <v>1023366</v>
      </c>
      <c r="B1013" t="s">
        <v>75</v>
      </c>
      <c r="C1013" t="s">
        <v>62</v>
      </c>
      <c r="D1013">
        <v>46141</v>
      </c>
      <c r="E1013">
        <v>46141</v>
      </c>
      <c r="G1013">
        <v>376</v>
      </c>
      <c r="H1013" t="s">
        <v>63</v>
      </c>
      <c r="I1013">
        <v>9196</v>
      </c>
      <c r="J1013">
        <v>370955</v>
      </c>
      <c r="L1013" t="s">
        <v>1384</v>
      </c>
      <c r="M1013" t="s">
        <v>96</v>
      </c>
      <c r="N1013" t="s">
        <v>66</v>
      </c>
      <c r="O1013" s="2">
        <v>46141</v>
      </c>
      <c r="P1013" s="1">
        <v>69</v>
      </c>
      <c r="Q1013" t="s">
        <v>67</v>
      </c>
      <c r="R1013">
        <v>2.69</v>
      </c>
      <c r="S1013">
        <v>1.94</v>
      </c>
      <c r="T1013">
        <v>0.35</v>
      </c>
      <c r="U1013">
        <v>65.959999999999994</v>
      </c>
      <c r="V1013" s="1">
        <v>0</v>
      </c>
      <c r="X1013">
        <v>20260430</v>
      </c>
      <c r="Z1013" t="s">
        <v>68</v>
      </c>
      <c r="AA1013">
        <v>3974527</v>
      </c>
      <c r="AB1013" t="s">
        <v>97</v>
      </c>
      <c r="AE1013">
        <v>0.525787037037037</v>
      </c>
      <c r="AF1013" t="s">
        <v>70</v>
      </c>
    </row>
    <row r="1014" spans="1:32">
      <c r="A1014">
        <v>1023366</v>
      </c>
      <c r="B1014" t="s">
        <v>75</v>
      </c>
      <c r="C1014" t="s">
        <v>62</v>
      </c>
      <c r="D1014">
        <v>46141</v>
      </c>
      <c r="E1014">
        <v>46141</v>
      </c>
      <c r="G1014">
        <v>376</v>
      </c>
      <c r="H1014" t="s">
        <v>63</v>
      </c>
      <c r="I1014">
        <v>9198</v>
      </c>
      <c r="J1014">
        <v>895078</v>
      </c>
      <c r="L1014" t="s">
        <v>1385</v>
      </c>
      <c r="M1014" t="s">
        <v>65</v>
      </c>
      <c r="N1014" t="s">
        <v>66</v>
      </c>
      <c r="O1014" s="2">
        <v>46141</v>
      </c>
      <c r="P1014" s="1">
        <v>149</v>
      </c>
      <c r="Q1014" t="s">
        <v>67</v>
      </c>
      <c r="R1014">
        <v>4.3099999999999996</v>
      </c>
      <c r="S1014">
        <v>1.93</v>
      </c>
      <c r="T1014">
        <v>0.35</v>
      </c>
      <c r="U1014">
        <v>144.34</v>
      </c>
      <c r="V1014" s="1">
        <v>0</v>
      </c>
      <c r="X1014">
        <v>20260430</v>
      </c>
      <c r="Z1014" t="s">
        <v>68</v>
      </c>
      <c r="AA1014">
        <v>3974527</v>
      </c>
      <c r="AB1014" t="s">
        <v>79</v>
      </c>
      <c r="AE1014">
        <v>0.53729166666666661</v>
      </c>
      <c r="AF1014" t="s">
        <v>70</v>
      </c>
    </row>
    <row r="1015" spans="1:32">
      <c r="A1015">
        <v>1023366</v>
      </c>
      <c r="B1015" t="s">
        <v>75</v>
      </c>
      <c r="C1015" t="s">
        <v>62</v>
      </c>
      <c r="D1015">
        <v>46141</v>
      </c>
      <c r="E1015">
        <v>46141</v>
      </c>
      <c r="G1015">
        <v>376</v>
      </c>
      <c r="H1015" t="s">
        <v>63</v>
      </c>
      <c r="I1015">
        <v>9200</v>
      </c>
      <c r="J1015">
        <v>967094</v>
      </c>
      <c r="L1015" t="s">
        <v>1386</v>
      </c>
      <c r="M1015" t="s">
        <v>65</v>
      </c>
      <c r="N1015" t="s">
        <v>66</v>
      </c>
      <c r="O1015" s="2">
        <v>46141</v>
      </c>
      <c r="P1015" s="1">
        <v>55</v>
      </c>
      <c r="Q1015" t="s">
        <v>67</v>
      </c>
      <c r="R1015">
        <v>1.59</v>
      </c>
      <c r="S1015">
        <v>0.32</v>
      </c>
      <c r="T1015">
        <v>0.06</v>
      </c>
      <c r="U1015">
        <v>53.35</v>
      </c>
      <c r="V1015" s="1">
        <v>0</v>
      </c>
      <c r="X1015">
        <v>20260430</v>
      </c>
      <c r="Z1015" t="s">
        <v>72</v>
      </c>
      <c r="AA1015">
        <v>3974527</v>
      </c>
      <c r="AB1015" t="s">
        <v>106</v>
      </c>
      <c r="AE1015">
        <v>0.5408680555555555</v>
      </c>
      <c r="AF1015" t="s">
        <v>70</v>
      </c>
    </row>
    <row r="1016" spans="1:32">
      <c r="A1016">
        <v>1023366</v>
      </c>
      <c r="B1016" t="s">
        <v>75</v>
      </c>
      <c r="C1016" t="s">
        <v>62</v>
      </c>
      <c r="D1016">
        <v>46141</v>
      </c>
      <c r="E1016">
        <v>46141</v>
      </c>
      <c r="G1016">
        <v>376</v>
      </c>
      <c r="H1016" t="s">
        <v>63</v>
      </c>
      <c r="I1016">
        <v>9202</v>
      </c>
      <c r="J1016">
        <v>164521</v>
      </c>
      <c r="L1016" t="s">
        <v>1387</v>
      </c>
      <c r="M1016" t="s">
        <v>65</v>
      </c>
      <c r="N1016" t="s">
        <v>66</v>
      </c>
      <c r="O1016" s="2">
        <v>46141</v>
      </c>
      <c r="P1016" s="1">
        <v>1898</v>
      </c>
      <c r="Q1016" t="s">
        <v>67</v>
      </c>
      <c r="R1016">
        <v>54.85</v>
      </c>
      <c r="S1016">
        <v>24.48</v>
      </c>
      <c r="T1016">
        <v>4.41</v>
      </c>
      <c r="U1016">
        <v>1838.74</v>
      </c>
      <c r="V1016" s="1">
        <v>0</v>
      </c>
      <c r="X1016">
        <v>20260430</v>
      </c>
      <c r="Z1016" t="s">
        <v>68</v>
      </c>
      <c r="AA1016">
        <v>3974527</v>
      </c>
      <c r="AB1016" t="s">
        <v>77</v>
      </c>
      <c r="AE1016">
        <v>0.55666666666666664</v>
      </c>
      <c r="AF1016" t="s">
        <v>70</v>
      </c>
    </row>
    <row r="1017" spans="1:32">
      <c r="A1017">
        <v>1023366</v>
      </c>
      <c r="B1017" t="s">
        <v>75</v>
      </c>
      <c r="C1017" t="s">
        <v>62</v>
      </c>
      <c r="D1017">
        <v>46141</v>
      </c>
      <c r="E1017">
        <v>46141</v>
      </c>
      <c r="G1017">
        <v>376</v>
      </c>
      <c r="H1017" t="s">
        <v>63</v>
      </c>
      <c r="I1017">
        <v>9204</v>
      </c>
      <c r="J1017">
        <v>950162</v>
      </c>
      <c r="L1017" t="s">
        <v>1388</v>
      </c>
      <c r="M1017" t="s">
        <v>65</v>
      </c>
      <c r="N1017" t="s">
        <v>66</v>
      </c>
      <c r="O1017" s="2">
        <v>46141</v>
      </c>
      <c r="P1017" s="1">
        <v>69</v>
      </c>
      <c r="Q1017" t="s">
        <v>67</v>
      </c>
      <c r="R1017">
        <v>1.99</v>
      </c>
      <c r="S1017">
        <v>0.89</v>
      </c>
      <c r="T1017">
        <v>0.16</v>
      </c>
      <c r="U1017">
        <v>66.849999999999994</v>
      </c>
      <c r="V1017" s="1">
        <v>0</v>
      </c>
      <c r="X1017">
        <v>20260430</v>
      </c>
      <c r="Z1017" t="s">
        <v>68</v>
      </c>
      <c r="AA1017">
        <v>3974527</v>
      </c>
      <c r="AB1017" t="s">
        <v>79</v>
      </c>
      <c r="AE1017">
        <v>0.56475694444444446</v>
      </c>
      <c r="AF1017" t="s">
        <v>70</v>
      </c>
    </row>
    <row r="1018" spans="1:32">
      <c r="A1018">
        <v>1023366</v>
      </c>
      <c r="B1018" t="s">
        <v>75</v>
      </c>
      <c r="C1018" t="s">
        <v>62</v>
      </c>
      <c r="D1018">
        <v>46141</v>
      </c>
      <c r="E1018">
        <v>46141</v>
      </c>
      <c r="G1018">
        <v>376</v>
      </c>
      <c r="H1018">
        <v>65656565</v>
      </c>
      <c r="I1018">
        <v>9206</v>
      </c>
      <c r="J1018">
        <v>537888</v>
      </c>
      <c r="L1018" t="s">
        <v>1389</v>
      </c>
      <c r="M1018" t="s">
        <v>65</v>
      </c>
      <c r="N1018" t="s">
        <v>66</v>
      </c>
      <c r="O1018" s="2">
        <v>46141</v>
      </c>
      <c r="P1018" s="1">
        <v>94</v>
      </c>
      <c r="Q1018" t="s">
        <v>67</v>
      </c>
      <c r="R1018">
        <v>2.71</v>
      </c>
      <c r="S1018">
        <v>1.21</v>
      </c>
      <c r="T1018">
        <v>0.22</v>
      </c>
      <c r="U1018">
        <v>91.07</v>
      </c>
      <c r="V1018" s="1">
        <v>0</v>
      </c>
      <c r="X1018">
        <v>20260430</v>
      </c>
      <c r="Z1018" t="s">
        <v>68</v>
      </c>
      <c r="AA1018">
        <v>3974527</v>
      </c>
      <c r="AB1018" t="s">
        <v>77</v>
      </c>
      <c r="AD1018" t="s">
        <v>298</v>
      </c>
      <c r="AE1018">
        <v>0.56969907407407405</v>
      </c>
      <c r="AF1018" t="s">
        <v>70</v>
      </c>
    </row>
    <row r="1019" spans="1:32">
      <c r="A1019">
        <v>1023366</v>
      </c>
      <c r="B1019" t="s">
        <v>75</v>
      </c>
      <c r="C1019" t="s">
        <v>62</v>
      </c>
      <c r="D1019">
        <v>46141</v>
      </c>
      <c r="E1019">
        <v>46141</v>
      </c>
      <c r="G1019">
        <v>376</v>
      </c>
      <c r="H1019" t="s">
        <v>63</v>
      </c>
      <c r="I1019">
        <v>9209</v>
      </c>
      <c r="J1019">
        <v>991952</v>
      </c>
      <c r="L1019" t="s">
        <v>1388</v>
      </c>
      <c r="M1019" t="s">
        <v>65</v>
      </c>
      <c r="N1019" t="s">
        <v>66</v>
      </c>
      <c r="O1019" s="2">
        <v>46141</v>
      </c>
      <c r="P1019" s="1">
        <v>69</v>
      </c>
      <c r="Q1019" t="s">
        <v>67</v>
      </c>
      <c r="R1019">
        <v>1.99</v>
      </c>
      <c r="S1019">
        <v>0.89</v>
      </c>
      <c r="T1019">
        <v>0.16</v>
      </c>
      <c r="U1019">
        <v>66.849999999999994</v>
      </c>
      <c r="V1019" s="1">
        <v>0</v>
      </c>
      <c r="X1019">
        <v>20260430</v>
      </c>
      <c r="Z1019" t="s">
        <v>68</v>
      </c>
      <c r="AA1019">
        <v>3974527</v>
      </c>
      <c r="AB1019" t="s">
        <v>79</v>
      </c>
      <c r="AE1019">
        <v>0.57247685185185182</v>
      </c>
      <c r="AF1019" t="s">
        <v>70</v>
      </c>
    </row>
    <row r="1020" spans="1:32">
      <c r="A1020">
        <v>1023366</v>
      </c>
      <c r="B1020" t="s">
        <v>75</v>
      </c>
      <c r="C1020" t="s">
        <v>62</v>
      </c>
      <c r="D1020">
        <v>46141</v>
      </c>
      <c r="E1020">
        <v>46141</v>
      </c>
      <c r="G1020">
        <v>376</v>
      </c>
      <c r="H1020" t="s">
        <v>63</v>
      </c>
      <c r="I1020">
        <v>9214</v>
      </c>
      <c r="J1020">
        <v>5180</v>
      </c>
      <c r="L1020" t="s">
        <v>1390</v>
      </c>
      <c r="M1020" t="s">
        <v>65</v>
      </c>
      <c r="N1020" t="s">
        <v>66</v>
      </c>
      <c r="O1020" s="2">
        <v>46141</v>
      </c>
      <c r="P1020" s="1">
        <v>259.89999999999998</v>
      </c>
      <c r="Q1020" t="s">
        <v>67</v>
      </c>
      <c r="R1020">
        <v>7.51</v>
      </c>
      <c r="S1020">
        <v>2.0499999999999998</v>
      </c>
      <c r="T1020">
        <v>0.37</v>
      </c>
      <c r="U1020">
        <v>252.02</v>
      </c>
      <c r="V1020" s="1">
        <v>0</v>
      </c>
      <c r="X1020">
        <v>20260430</v>
      </c>
      <c r="Z1020" t="s">
        <v>72</v>
      </c>
      <c r="AA1020">
        <v>3974527</v>
      </c>
      <c r="AB1020" t="s">
        <v>79</v>
      </c>
      <c r="AE1020">
        <v>0.58278935185185188</v>
      </c>
      <c r="AF1020" t="s">
        <v>70</v>
      </c>
    </row>
    <row r="1021" spans="1:32">
      <c r="A1021">
        <v>1023366</v>
      </c>
      <c r="B1021" t="s">
        <v>75</v>
      </c>
      <c r="C1021" t="s">
        <v>62</v>
      </c>
      <c r="D1021">
        <v>46141</v>
      </c>
      <c r="E1021">
        <v>46141</v>
      </c>
      <c r="G1021">
        <v>376</v>
      </c>
      <c r="H1021" t="s">
        <v>63</v>
      </c>
      <c r="I1021">
        <v>9217</v>
      </c>
      <c r="J1021">
        <v>59660</v>
      </c>
      <c r="L1021" t="s">
        <v>1391</v>
      </c>
      <c r="M1021" t="s">
        <v>65</v>
      </c>
      <c r="N1021" t="s">
        <v>66</v>
      </c>
      <c r="O1021" s="2">
        <v>46141</v>
      </c>
      <c r="P1021" s="1">
        <v>199</v>
      </c>
      <c r="Q1021" t="s">
        <v>67</v>
      </c>
      <c r="R1021">
        <v>5.75</v>
      </c>
      <c r="S1021">
        <v>2.57</v>
      </c>
      <c r="T1021">
        <v>0.46</v>
      </c>
      <c r="U1021">
        <v>192.79</v>
      </c>
      <c r="V1021" s="1">
        <v>0</v>
      </c>
      <c r="X1021">
        <v>20260430</v>
      </c>
      <c r="Z1021" t="s">
        <v>68</v>
      </c>
      <c r="AA1021">
        <v>3974527</v>
      </c>
      <c r="AB1021" t="s">
        <v>81</v>
      </c>
      <c r="AE1021">
        <v>0.58474537037037033</v>
      </c>
      <c r="AF1021" t="s">
        <v>70</v>
      </c>
    </row>
    <row r="1022" spans="1:32">
      <c r="A1022">
        <v>1023366</v>
      </c>
      <c r="B1022" t="s">
        <v>75</v>
      </c>
      <c r="C1022" t="s">
        <v>62</v>
      </c>
      <c r="D1022">
        <v>46141</v>
      </c>
      <c r="E1022">
        <v>46141</v>
      </c>
      <c r="G1022">
        <v>376</v>
      </c>
      <c r="H1022" t="s">
        <v>63</v>
      </c>
      <c r="I1022">
        <v>9223</v>
      </c>
      <c r="J1022">
        <v>5307</v>
      </c>
      <c r="L1022" t="s">
        <v>1392</v>
      </c>
      <c r="M1022" t="s">
        <v>65</v>
      </c>
      <c r="N1022" t="s">
        <v>66</v>
      </c>
      <c r="O1022" s="2">
        <v>46141</v>
      </c>
      <c r="P1022" s="1">
        <v>79</v>
      </c>
      <c r="Q1022" t="s">
        <v>67</v>
      </c>
      <c r="R1022">
        <v>2.2799999999999998</v>
      </c>
      <c r="S1022">
        <v>0.3</v>
      </c>
      <c r="T1022">
        <v>0.05</v>
      </c>
      <c r="U1022">
        <v>76.67</v>
      </c>
      <c r="V1022" s="1">
        <v>0</v>
      </c>
      <c r="X1022">
        <v>20260430</v>
      </c>
      <c r="Z1022" t="s">
        <v>72</v>
      </c>
      <c r="AA1022">
        <v>3974527</v>
      </c>
      <c r="AB1022" t="s">
        <v>79</v>
      </c>
      <c r="AE1022">
        <v>0.62703703703703706</v>
      </c>
      <c r="AF1022" t="s">
        <v>70</v>
      </c>
    </row>
    <row r="1023" spans="1:32">
      <c r="A1023">
        <v>1023366</v>
      </c>
      <c r="B1023" t="s">
        <v>75</v>
      </c>
      <c r="C1023" t="s">
        <v>62</v>
      </c>
      <c r="D1023">
        <v>46141</v>
      </c>
      <c r="E1023">
        <v>46141</v>
      </c>
      <c r="G1023">
        <v>376</v>
      </c>
      <c r="H1023" t="s">
        <v>63</v>
      </c>
      <c r="I1023">
        <v>9226</v>
      </c>
      <c r="J1023">
        <v>6178</v>
      </c>
      <c r="L1023" t="s">
        <v>1393</v>
      </c>
      <c r="M1023" t="s">
        <v>65</v>
      </c>
      <c r="N1023" t="s">
        <v>66</v>
      </c>
      <c r="O1023" s="2">
        <v>46141</v>
      </c>
      <c r="P1023" s="1">
        <v>599</v>
      </c>
      <c r="Q1023" t="s">
        <v>67</v>
      </c>
      <c r="R1023">
        <v>17.309999999999999</v>
      </c>
      <c r="S1023">
        <v>4.7300000000000004</v>
      </c>
      <c r="T1023">
        <v>0.85</v>
      </c>
      <c r="U1023">
        <v>580.84</v>
      </c>
      <c r="V1023" s="1">
        <v>0</v>
      </c>
      <c r="X1023">
        <v>20260430</v>
      </c>
      <c r="Z1023" t="s">
        <v>72</v>
      </c>
      <c r="AA1023">
        <v>3974527</v>
      </c>
      <c r="AB1023" t="s">
        <v>81</v>
      </c>
      <c r="AE1023">
        <v>0.6529166666666667</v>
      </c>
      <c r="AF1023" t="s">
        <v>70</v>
      </c>
    </row>
    <row r="1024" spans="1:32">
      <c r="A1024">
        <v>1023366</v>
      </c>
      <c r="B1024" t="s">
        <v>75</v>
      </c>
      <c r="C1024" t="s">
        <v>62</v>
      </c>
      <c r="D1024">
        <v>46141</v>
      </c>
      <c r="E1024">
        <v>46141</v>
      </c>
      <c r="G1024">
        <v>376</v>
      </c>
      <c r="H1024" t="s">
        <v>63</v>
      </c>
      <c r="I1024">
        <v>9232</v>
      </c>
      <c r="J1024">
        <v>508891</v>
      </c>
      <c r="K1024">
        <v>3</v>
      </c>
      <c r="L1024" t="s">
        <v>1394</v>
      </c>
      <c r="M1024" t="s">
        <v>65</v>
      </c>
      <c r="N1024" t="s">
        <v>66</v>
      </c>
      <c r="O1024" s="2">
        <v>46141</v>
      </c>
      <c r="P1024" s="1">
        <v>1899</v>
      </c>
      <c r="Q1024" t="s">
        <v>67</v>
      </c>
      <c r="R1024">
        <v>88.11</v>
      </c>
      <c r="S1024">
        <v>11.2</v>
      </c>
      <c r="T1024">
        <v>2.02</v>
      </c>
      <c r="U1024">
        <v>1808.87</v>
      </c>
      <c r="V1024" s="1">
        <v>0</v>
      </c>
      <c r="X1024">
        <v>20260430</v>
      </c>
      <c r="Z1024" t="s">
        <v>72</v>
      </c>
      <c r="AA1024">
        <v>3974527</v>
      </c>
      <c r="AB1024" t="s">
        <v>93</v>
      </c>
      <c r="AC1024" t="s">
        <v>120</v>
      </c>
      <c r="AE1024">
        <v>0.6814351851851852</v>
      </c>
      <c r="AF1024" t="s">
        <v>70</v>
      </c>
    </row>
    <row r="1025" spans="1:32">
      <c r="A1025">
        <v>1023366</v>
      </c>
      <c r="B1025" t="s">
        <v>75</v>
      </c>
      <c r="C1025" t="s">
        <v>62</v>
      </c>
      <c r="D1025">
        <v>46141</v>
      </c>
      <c r="E1025">
        <v>46141</v>
      </c>
      <c r="G1025">
        <v>376</v>
      </c>
      <c r="H1025" t="s">
        <v>63</v>
      </c>
      <c r="I1025">
        <v>9234</v>
      </c>
      <c r="J1025">
        <v>526525</v>
      </c>
      <c r="L1025" t="s">
        <v>1395</v>
      </c>
      <c r="M1025" t="s">
        <v>65</v>
      </c>
      <c r="N1025" t="s">
        <v>66</v>
      </c>
      <c r="O1025" s="2">
        <v>46141</v>
      </c>
      <c r="P1025" s="1">
        <v>349</v>
      </c>
      <c r="Q1025" t="s">
        <v>67</v>
      </c>
      <c r="R1025">
        <v>10.09</v>
      </c>
      <c r="S1025">
        <v>4.51</v>
      </c>
      <c r="T1025">
        <v>0.81</v>
      </c>
      <c r="U1025">
        <v>338.1</v>
      </c>
      <c r="V1025" s="1">
        <v>0</v>
      </c>
      <c r="X1025">
        <v>20260430</v>
      </c>
      <c r="Z1025" t="s">
        <v>68</v>
      </c>
      <c r="AA1025">
        <v>3974527</v>
      </c>
      <c r="AB1025" t="s">
        <v>93</v>
      </c>
      <c r="AE1025">
        <v>0.68527777777777776</v>
      </c>
      <c r="AF1025" t="s">
        <v>70</v>
      </c>
    </row>
    <row r="1026" spans="1:32">
      <c r="A1026">
        <v>1023366</v>
      </c>
      <c r="B1026" t="s">
        <v>75</v>
      </c>
      <c r="C1026" t="s">
        <v>62</v>
      </c>
      <c r="D1026">
        <v>46141</v>
      </c>
      <c r="E1026">
        <v>46141</v>
      </c>
      <c r="G1026">
        <v>376</v>
      </c>
      <c r="H1026" t="s">
        <v>63</v>
      </c>
      <c r="I1026">
        <v>9236</v>
      </c>
      <c r="J1026">
        <v>604495</v>
      </c>
      <c r="L1026" t="s">
        <v>1396</v>
      </c>
      <c r="M1026" t="s">
        <v>65</v>
      </c>
      <c r="N1026" t="s">
        <v>66</v>
      </c>
      <c r="O1026" s="2">
        <v>46141</v>
      </c>
      <c r="P1026" s="1">
        <v>676</v>
      </c>
      <c r="Q1026" t="s">
        <v>67</v>
      </c>
      <c r="R1026">
        <v>19.54</v>
      </c>
      <c r="S1026">
        <v>5.34</v>
      </c>
      <c r="T1026">
        <v>0.96</v>
      </c>
      <c r="U1026">
        <v>655.5</v>
      </c>
      <c r="V1026" s="1">
        <v>0</v>
      </c>
      <c r="X1026">
        <v>20260430</v>
      </c>
      <c r="Z1026" t="s">
        <v>68</v>
      </c>
      <c r="AA1026">
        <v>3974527</v>
      </c>
      <c r="AB1026" t="s">
        <v>93</v>
      </c>
      <c r="AE1026">
        <v>0.70203703703703701</v>
      </c>
      <c r="AF1026" t="s">
        <v>70</v>
      </c>
    </row>
    <row r="1027" spans="1:32">
      <c r="A1027">
        <v>1023366</v>
      </c>
      <c r="B1027" t="s">
        <v>75</v>
      </c>
      <c r="C1027" t="s">
        <v>62</v>
      </c>
      <c r="D1027">
        <v>46141</v>
      </c>
      <c r="E1027">
        <v>46141</v>
      </c>
      <c r="G1027">
        <v>376</v>
      </c>
      <c r="H1027" t="s">
        <v>63</v>
      </c>
      <c r="I1027">
        <v>9238</v>
      </c>
      <c r="J1027">
        <v>993381</v>
      </c>
      <c r="L1027" t="s">
        <v>1397</v>
      </c>
      <c r="M1027" t="s">
        <v>65</v>
      </c>
      <c r="N1027" t="s">
        <v>66</v>
      </c>
      <c r="O1027" s="2">
        <v>46141</v>
      </c>
      <c r="P1027" s="1">
        <v>159</v>
      </c>
      <c r="Q1027" t="s">
        <v>67</v>
      </c>
      <c r="R1027">
        <v>4.5999999999999996</v>
      </c>
      <c r="S1027">
        <v>2.06</v>
      </c>
      <c r="T1027">
        <v>0.37</v>
      </c>
      <c r="U1027">
        <v>154.03</v>
      </c>
      <c r="V1027" s="1">
        <v>0</v>
      </c>
      <c r="X1027">
        <v>20260430</v>
      </c>
      <c r="Z1027" t="s">
        <v>68</v>
      </c>
      <c r="AA1027">
        <v>3974527</v>
      </c>
      <c r="AB1027" t="s">
        <v>77</v>
      </c>
      <c r="AE1027">
        <v>0.70268518518518519</v>
      </c>
      <c r="AF1027" t="s">
        <v>70</v>
      </c>
    </row>
    <row r="1028" spans="1:32">
      <c r="A1028">
        <v>1023366</v>
      </c>
      <c r="B1028" t="s">
        <v>75</v>
      </c>
      <c r="C1028" t="s">
        <v>62</v>
      </c>
      <c r="D1028">
        <v>46141</v>
      </c>
      <c r="E1028">
        <v>46141</v>
      </c>
      <c r="G1028">
        <v>376</v>
      </c>
      <c r="H1028" t="s">
        <v>63</v>
      </c>
      <c r="I1028">
        <v>9240</v>
      </c>
      <c r="J1028">
        <v>345927</v>
      </c>
      <c r="L1028" t="s">
        <v>1398</v>
      </c>
      <c r="M1028" t="s">
        <v>65</v>
      </c>
      <c r="N1028" t="s">
        <v>66</v>
      </c>
      <c r="O1028" s="2">
        <v>46141</v>
      </c>
      <c r="P1028" s="1">
        <v>269</v>
      </c>
      <c r="Q1028" t="s">
        <v>67</v>
      </c>
      <c r="R1028">
        <v>7.77</v>
      </c>
      <c r="S1028">
        <v>3.47</v>
      </c>
      <c r="T1028">
        <v>0.62</v>
      </c>
      <c r="U1028">
        <v>260.61</v>
      </c>
      <c r="V1028" s="1">
        <v>0</v>
      </c>
      <c r="X1028">
        <v>20260430</v>
      </c>
      <c r="Z1028" t="s">
        <v>68</v>
      </c>
      <c r="AA1028">
        <v>3974527</v>
      </c>
      <c r="AB1028" t="s">
        <v>77</v>
      </c>
      <c r="AE1028">
        <v>0.70976851851851852</v>
      </c>
      <c r="AF1028" t="s">
        <v>70</v>
      </c>
    </row>
    <row r="1029" spans="1:32">
      <c r="A1029">
        <v>1023366</v>
      </c>
      <c r="B1029" t="s">
        <v>75</v>
      </c>
      <c r="C1029" t="s">
        <v>62</v>
      </c>
      <c r="D1029">
        <v>46141</v>
      </c>
      <c r="E1029">
        <v>46141</v>
      </c>
      <c r="G1029">
        <v>376</v>
      </c>
      <c r="H1029" t="s">
        <v>63</v>
      </c>
      <c r="I1029">
        <v>9242</v>
      </c>
      <c r="J1029">
        <v>712910</v>
      </c>
      <c r="L1029" t="s">
        <v>1399</v>
      </c>
      <c r="M1029" t="s">
        <v>65</v>
      </c>
      <c r="N1029" t="s">
        <v>66</v>
      </c>
      <c r="O1029" s="2">
        <v>46141</v>
      </c>
      <c r="P1029" s="1">
        <v>2899</v>
      </c>
      <c r="Q1029" t="s">
        <v>67</v>
      </c>
      <c r="R1029">
        <v>83.78</v>
      </c>
      <c r="S1029">
        <v>37.4</v>
      </c>
      <c r="T1029">
        <v>6.73</v>
      </c>
      <c r="U1029">
        <v>2808.49</v>
      </c>
      <c r="V1029" s="1">
        <v>0</v>
      </c>
      <c r="X1029">
        <v>20260430</v>
      </c>
      <c r="Z1029" t="s">
        <v>68</v>
      </c>
      <c r="AA1029">
        <v>3974527</v>
      </c>
      <c r="AB1029" t="s">
        <v>93</v>
      </c>
      <c r="AE1029">
        <v>0.72379629629629627</v>
      </c>
      <c r="AF1029" t="s">
        <v>70</v>
      </c>
    </row>
    <row r="1030" spans="1:32">
      <c r="A1030">
        <v>1023366</v>
      </c>
      <c r="B1030" t="s">
        <v>75</v>
      </c>
      <c r="C1030" t="s">
        <v>62</v>
      </c>
      <c r="D1030">
        <v>46141</v>
      </c>
      <c r="E1030">
        <v>46141</v>
      </c>
      <c r="G1030">
        <v>376</v>
      </c>
      <c r="H1030" t="s">
        <v>63</v>
      </c>
      <c r="I1030">
        <v>9246</v>
      </c>
      <c r="J1030">
        <v>35756</v>
      </c>
      <c r="L1030" t="s">
        <v>1400</v>
      </c>
      <c r="M1030" t="s">
        <v>65</v>
      </c>
      <c r="N1030" t="s">
        <v>66</v>
      </c>
      <c r="O1030" s="2">
        <v>46141</v>
      </c>
      <c r="P1030" s="1">
        <v>229</v>
      </c>
      <c r="Q1030" t="s">
        <v>67</v>
      </c>
      <c r="R1030">
        <v>6.62</v>
      </c>
      <c r="S1030">
        <v>1.35</v>
      </c>
      <c r="T1030">
        <v>0.24</v>
      </c>
      <c r="U1030">
        <v>222.14</v>
      </c>
      <c r="V1030" s="1">
        <v>0</v>
      </c>
      <c r="X1030">
        <v>20260430</v>
      </c>
      <c r="Z1030" t="s">
        <v>72</v>
      </c>
      <c r="AA1030">
        <v>3974527</v>
      </c>
      <c r="AB1030" t="s">
        <v>106</v>
      </c>
      <c r="AE1030">
        <v>0.728912037037037</v>
      </c>
      <c r="AF1030" t="s">
        <v>70</v>
      </c>
    </row>
    <row r="1031" spans="1:32">
      <c r="A1031">
        <v>1023366</v>
      </c>
      <c r="B1031" t="s">
        <v>75</v>
      </c>
      <c r="C1031" t="s">
        <v>62</v>
      </c>
      <c r="D1031">
        <v>46141</v>
      </c>
      <c r="E1031">
        <v>46141</v>
      </c>
      <c r="G1031">
        <v>376</v>
      </c>
      <c r="H1031" t="s">
        <v>63</v>
      </c>
      <c r="I1031">
        <v>9252</v>
      </c>
      <c r="J1031">
        <v>154039</v>
      </c>
      <c r="L1031" t="s">
        <v>1401</v>
      </c>
      <c r="M1031" t="s">
        <v>65</v>
      </c>
      <c r="N1031" t="s">
        <v>66</v>
      </c>
      <c r="O1031" s="2">
        <v>46141</v>
      </c>
      <c r="P1031" s="1">
        <v>1899</v>
      </c>
      <c r="Q1031" t="s">
        <v>67</v>
      </c>
      <c r="R1031">
        <v>54.88</v>
      </c>
      <c r="S1031">
        <v>24.5</v>
      </c>
      <c r="T1031">
        <v>4.41</v>
      </c>
      <c r="U1031">
        <v>1839.71</v>
      </c>
      <c r="V1031" s="1">
        <v>0</v>
      </c>
      <c r="X1031">
        <v>20260430</v>
      </c>
      <c r="Z1031" t="s">
        <v>68</v>
      </c>
      <c r="AA1031">
        <v>3974527</v>
      </c>
      <c r="AB1031" t="s">
        <v>81</v>
      </c>
      <c r="AE1031">
        <v>0.76709490740740738</v>
      </c>
      <c r="AF1031" t="s">
        <v>70</v>
      </c>
    </row>
    <row r="1032" spans="1:32">
      <c r="A1032">
        <v>1023366</v>
      </c>
      <c r="B1032" t="s">
        <v>75</v>
      </c>
      <c r="C1032" t="s">
        <v>62</v>
      </c>
      <c r="D1032">
        <v>46141</v>
      </c>
      <c r="E1032">
        <v>46141</v>
      </c>
      <c r="G1032">
        <v>376</v>
      </c>
      <c r="H1032">
        <v>65656565</v>
      </c>
      <c r="I1032">
        <v>9254</v>
      </c>
      <c r="J1032">
        <v>517144</v>
      </c>
      <c r="L1032" t="s">
        <v>1402</v>
      </c>
      <c r="M1032" t="s">
        <v>65</v>
      </c>
      <c r="N1032" t="s">
        <v>66</v>
      </c>
      <c r="O1032" s="2">
        <v>46141</v>
      </c>
      <c r="P1032" s="1">
        <v>169</v>
      </c>
      <c r="Q1032" t="s">
        <v>67</v>
      </c>
      <c r="R1032">
        <v>4.88</v>
      </c>
      <c r="S1032">
        <v>2.1800000000000002</v>
      </c>
      <c r="T1032">
        <v>0.39</v>
      </c>
      <c r="U1032">
        <v>163.72999999999999</v>
      </c>
      <c r="V1032" s="1">
        <v>0</v>
      </c>
      <c r="X1032">
        <v>20260430</v>
      </c>
      <c r="Z1032" t="s">
        <v>68</v>
      </c>
      <c r="AA1032">
        <v>3974527</v>
      </c>
      <c r="AB1032" t="s">
        <v>79</v>
      </c>
      <c r="AD1032" t="s">
        <v>88</v>
      </c>
      <c r="AE1032">
        <v>0.77001157407407406</v>
      </c>
      <c r="AF1032" t="s">
        <v>70</v>
      </c>
    </row>
    <row r="1033" spans="1:32">
      <c r="A1033">
        <v>1023366</v>
      </c>
      <c r="B1033" t="s">
        <v>75</v>
      </c>
      <c r="C1033" t="s">
        <v>62</v>
      </c>
      <c r="D1033">
        <v>46141</v>
      </c>
      <c r="E1033">
        <v>46141</v>
      </c>
      <c r="G1033">
        <v>376</v>
      </c>
      <c r="H1033" t="s">
        <v>63</v>
      </c>
      <c r="I1033">
        <v>9259</v>
      </c>
      <c r="J1033">
        <v>544357</v>
      </c>
      <c r="L1033" t="s">
        <v>1403</v>
      </c>
      <c r="M1033" t="s">
        <v>65</v>
      </c>
      <c r="N1033" t="s">
        <v>66</v>
      </c>
      <c r="O1033" s="2">
        <v>46141</v>
      </c>
      <c r="P1033" s="1">
        <v>159</v>
      </c>
      <c r="Q1033" t="s">
        <v>67</v>
      </c>
      <c r="R1033">
        <v>4.5999999999999996</v>
      </c>
      <c r="S1033">
        <v>0.94</v>
      </c>
      <c r="T1033">
        <v>0.17</v>
      </c>
      <c r="U1033">
        <v>154.22999999999999</v>
      </c>
      <c r="V1033" s="1">
        <v>0</v>
      </c>
      <c r="X1033">
        <v>20260430</v>
      </c>
      <c r="Z1033" t="s">
        <v>72</v>
      </c>
      <c r="AA1033">
        <v>3974527</v>
      </c>
      <c r="AB1033" t="s">
        <v>77</v>
      </c>
      <c r="AE1033">
        <v>0.78789351851851852</v>
      </c>
      <c r="AF1033" t="s">
        <v>70</v>
      </c>
    </row>
    <row r="1034" spans="1:32">
      <c r="A1034">
        <v>1023366</v>
      </c>
      <c r="B1034" t="s">
        <v>75</v>
      </c>
      <c r="C1034" t="s">
        <v>62</v>
      </c>
      <c r="D1034">
        <v>46141</v>
      </c>
      <c r="E1034">
        <v>46141</v>
      </c>
      <c r="G1034">
        <v>376</v>
      </c>
      <c r="H1034" t="s">
        <v>63</v>
      </c>
      <c r="I1034">
        <v>9261</v>
      </c>
      <c r="J1034">
        <v>617480</v>
      </c>
      <c r="L1034" t="s">
        <v>1404</v>
      </c>
      <c r="M1034" t="s">
        <v>65</v>
      </c>
      <c r="N1034" t="s">
        <v>66</v>
      </c>
      <c r="O1034" s="2">
        <v>46141</v>
      </c>
      <c r="P1034" s="1">
        <v>159</v>
      </c>
      <c r="Q1034" t="s">
        <v>67</v>
      </c>
      <c r="R1034">
        <v>4.5999999999999996</v>
      </c>
      <c r="S1034">
        <v>2.06</v>
      </c>
      <c r="T1034">
        <v>0.37</v>
      </c>
      <c r="U1034">
        <v>154.03</v>
      </c>
      <c r="V1034" s="1">
        <v>0</v>
      </c>
      <c r="X1034">
        <v>20260430</v>
      </c>
      <c r="Z1034" t="s">
        <v>68</v>
      </c>
      <c r="AA1034">
        <v>3974527</v>
      </c>
      <c r="AB1034" t="s">
        <v>79</v>
      </c>
      <c r="AE1034">
        <v>0.80356481481481479</v>
      </c>
      <c r="AF1034" t="s">
        <v>70</v>
      </c>
    </row>
    <row r="1035" spans="1:32">
      <c r="A1035">
        <v>1023366</v>
      </c>
      <c r="B1035" t="s">
        <v>75</v>
      </c>
      <c r="C1035" t="s">
        <v>62</v>
      </c>
      <c r="D1035">
        <v>46141</v>
      </c>
      <c r="E1035">
        <v>46141</v>
      </c>
      <c r="G1035">
        <v>376</v>
      </c>
      <c r="H1035" t="s">
        <v>63</v>
      </c>
      <c r="I1035">
        <v>9264</v>
      </c>
      <c r="J1035">
        <v>599311</v>
      </c>
      <c r="L1035" t="s">
        <v>1405</v>
      </c>
      <c r="M1035" t="s">
        <v>65</v>
      </c>
      <c r="N1035" t="s">
        <v>66</v>
      </c>
      <c r="O1035" s="2">
        <v>46141</v>
      </c>
      <c r="P1035" s="1">
        <v>35</v>
      </c>
      <c r="Q1035" t="s">
        <v>67</v>
      </c>
      <c r="R1035">
        <v>1.01</v>
      </c>
      <c r="S1035">
        <v>0.45</v>
      </c>
      <c r="T1035">
        <v>0.08</v>
      </c>
      <c r="U1035">
        <v>33.909999999999997</v>
      </c>
      <c r="V1035" s="1">
        <v>0</v>
      </c>
      <c r="X1035">
        <v>20260430</v>
      </c>
      <c r="Z1035" t="s">
        <v>68</v>
      </c>
      <c r="AA1035">
        <v>3974527</v>
      </c>
      <c r="AB1035" t="s">
        <v>81</v>
      </c>
      <c r="AE1035">
        <v>0.80502314814814813</v>
      </c>
      <c r="AF1035" t="s">
        <v>70</v>
      </c>
    </row>
    <row r="1036" spans="1:32">
      <c r="A1036">
        <v>1023366</v>
      </c>
      <c r="B1036" t="s">
        <v>75</v>
      </c>
      <c r="C1036" t="s">
        <v>62</v>
      </c>
      <c r="D1036">
        <v>46141</v>
      </c>
      <c r="E1036">
        <v>46141</v>
      </c>
      <c r="G1036">
        <v>376</v>
      </c>
      <c r="H1036" t="s">
        <v>63</v>
      </c>
      <c r="I1036">
        <v>9272</v>
      </c>
      <c r="J1036">
        <v>42769</v>
      </c>
      <c r="L1036" t="s">
        <v>1406</v>
      </c>
      <c r="M1036" t="s">
        <v>65</v>
      </c>
      <c r="N1036" t="s">
        <v>66</v>
      </c>
      <c r="O1036" s="2">
        <v>46141</v>
      </c>
      <c r="P1036" s="1">
        <v>2499</v>
      </c>
      <c r="Q1036" t="s">
        <v>67</v>
      </c>
      <c r="R1036">
        <v>72.22</v>
      </c>
      <c r="S1036">
        <v>9.74</v>
      </c>
      <c r="T1036">
        <v>1.75</v>
      </c>
      <c r="U1036">
        <v>2425.0300000000002</v>
      </c>
      <c r="V1036" s="1">
        <v>0</v>
      </c>
      <c r="X1036">
        <v>20260430</v>
      </c>
      <c r="Z1036" t="s">
        <v>72</v>
      </c>
      <c r="AA1036">
        <v>3974527</v>
      </c>
      <c r="AB1036" t="s">
        <v>77</v>
      </c>
      <c r="AE1036">
        <v>0.83633101851851854</v>
      </c>
      <c r="AF1036" t="s">
        <v>70</v>
      </c>
    </row>
    <row r="1037" spans="1:32">
      <c r="A1037">
        <v>1023366</v>
      </c>
      <c r="B1037" t="s">
        <v>75</v>
      </c>
      <c r="C1037" t="s">
        <v>62</v>
      </c>
      <c r="D1037">
        <v>46141</v>
      </c>
      <c r="E1037">
        <v>46141</v>
      </c>
      <c r="G1037">
        <v>376</v>
      </c>
      <c r="H1037" t="s">
        <v>63</v>
      </c>
      <c r="I1037">
        <v>9274</v>
      </c>
      <c r="J1037">
        <v>58520</v>
      </c>
      <c r="L1037" t="s">
        <v>1407</v>
      </c>
      <c r="M1037" t="s">
        <v>65</v>
      </c>
      <c r="N1037" t="s">
        <v>66</v>
      </c>
      <c r="O1037" s="2">
        <v>46141</v>
      </c>
      <c r="P1037" s="1">
        <v>14.9</v>
      </c>
      <c r="Q1037" t="s">
        <v>67</v>
      </c>
      <c r="R1037">
        <v>0.43</v>
      </c>
      <c r="S1037">
        <v>0.19</v>
      </c>
      <c r="T1037">
        <v>0.03</v>
      </c>
      <c r="U1037">
        <v>14.44</v>
      </c>
      <c r="V1037" s="1">
        <v>0</v>
      </c>
      <c r="X1037">
        <v>20260430</v>
      </c>
      <c r="Z1037" t="s">
        <v>68</v>
      </c>
      <c r="AA1037">
        <v>3974527</v>
      </c>
      <c r="AB1037" t="s">
        <v>77</v>
      </c>
      <c r="AE1037">
        <v>0.84136574074074078</v>
      </c>
      <c r="AF1037" t="s">
        <v>70</v>
      </c>
    </row>
    <row r="1038" spans="1:32">
      <c r="A1038">
        <v>1023366</v>
      </c>
      <c r="B1038" t="s">
        <v>75</v>
      </c>
      <c r="C1038" t="s">
        <v>62</v>
      </c>
      <c r="D1038">
        <v>46141</v>
      </c>
      <c r="E1038">
        <v>46141</v>
      </c>
      <c r="G1038">
        <v>376</v>
      </c>
      <c r="H1038" t="s">
        <v>63</v>
      </c>
      <c r="I1038">
        <v>9277</v>
      </c>
      <c r="J1038">
        <v>388389</v>
      </c>
      <c r="L1038" t="s">
        <v>1408</v>
      </c>
      <c r="M1038" t="s">
        <v>65</v>
      </c>
      <c r="N1038" t="s">
        <v>66</v>
      </c>
      <c r="O1038" s="2">
        <v>46141</v>
      </c>
      <c r="P1038" s="1">
        <v>229</v>
      </c>
      <c r="Q1038" t="s">
        <v>67</v>
      </c>
      <c r="R1038">
        <v>6.62</v>
      </c>
      <c r="S1038">
        <v>2.96</v>
      </c>
      <c r="T1038">
        <v>0.53</v>
      </c>
      <c r="U1038">
        <v>221.85</v>
      </c>
      <c r="V1038" s="1">
        <v>0</v>
      </c>
      <c r="X1038">
        <v>20260430</v>
      </c>
      <c r="Z1038" t="s">
        <v>68</v>
      </c>
      <c r="AA1038">
        <v>3974527</v>
      </c>
      <c r="AB1038" t="s">
        <v>81</v>
      </c>
      <c r="AE1038">
        <v>0.84619212962962964</v>
      </c>
      <c r="AF1038" t="s">
        <v>70</v>
      </c>
    </row>
    <row r="1039" spans="1:32">
      <c r="A1039">
        <v>1023366</v>
      </c>
      <c r="B1039" t="s">
        <v>75</v>
      </c>
      <c r="C1039" t="s">
        <v>62</v>
      </c>
      <c r="D1039">
        <v>46141</v>
      </c>
      <c r="E1039">
        <v>46141</v>
      </c>
      <c r="G1039">
        <v>376</v>
      </c>
      <c r="H1039" t="s">
        <v>63</v>
      </c>
      <c r="I1039">
        <v>9279</v>
      </c>
      <c r="J1039">
        <v>821268</v>
      </c>
      <c r="L1039" t="s">
        <v>1409</v>
      </c>
      <c r="M1039" t="s">
        <v>65</v>
      </c>
      <c r="N1039" t="s">
        <v>66</v>
      </c>
      <c r="O1039" s="2">
        <v>46141</v>
      </c>
      <c r="P1039" s="1">
        <v>69</v>
      </c>
      <c r="Q1039" t="s">
        <v>67</v>
      </c>
      <c r="R1039">
        <v>1.99</v>
      </c>
      <c r="S1039">
        <v>0.89</v>
      </c>
      <c r="T1039">
        <v>0.16</v>
      </c>
      <c r="U1039">
        <v>66.849999999999994</v>
      </c>
      <c r="V1039" s="1">
        <v>17948.07</v>
      </c>
      <c r="W1039">
        <v>46142</v>
      </c>
      <c r="X1039">
        <v>20260430</v>
      </c>
      <c r="Z1039" t="s">
        <v>68</v>
      </c>
      <c r="AA1039">
        <v>3974527</v>
      </c>
      <c r="AB1039" t="s">
        <v>81</v>
      </c>
      <c r="AE1039">
        <v>0.87545138888888885</v>
      </c>
      <c r="AF1039" t="s">
        <v>70</v>
      </c>
    </row>
    <row r="1040" spans="1:32">
      <c r="A1040">
        <v>1023366</v>
      </c>
      <c r="B1040" t="s">
        <v>61</v>
      </c>
      <c r="C1040" t="s">
        <v>62</v>
      </c>
      <c r="D1040">
        <v>46142</v>
      </c>
      <c r="E1040">
        <v>46142</v>
      </c>
      <c r="G1040">
        <v>377</v>
      </c>
      <c r="H1040" t="s">
        <v>63</v>
      </c>
      <c r="I1040">
        <v>9313</v>
      </c>
      <c r="J1040">
        <v>22409</v>
      </c>
      <c r="L1040" t="s">
        <v>1410</v>
      </c>
      <c r="M1040" t="s">
        <v>96</v>
      </c>
      <c r="N1040" t="s">
        <v>66</v>
      </c>
      <c r="O1040" s="2">
        <v>46142</v>
      </c>
      <c r="P1040" s="1">
        <v>199</v>
      </c>
      <c r="Q1040" t="s">
        <v>67</v>
      </c>
      <c r="R1040">
        <v>7.76</v>
      </c>
      <c r="S1040">
        <v>3.78</v>
      </c>
      <c r="T1040">
        <v>0.68</v>
      </c>
      <c r="U1040">
        <v>190.56</v>
      </c>
      <c r="V1040" s="1">
        <v>0</v>
      </c>
      <c r="X1040">
        <v>20260504</v>
      </c>
      <c r="Z1040" t="s">
        <v>72</v>
      </c>
      <c r="AA1040">
        <v>3974527</v>
      </c>
      <c r="AB1040" t="s">
        <v>234</v>
      </c>
      <c r="AE1040">
        <v>0.669525462962963</v>
      </c>
      <c r="AF1040" t="s">
        <v>70</v>
      </c>
    </row>
    <row r="1041" spans="1:32">
      <c r="A1041">
        <v>1023366</v>
      </c>
      <c r="B1041" t="s">
        <v>61</v>
      </c>
      <c r="C1041" t="s">
        <v>62</v>
      </c>
      <c r="D1041">
        <v>46142</v>
      </c>
      <c r="E1041">
        <v>46142</v>
      </c>
      <c r="G1041">
        <v>377</v>
      </c>
      <c r="H1041" t="s">
        <v>63</v>
      </c>
      <c r="I1041">
        <v>9323</v>
      </c>
      <c r="J1041">
        <v>597272</v>
      </c>
      <c r="L1041" t="s">
        <v>1411</v>
      </c>
      <c r="M1041" t="s">
        <v>96</v>
      </c>
      <c r="N1041" t="s">
        <v>66</v>
      </c>
      <c r="O1041" s="2">
        <v>46142</v>
      </c>
      <c r="P1041" s="1">
        <v>1168</v>
      </c>
      <c r="Q1041" t="s">
        <v>67</v>
      </c>
      <c r="R1041">
        <v>45.55</v>
      </c>
      <c r="S1041">
        <v>26.86</v>
      </c>
      <c r="T1041">
        <v>4.83</v>
      </c>
      <c r="U1041">
        <v>1117.6199999999999</v>
      </c>
      <c r="V1041" s="1">
        <v>0</v>
      </c>
      <c r="X1041">
        <v>20260504</v>
      </c>
      <c r="Z1041" t="s">
        <v>68</v>
      </c>
      <c r="AA1041">
        <v>3974527</v>
      </c>
      <c r="AB1041" t="s">
        <v>234</v>
      </c>
      <c r="AE1041">
        <v>0.70834490740740741</v>
      </c>
      <c r="AF1041" t="s">
        <v>70</v>
      </c>
    </row>
    <row r="1042" spans="1:32">
      <c r="A1042">
        <v>1023366</v>
      </c>
      <c r="B1042" t="s">
        <v>61</v>
      </c>
      <c r="C1042" t="s">
        <v>62</v>
      </c>
      <c r="D1042">
        <v>46142</v>
      </c>
      <c r="E1042">
        <v>46142</v>
      </c>
      <c r="G1042">
        <v>377</v>
      </c>
      <c r="H1042" t="s">
        <v>63</v>
      </c>
      <c r="I1042">
        <v>9342</v>
      </c>
      <c r="J1042" t="s">
        <v>1412</v>
      </c>
      <c r="L1042" t="s">
        <v>1413</v>
      </c>
      <c r="M1042" t="s">
        <v>96</v>
      </c>
      <c r="N1042" t="s">
        <v>66</v>
      </c>
      <c r="O1042" s="2">
        <v>46142</v>
      </c>
      <c r="P1042" s="1">
        <v>269</v>
      </c>
      <c r="Q1042" t="s">
        <v>67</v>
      </c>
      <c r="R1042">
        <v>10.49</v>
      </c>
      <c r="S1042">
        <v>5.16</v>
      </c>
      <c r="T1042">
        <v>0.93</v>
      </c>
      <c r="U1042">
        <v>257.58</v>
      </c>
      <c r="V1042" s="1">
        <v>0</v>
      </c>
      <c r="X1042">
        <v>20260504</v>
      </c>
      <c r="Z1042" t="s">
        <v>72</v>
      </c>
      <c r="AA1042">
        <v>3974527</v>
      </c>
      <c r="AB1042" t="s">
        <v>234</v>
      </c>
      <c r="AE1042">
        <v>0.79402777777777778</v>
      </c>
      <c r="AF1042" t="s">
        <v>70</v>
      </c>
    </row>
    <row r="1043" spans="1:32">
      <c r="A1043">
        <v>1023366</v>
      </c>
      <c r="B1043" t="s">
        <v>61</v>
      </c>
      <c r="C1043" t="s">
        <v>62</v>
      </c>
      <c r="D1043">
        <v>46142</v>
      </c>
      <c r="E1043">
        <v>46142</v>
      </c>
      <c r="G1043">
        <v>377</v>
      </c>
      <c r="H1043" t="s">
        <v>63</v>
      </c>
      <c r="I1043">
        <v>9350</v>
      </c>
      <c r="J1043">
        <v>10316</v>
      </c>
      <c r="L1043" t="s">
        <v>1414</v>
      </c>
      <c r="M1043" t="s">
        <v>65</v>
      </c>
      <c r="N1043" t="s">
        <v>66</v>
      </c>
      <c r="O1043" s="2">
        <v>46142</v>
      </c>
      <c r="P1043" s="1">
        <v>55</v>
      </c>
      <c r="Q1043" t="s">
        <v>67</v>
      </c>
      <c r="R1043">
        <v>1.59</v>
      </c>
      <c r="S1043">
        <v>0.43</v>
      </c>
      <c r="T1043">
        <v>0.08</v>
      </c>
      <c r="U1043">
        <v>53.33</v>
      </c>
      <c r="V1043" s="1">
        <v>1619.09</v>
      </c>
      <c r="W1043">
        <v>46146</v>
      </c>
      <c r="X1043">
        <v>20260504</v>
      </c>
      <c r="Z1043" t="s">
        <v>72</v>
      </c>
      <c r="AA1043">
        <v>3974527</v>
      </c>
      <c r="AB1043" t="s">
        <v>93</v>
      </c>
      <c r="AE1043">
        <v>0.81288194444444439</v>
      </c>
      <c r="AF1043" t="s">
        <v>70</v>
      </c>
    </row>
    <row r="1044" spans="1:32">
      <c r="A1044">
        <v>1023366</v>
      </c>
      <c r="B1044" t="s">
        <v>75</v>
      </c>
      <c r="C1044" t="s">
        <v>62</v>
      </c>
      <c r="D1044">
        <v>46142</v>
      </c>
      <c r="E1044">
        <v>46142</v>
      </c>
      <c r="G1044">
        <v>673</v>
      </c>
      <c r="H1044" t="s">
        <v>720</v>
      </c>
      <c r="I1044">
        <v>9242</v>
      </c>
      <c r="J1044">
        <v>935043</v>
      </c>
      <c r="L1044" t="s">
        <v>1415</v>
      </c>
      <c r="M1044" t="s">
        <v>65</v>
      </c>
      <c r="N1044" t="s">
        <v>66</v>
      </c>
      <c r="O1044" s="2">
        <v>46142</v>
      </c>
      <c r="P1044" s="1">
        <v>89</v>
      </c>
      <c r="Q1044" t="s">
        <v>67</v>
      </c>
      <c r="R1044">
        <v>2.57</v>
      </c>
      <c r="S1044">
        <v>0.52</v>
      </c>
      <c r="T1044">
        <v>0.09</v>
      </c>
      <c r="U1044">
        <v>86.34</v>
      </c>
      <c r="V1044" s="1">
        <v>0</v>
      </c>
      <c r="X1044">
        <v>20260504</v>
      </c>
      <c r="Z1044" t="s">
        <v>72</v>
      </c>
      <c r="AA1044" t="s">
        <v>350</v>
      </c>
      <c r="AB1044" t="s">
        <v>93</v>
      </c>
      <c r="AE1044">
        <v>0.47694444444444445</v>
      </c>
      <c r="AF1044" t="s">
        <v>70</v>
      </c>
    </row>
    <row r="1045" spans="1:32">
      <c r="A1045">
        <v>1023366</v>
      </c>
      <c r="B1045" t="s">
        <v>75</v>
      </c>
      <c r="C1045" t="s">
        <v>62</v>
      </c>
      <c r="D1045">
        <v>46142</v>
      </c>
      <c r="E1045">
        <v>46142</v>
      </c>
      <c r="G1045">
        <v>377</v>
      </c>
      <c r="H1045" t="s">
        <v>63</v>
      </c>
      <c r="I1045">
        <v>9294</v>
      </c>
      <c r="J1045">
        <v>753206</v>
      </c>
      <c r="L1045" t="s">
        <v>1416</v>
      </c>
      <c r="M1045" t="s">
        <v>65</v>
      </c>
      <c r="N1045" t="s">
        <v>66</v>
      </c>
      <c r="O1045" s="2">
        <v>46142</v>
      </c>
      <c r="P1045" s="1">
        <v>349</v>
      </c>
      <c r="Q1045" t="s">
        <v>67</v>
      </c>
      <c r="R1045">
        <v>10.09</v>
      </c>
      <c r="S1045">
        <v>4.51</v>
      </c>
      <c r="T1045">
        <v>0.81</v>
      </c>
      <c r="U1045">
        <v>338.1</v>
      </c>
      <c r="V1045" s="1">
        <v>0</v>
      </c>
      <c r="X1045">
        <v>20260504</v>
      </c>
      <c r="Z1045" t="s">
        <v>68</v>
      </c>
      <c r="AA1045">
        <v>3974527</v>
      </c>
      <c r="AB1045" t="s">
        <v>93</v>
      </c>
      <c r="AE1045">
        <v>0.44089120370370372</v>
      </c>
      <c r="AF1045" t="s">
        <v>70</v>
      </c>
    </row>
    <row r="1046" spans="1:32">
      <c r="A1046">
        <v>1023366</v>
      </c>
      <c r="B1046" t="s">
        <v>75</v>
      </c>
      <c r="C1046" t="s">
        <v>62</v>
      </c>
      <c r="D1046">
        <v>46142</v>
      </c>
      <c r="E1046">
        <v>46142</v>
      </c>
      <c r="G1046">
        <v>377</v>
      </c>
      <c r="H1046" t="s">
        <v>63</v>
      </c>
      <c r="I1046">
        <v>9296</v>
      </c>
      <c r="J1046">
        <v>511367</v>
      </c>
      <c r="L1046" t="s">
        <v>1417</v>
      </c>
      <c r="M1046" t="s">
        <v>65</v>
      </c>
      <c r="N1046" t="s">
        <v>66</v>
      </c>
      <c r="O1046" s="2">
        <v>46142</v>
      </c>
      <c r="P1046" s="1">
        <v>69</v>
      </c>
      <c r="Q1046" t="s">
        <v>67</v>
      </c>
      <c r="R1046">
        <v>1.99</v>
      </c>
      <c r="S1046">
        <v>0.26</v>
      </c>
      <c r="T1046">
        <v>0.05</v>
      </c>
      <c r="U1046">
        <v>66.959999999999994</v>
      </c>
      <c r="V1046" s="1">
        <v>0</v>
      </c>
      <c r="X1046">
        <v>20260504</v>
      </c>
      <c r="Z1046" t="s">
        <v>72</v>
      </c>
      <c r="AA1046">
        <v>3974527</v>
      </c>
      <c r="AB1046" t="s">
        <v>77</v>
      </c>
      <c r="AE1046">
        <v>0.4521412037037037</v>
      </c>
      <c r="AF1046" t="s">
        <v>70</v>
      </c>
    </row>
    <row r="1047" spans="1:32">
      <c r="A1047">
        <v>1023366</v>
      </c>
      <c r="B1047" t="s">
        <v>75</v>
      </c>
      <c r="C1047" t="s">
        <v>62</v>
      </c>
      <c r="D1047">
        <v>46142</v>
      </c>
      <c r="E1047">
        <v>46142</v>
      </c>
      <c r="G1047">
        <v>377</v>
      </c>
      <c r="H1047" t="s">
        <v>63</v>
      </c>
      <c r="I1047">
        <v>9299</v>
      </c>
      <c r="J1047">
        <v>819746</v>
      </c>
      <c r="L1047" t="s">
        <v>1418</v>
      </c>
      <c r="M1047" t="s">
        <v>65</v>
      </c>
      <c r="N1047" t="s">
        <v>66</v>
      </c>
      <c r="O1047" s="2">
        <v>46142</v>
      </c>
      <c r="P1047" s="1">
        <v>219</v>
      </c>
      <c r="Q1047" t="s">
        <v>67</v>
      </c>
      <c r="R1047">
        <v>6.33</v>
      </c>
      <c r="S1047">
        <v>2.83</v>
      </c>
      <c r="T1047">
        <v>0.51</v>
      </c>
      <c r="U1047">
        <v>212.16</v>
      </c>
      <c r="V1047" s="1">
        <v>0</v>
      </c>
      <c r="X1047">
        <v>20260504</v>
      </c>
      <c r="Z1047" t="s">
        <v>68</v>
      </c>
      <c r="AA1047">
        <v>3974527</v>
      </c>
      <c r="AB1047" t="s">
        <v>81</v>
      </c>
      <c r="AE1047">
        <v>0.45425925925925925</v>
      </c>
      <c r="AF1047" t="s">
        <v>70</v>
      </c>
    </row>
    <row r="1048" spans="1:32">
      <c r="A1048">
        <v>1023366</v>
      </c>
      <c r="B1048" t="s">
        <v>75</v>
      </c>
      <c r="C1048" t="s">
        <v>62</v>
      </c>
      <c r="D1048">
        <v>46142</v>
      </c>
      <c r="E1048">
        <v>46142</v>
      </c>
      <c r="G1048">
        <v>377</v>
      </c>
      <c r="H1048">
        <v>65656565</v>
      </c>
      <c r="I1048">
        <v>9303</v>
      </c>
      <c r="J1048">
        <v>524040</v>
      </c>
      <c r="L1048" t="s">
        <v>1419</v>
      </c>
      <c r="M1048" t="s">
        <v>65</v>
      </c>
      <c r="N1048" t="s">
        <v>66</v>
      </c>
      <c r="O1048" s="2">
        <v>46142</v>
      </c>
      <c r="P1048" s="1">
        <v>30</v>
      </c>
      <c r="Q1048" t="s">
        <v>67</v>
      </c>
      <c r="R1048">
        <v>0.86</v>
      </c>
      <c r="S1048">
        <v>0.38</v>
      </c>
      <c r="T1048">
        <v>7.0000000000000007E-2</v>
      </c>
      <c r="U1048">
        <v>29.07</v>
      </c>
      <c r="V1048" s="1">
        <v>0</v>
      </c>
      <c r="X1048">
        <v>20260504</v>
      </c>
      <c r="Z1048" t="s">
        <v>68</v>
      </c>
      <c r="AA1048">
        <v>3974527</v>
      </c>
      <c r="AB1048" t="s">
        <v>79</v>
      </c>
      <c r="AD1048" t="s">
        <v>88</v>
      </c>
      <c r="AE1048">
        <v>0.49475694444444446</v>
      </c>
      <c r="AF1048" t="s">
        <v>70</v>
      </c>
    </row>
    <row r="1049" spans="1:32">
      <c r="A1049">
        <v>1023366</v>
      </c>
      <c r="B1049" t="s">
        <v>75</v>
      </c>
      <c r="C1049" t="s">
        <v>62</v>
      </c>
      <c r="D1049">
        <v>46142</v>
      </c>
      <c r="E1049">
        <v>46142</v>
      </c>
      <c r="G1049">
        <v>377</v>
      </c>
      <c r="H1049" t="s">
        <v>63</v>
      </c>
      <c r="I1049">
        <v>9306</v>
      </c>
      <c r="J1049">
        <v>3993</v>
      </c>
      <c r="L1049" t="s">
        <v>1420</v>
      </c>
      <c r="M1049" t="s">
        <v>65</v>
      </c>
      <c r="N1049" t="s">
        <v>66</v>
      </c>
      <c r="O1049" s="2">
        <v>46142</v>
      </c>
      <c r="P1049" s="1">
        <v>268</v>
      </c>
      <c r="Q1049" t="s">
        <v>67</v>
      </c>
      <c r="R1049">
        <v>7.75</v>
      </c>
      <c r="S1049">
        <v>1.59</v>
      </c>
      <c r="T1049">
        <v>0.28999999999999998</v>
      </c>
      <c r="U1049">
        <v>259.95999999999998</v>
      </c>
      <c r="V1049" s="1">
        <v>0</v>
      </c>
      <c r="X1049">
        <v>20260504</v>
      </c>
      <c r="Z1049" t="s">
        <v>72</v>
      </c>
      <c r="AA1049">
        <v>3974527</v>
      </c>
      <c r="AB1049" t="s">
        <v>79</v>
      </c>
      <c r="AE1049">
        <v>0.53537037037037039</v>
      </c>
      <c r="AF1049" t="s">
        <v>70</v>
      </c>
    </row>
    <row r="1050" spans="1:32">
      <c r="A1050">
        <v>1023366</v>
      </c>
      <c r="B1050" t="s">
        <v>75</v>
      </c>
      <c r="C1050" t="s">
        <v>62</v>
      </c>
      <c r="D1050">
        <v>46142</v>
      </c>
      <c r="E1050">
        <v>46142</v>
      </c>
      <c r="G1050">
        <v>377</v>
      </c>
      <c r="H1050" t="s">
        <v>63</v>
      </c>
      <c r="I1050">
        <v>9308</v>
      </c>
      <c r="J1050">
        <v>126229</v>
      </c>
      <c r="L1050" t="s">
        <v>1421</v>
      </c>
      <c r="M1050" t="s">
        <v>65</v>
      </c>
      <c r="N1050" t="s">
        <v>66</v>
      </c>
      <c r="O1050" s="2">
        <v>46142</v>
      </c>
      <c r="P1050" s="1">
        <v>3148</v>
      </c>
      <c r="Q1050" t="s">
        <v>67</v>
      </c>
      <c r="R1050">
        <v>90.98</v>
      </c>
      <c r="S1050">
        <v>24.87</v>
      </c>
      <c r="T1050">
        <v>4.4800000000000004</v>
      </c>
      <c r="U1050">
        <v>3052.54</v>
      </c>
      <c r="V1050" s="1">
        <v>0</v>
      </c>
      <c r="X1050">
        <v>20260504</v>
      </c>
      <c r="Z1050" t="s">
        <v>68</v>
      </c>
      <c r="AA1050">
        <v>3974527</v>
      </c>
      <c r="AB1050" t="s">
        <v>77</v>
      </c>
      <c r="AE1050">
        <v>0.60797453703703708</v>
      </c>
      <c r="AF1050" t="s">
        <v>70</v>
      </c>
    </row>
    <row r="1051" spans="1:32">
      <c r="A1051">
        <v>1023366</v>
      </c>
      <c r="B1051" t="s">
        <v>75</v>
      </c>
      <c r="C1051" t="s">
        <v>62</v>
      </c>
      <c r="D1051">
        <v>46142</v>
      </c>
      <c r="E1051">
        <v>46142</v>
      </c>
      <c r="G1051">
        <v>377</v>
      </c>
      <c r="H1051" t="s">
        <v>63</v>
      </c>
      <c r="I1051">
        <v>9310</v>
      </c>
      <c r="J1051">
        <v>263411</v>
      </c>
      <c r="L1051" t="s">
        <v>1140</v>
      </c>
      <c r="M1051" t="s">
        <v>65</v>
      </c>
      <c r="N1051" t="s">
        <v>66</v>
      </c>
      <c r="O1051" s="2">
        <v>46142</v>
      </c>
      <c r="P1051" s="1">
        <v>39</v>
      </c>
      <c r="Q1051" t="s">
        <v>67</v>
      </c>
      <c r="R1051">
        <v>1.1299999999999999</v>
      </c>
      <c r="S1051">
        <v>0.23</v>
      </c>
      <c r="T1051">
        <v>0.04</v>
      </c>
      <c r="U1051">
        <v>37.83</v>
      </c>
      <c r="V1051" s="1">
        <v>0</v>
      </c>
      <c r="X1051">
        <v>20260504</v>
      </c>
      <c r="Z1051" t="s">
        <v>72</v>
      </c>
      <c r="AA1051">
        <v>3974527</v>
      </c>
      <c r="AB1051" t="s">
        <v>106</v>
      </c>
      <c r="AE1051">
        <v>0.61591435185185184</v>
      </c>
      <c r="AF1051" t="s">
        <v>70</v>
      </c>
    </row>
    <row r="1052" spans="1:32">
      <c r="A1052">
        <v>1023366</v>
      </c>
      <c r="B1052" t="s">
        <v>75</v>
      </c>
      <c r="C1052" t="s">
        <v>62</v>
      </c>
      <c r="D1052">
        <v>46142</v>
      </c>
      <c r="E1052">
        <v>46142</v>
      </c>
      <c r="G1052">
        <v>377</v>
      </c>
      <c r="H1052" t="s">
        <v>63</v>
      </c>
      <c r="I1052">
        <v>9315</v>
      </c>
      <c r="J1052">
        <v>923526</v>
      </c>
      <c r="L1052" t="s">
        <v>1422</v>
      </c>
      <c r="M1052" t="s">
        <v>65</v>
      </c>
      <c r="N1052" t="s">
        <v>66</v>
      </c>
      <c r="O1052" s="2">
        <v>46142</v>
      </c>
      <c r="P1052" s="1">
        <v>59</v>
      </c>
      <c r="Q1052" t="s">
        <v>67</v>
      </c>
      <c r="R1052">
        <v>1.71</v>
      </c>
      <c r="S1052">
        <v>0.77</v>
      </c>
      <c r="T1052">
        <v>0.14000000000000001</v>
      </c>
      <c r="U1052">
        <v>57.15</v>
      </c>
      <c r="V1052" s="1">
        <v>0</v>
      </c>
      <c r="X1052">
        <v>20260504</v>
      </c>
      <c r="Z1052" t="s">
        <v>68</v>
      </c>
      <c r="AA1052">
        <v>3974527</v>
      </c>
      <c r="AB1052" t="s">
        <v>77</v>
      </c>
      <c r="AE1052">
        <v>0.68609953703703708</v>
      </c>
      <c r="AF1052" t="s">
        <v>70</v>
      </c>
    </row>
    <row r="1053" spans="1:32">
      <c r="A1053">
        <v>1023366</v>
      </c>
      <c r="B1053" t="s">
        <v>75</v>
      </c>
      <c r="C1053" t="s">
        <v>62</v>
      </c>
      <c r="D1053">
        <v>46142</v>
      </c>
      <c r="E1053">
        <v>46142</v>
      </c>
      <c r="G1053">
        <v>377</v>
      </c>
      <c r="H1053" t="s">
        <v>63</v>
      </c>
      <c r="I1053">
        <v>9317</v>
      </c>
      <c r="J1053">
        <v>86469</v>
      </c>
      <c r="L1053" t="s">
        <v>1423</v>
      </c>
      <c r="M1053" t="s">
        <v>65</v>
      </c>
      <c r="N1053" t="s">
        <v>66</v>
      </c>
      <c r="O1053" s="2">
        <v>46142</v>
      </c>
      <c r="P1053" s="1">
        <v>169</v>
      </c>
      <c r="Q1053" t="s">
        <v>67</v>
      </c>
      <c r="R1053">
        <v>4.88</v>
      </c>
      <c r="S1053">
        <v>2.1800000000000002</v>
      </c>
      <c r="T1053">
        <v>0.39</v>
      </c>
      <c r="U1053">
        <v>163.72999999999999</v>
      </c>
      <c r="V1053" s="1">
        <v>0</v>
      </c>
      <c r="X1053">
        <v>20260504</v>
      </c>
      <c r="Z1053" t="s">
        <v>68</v>
      </c>
      <c r="AA1053">
        <v>3974527</v>
      </c>
      <c r="AB1053" t="s">
        <v>84</v>
      </c>
      <c r="AE1053">
        <v>0.68760416666666668</v>
      </c>
      <c r="AF1053" t="s">
        <v>70</v>
      </c>
    </row>
    <row r="1054" spans="1:32">
      <c r="A1054">
        <v>1023366</v>
      </c>
      <c r="B1054" t="s">
        <v>75</v>
      </c>
      <c r="C1054" t="s">
        <v>62</v>
      </c>
      <c r="D1054">
        <v>46142</v>
      </c>
      <c r="E1054">
        <v>46142</v>
      </c>
      <c r="G1054">
        <v>377</v>
      </c>
      <c r="H1054" t="s">
        <v>63</v>
      </c>
      <c r="I1054">
        <v>9320</v>
      </c>
      <c r="J1054">
        <v>239112</v>
      </c>
      <c r="L1054" t="s">
        <v>1424</v>
      </c>
      <c r="M1054" t="s">
        <v>96</v>
      </c>
      <c r="N1054" t="s">
        <v>66</v>
      </c>
      <c r="O1054" s="2">
        <v>46142</v>
      </c>
      <c r="P1054" s="1">
        <v>269</v>
      </c>
      <c r="Q1054" t="s">
        <v>67</v>
      </c>
      <c r="R1054">
        <v>10.49</v>
      </c>
      <c r="S1054">
        <v>5.52</v>
      </c>
      <c r="T1054">
        <v>0.99</v>
      </c>
      <c r="U1054">
        <v>257.52</v>
      </c>
      <c r="V1054" s="1">
        <v>0</v>
      </c>
      <c r="X1054">
        <v>20260504</v>
      </c>
      <c r="Z1054" t="s">
        <v>72</v>
      </c>
      <c r="AA1054">
        <v>3974527</v>
      </c>
      <c r="AB1054" t="s">
        <v>97</v>
      </c>
      <c r="AE1054">
        <v>0.6955324074074074</v>
      </c>
      <c r="AF1054" t="s">
        <v>70</v>
      </c>
    </row>
    <row r="1055" spans="1:32">
      <c r="A1055">
        <v>1023366</v>
      </c>
      <c r="B1055" t="s">
        <v>75</v>
      </c>
      <c r="C1055" t="s">
        <v>62</v>
      </c>
      <c r="D1055">
        <v>46142</v>
      </c>
      <c r="E1055">
        <v>46142</v>
      </c>
      <c r="G1055">
        <v>377</v>
      </c>
      <c r="H1055" t="s">
        <v>63</v>
      </c>
      <c r="I1055">
        <v>9327</v>
      </c>
      <c r="J1055">
        <v>255201</v>
      </c>
      <c r="L1055" t="s">
        <v>1425</v>
      </c>
      <c r="M1055" t="s">
        <v>65</v>
      </c>
      <c r="N1055" t="s">
        <v>66</v>
      </c>
      <c r="O1055" s="2">
        <v>46142</v>
      </c>
      <c r="P1055" s="1">
        <v>49</v>
      </c>
      <c r="Q1055" t="s">
        <v>67</v>
      </c>
      <c r="R1055">
        <v>1.42</v>
      </c>
      <c r="S1055">
        <v>0.64</v>
      </c>
      <c r="T1055">
        <v>0.12</v>
      </c>
      <c r="U1055">
        <v>47.46</v>
      </c>
      <c r="V1055" s="1">
        <v>0</v>
      </c>
      <c r="X1055">
        <v>20260504</v>
      </c>
      <c r="Z1055" t="s">
        <v>68</v>
      </c>
      <c r="AA1055">
        <v>3974527</v>
      </c>
      <c r="AB1055" t="s">
        <v>77</v>
      </c>
      <c r="AE1055">
        <v>0.72711805555555553</v>
      </c>
      <c r="AF1055" t="s">
        <v>70</v>
      </c>
    </row>
    <row r="1056" spans="1:32">
      <c r="A1056">
        <v>1023366</v>
      </c>
      <c r="B1056" t="s">
        <v>75</v>
      </c>
      <c r="C1056" t="s">
        <v>62</v>
      </c>
      <c r="D1056">
        <v>46142</v>
      </c>
      <c r="E1056">
        <v>46142</v>
      </c>
      <c r="G1056">
        <v>377</v>
      </c>
      <c r="H1056" t="s">
        <v>63</v>
      </c>
      <c r="I1056">
        <v>9329</v>
      </c>
      <c r="J1056">
        <v>161764</v>
      </c>
      <c r="L1056" t="s">
        <v>1426</v>
      </c>
      <c r="M1056" t="s">
        <v>65</v>
      </c>
      <c r="N1056" t="s">
        <v>66</v>
      </c>
      <c r="O1056" s="2">
        <v>46142</v>
      </c>
      <c r="P1056" s="1">
        <v>55</v>
      </c>
      <c r="Q1056" t="s">
        <v>67</v>
      </c>
      <c r="R1056">
        <v>1.59</v>
      </c>
      <c r="S1056">
        <v>0.71</v>
      </c>
      <c r="T1056">
        <v>0.13</v>
      </c>
      <c r="U1056">
        <v>53.28</v>
      </c>
      <c r="V1056" s="1">
        <v>0</v>
      </c>
      <c r="X1056">
        <v>20260504</v>
      </c>
      <c r="Z1056" t="s">
        <v>68</v>
      </c>
      <c r="AA1056">
        <v>3974527</v>
      </c>
      <c r="AB1056" t="s">
        <v>79</v>
      </c>
      <c r="AE1056">
        <v>0.73430555555555554</v>
      </c>
      <c r="AF1056" t="s">
        <v>70</v>
      </c>
    </row>
    <row r="1057" spans="1:32">
      <c r="A1057">
        <v>1023366</v>
      </c>
      <c r="B1057" t="s">
        <v>75</v>
      </c>
      <c r="C1057" t="s">
        <v>62</v>
      </c>
      <c r="D1057">
        <v>46142</v>
      </c>
      <c r="E1057">
        <v>46142</v>
      </c>
      <c r="G1057">
        <v>377</v>
      </c>
      <c r="H1057" t="s">
        <v>63</v>
      </c>
      <c r="I1057">
        <v>9331</v>
      </c>
      <c r="J1057">
        <v>833785</v>
      </c>
      <c r="L1057" t="s">
        <v>1427</v>
      </c>
      <c r="M1057" t="s">
        <v>65</v>
      </c>
      <c r="N1057" t="s">
        <v>66</v>
      </c>
      <c r="O1057" s="2">
        <v>46142</v>
      </c>
      <c r="P1057" s="1">
        <v>109</v>
      </c>
      <c r="Q1057" t="s">
        <v>67</v>
      </c>
      <c r="R1057">
        <v>3.15</v>
      </c>
      <c r="S1057">
        <v>1.41</v>
      </c>
      <c r="T1057">
        <v>0.25</v>
      </c>
      <c r="U1057">
        <v>105.6</v>
      </c>
      <c r="V1057" s="1">
        <v>0</v>
      </c>
      <c r="X1057">
        <v>20260504</v>
      </c>
      <c r="Z1057" t="s">
        <v>68</v>
      </c>
      <c r="AA1057">
        <v>3974527</v>
      </c>
      <c r="AB1057" t="s">
        <v>79</v>
      </c>
      <c r="AE1057">
        <v>0.75929398148148153</v>
      </c>
      <c r="AF1057" t="s">
        <v>70</v>
      </c>
    </row>
    <row r="1058" spans="1:32">
      <c r="A1058">
        <v>1023366</v>
      </c>
      <c r="B1058" t="s">
        <v>75</v>
      </c>
      <c r="C1058" t="s">
        <v>62</v>
      </c>
      <c r="D1058">
        <v>46142</v>
      </c>
      <c r="E1058">
        <v>46142</v>
      </c>
      <c r="G1058">
        <v>377</v>
      </c>
      <c r="H1058" t="s">
        <v>63</v>
      </c>
      <c r="I1058">
        <v>9333</v>
      </c>
      <c r="J1058">
        <v>644105</v>
      </c>
      <c r="L1058" t="s">
        <v>1428</v>
      </c>
      <c r="M1058" t="s">
        <v>65</v>
      </c>
      <c r="N1058" t="s">
        <v>66</v>
      </c>
      <c r="O1058" s="2">
        <v>46142</v>
      </c>
      <c r="P1058" s="1">
        <v>89</v>
      </c>
      <c r="Q1058" t="s">
        <v>67</v>
      </c>
      <c r="R1058">
        <v>2.57</v>
      </c>
      <c r="S1058">
        <v>1.1499999999999999</v>
      </c>
      <c r="T1058">
        <v>0.21</v>
      </c>
      <c r="U1058">
        <v>86.22</v>
      </c>
      <c r="V1058" s="1">
        <v>0</v>
      </c>
      <c r="X1058">
        <v>20260504</v>
      </c>
      <c r="Z1058" t="s">
        <v>68</v>
      </c>
      <c r="AA1058">
        <v>3974527</v>
      </c>
      <c r="AB1058" t="s">
        <v>93</v>
      </c>
      <c r="AE1058">
        <v>0.76410879629629624</v>
      </c>
      <c r="AF1058" t="s">
        <v>70</v>
      </c>
    </row>
    <row r="1059" spans="1:32">
      <c r="A1059">
        <v>1023366</v>
      </c>
      <c r="B1059" t="s">
        <v>75</v>
      </c>
      <c r="C1059" t="s">
        <v>62</v>
      </c>
      <c r="D1059">
        <v>46142</v>
      </c>
      <c r="E1059">
        <v>46142</v>
      </c>
      <c r="G1059">
        <v>377</v>
      </c>
      <c r="H1059" t="s">
        <v>63</v>
      </c>
      <c r="I1059">
        <v>9335</v>
      </c>
      <c r="J1059">
        <v>732250</v>
      </c>
      <c r="L1059" t="s">
        <v>1429</v>
      </c>
      <c r="M1059" t="s">
        <v>65</v>
      </c>
      <c r="N1059" t="s">
        <v>66</v>
      </c>
      <c r="O1059" s="2">
        <v>46142</v>
      </c>
      <c r="P1059" s="1">
        <v>143</v>
      </c>
      <c r="Q1059" t="s">
        <v>67</v>
      </c>
      <c r="R1059">
        <v>4.13</v>
      </c>
      <c r="S1059">
        <v>0.84</v>
      </c>
      <c r="T1059">
        <v>0.15</v>
      </c>
      <c r="U1059">
        <v>138.72</v>
      </c>
      <c r="V1059" s="1">
        <v>0</v>
      </c>
      <c r="X1059">
        <v>20260504</v>
      </c>
      <c r="Z1059" t="s">
        <v>72</v>
      </c>
      <c r="AA1059">
        <v>3974527</v>
      </c>
      <c r="AB1059" t="s">
        <v>93</v>
      </c>
      <c r="AE1059">
        <v>0.77589120370370368</v>
      </c>
      <c r="AF1059" t="s">
        <v>70</v>
      </c>
    </row>
    <row r="1060" spans="1:32">
      <c r="A1060">
        <v>1023366</v>
      </c>
      <c r="B1060" t="s">
        <v>75</v>
      </c>
      <c r="C1060" t="s">
        <v>62</v>
      </c>
      <c r="D1060">
        <v>46142</v>
      </c>
      <c r="E1060">
        <v>46142</v>
      </c>
      <c r="G1060">
        <v>377</v>
      </c>
      <c r="H1060" t="s">
        <v>63</v>
      </c>
      <c r="I1060">
        <v>9337</v>
      </c>
      <c r="J1060">
        <v>330413</v>
      </c>
      <c r="L1060" t="s">
        <v>1430</v>
      </c>
      <c r="M1060" t="s">
        <v>65</v>
      </c>
      <c r="N1060" t="s">
        <v>66</v>
      </c>
      <c r="O1060" s="2">
        <v>46142</v>
      </c>
      <c r="P1060" s="1">
        <v>1008</v>
      </c>
      <c r="Q1060" t="s">
        <v>67</v>
      </c>
      <c r="R1060">
        <v>29.13</v>
      </c>
      <c r="S1060">
        <v>13</v>
      </c>
      <c r="T1060">
        <v>2.34</v>
      </c>
      <c r="U1060">
        <v>976.53</v>
      </c>
      <c r="V1060" s="1">
        <v>0</v>
      </c>
      <c r="X1060">
        <v>20260504</v>
      </c>
      <c r="Z1060" t="s">
        <v>68</v>
      </c>
      <c r="AA1060">
        <v>3974527</v>
      </c>
      <c r="AB1060" t="s">
        <v>79</v>
      </c>
      <c r="AE1060">
        <v>0.78921296296296295</v>
      </c>
      <c r="AF1060" t="s">
        <v>70</v>
      </c>
    </row>
    <row r="1061" spans="1:32">
      <c r="A1061">
        <v>1023366</v>
      </c>
      <c r="B1061" t="s">
        <v>75</v>
      </c>
      <c r="C1061" t="s">
        <v>62</v>
      </c>
      <c r="D1061">
        <v>46142</v>
      </c>
      <c r="E1061">
        <v>46142</v>
      </c>
      <c r="G1061">
        <v>377</v>
      </c>
      <c r="H1061" t="s">
        <v>63</v>
      </c>
      <c r="I1061">
        <v>9344</v>
      </c>
      <c r="J1061">
        <v>362180</v>
      </c>
      <c r="L1061" t="s">
        <v>1431</v>
      </c>
      <c r="M1061" t="s">
        <v>65</v>
      </c>
      <c r="N1061" t="s">
        <v>66</v>
      </c>
      <c r="O1061" s="2">
        <v>46142</v>
      </c>
      <c r="P1061" s="1">
        <v>34.9</v>
      </c>
      <c r="Q1061" t="s">
        <v>67</v>
      </c>
      <c r="R1061">
        <v>1.01</v>
      </c>
      <c r="S1061">
        <v>0.45</v>
      </c>
      <c r="T1061">
        <v>0.08</v>
      </c>
      <c r="U1061">
        <v>33.81</v>
      </c>
      <c r="V1061" s="1">
        <v>0</v>
      </c>
      <c r="X1061">
        <v>20260504</v>
      </c>
      <c r="Z1061" t="s">
        <v>68</v>
      </c>
      <c r="AA1061">
        <v>3974527</v>
      </c>
      <c r="AB1061" t="s">
        <v>79</v>
      </c>
      <c r="AE1061">
        <v>0.79857638888888893</v>
      </c>
      <c r="AF1061" t="s">
        <v>70</v>
      </c>
    </row>
    <row r="1062" spans="1:32">
      <c r="A1062">
        <v>1023366</v>
      </c>
      <c r="B1062" t="s">
        <v>75</v>
      </c>
      <c r="C1062" t="s">
        <v>62</v>
      </c>
      <c r="D1062">
        <v>46142</v>
      </c>
      <c r="E1062">
        <v>46142</v>
      </c>
      <c r="G1062">
        <v>377</v>
      </c>
      <c r="H1062" t="s">
        <v>63</v>
      </c>
      <c r="I1062">
        <v>9346</v>
      </c>
      <c r="J1062">
        <v>357739</v>
      </c>
      <c r="L1062" t="s">
        <v>1432</v>
      </c>
      <c r="M1062" t="s">
        <v>65</v>
      </c>
      <c r="N1062" t="s">
        <v>66</v>
      </c>
      <c r="O1062" s="2">
        <v>46142</v>
      </c>
      <c r="P1062" s="1">
        <v>69</v>
      </c>
      <c r="Q1062" t="s">
        <v>67</v>
      </c>
      <c r="R1062">
        <v>1.99</v>
      </c>
      <c r="S1062">
        <v>0.4</v>
      </c>
      <c r="T1062">
        <v>7.0000000000000007E-2</v>
      </c>
      <c r="U1062">
        <v>66.94</v>
      </c>
      <c r="V1062" s="1">
        <v>0</v>
      </c>
      <c r="X1062">
        <v>20260504</v>
      </c>
      <c r="Z1062" t="s">
        <v>72</v>
      </c>
      <c r="AA1062">
        <v>3974527</v>
      </c>
      <c r="AB1062" t="s">
        <v>106</v>
      </c>
      <c r="AE1062">
        <v>0.80142361111111116</v>
      </c>
      <c r="AF1062" t="s">
        <v>70</v>
      </c>
    </row>
    <row r="1063" spans="1:32">
      <c r="A1063">
        <v>1023366</v>
      </c>
      <c r="B1063" t="s">
        <v>75</v>
      </c>
      <c r="C1063" t="s">
        <v>62</v>
      </c>
      <c r="D1063">
        <v>46142</v>
      </c>
      <c r="E1063">
        <v>46142</v>
      </c>
      <c r="G1063">
        <v>377</v>
      </c>
      <c r="H1063" t="s">
        <v>63</v>
      </c>
      <c r="I1063">
        <v>9356</v>
      </c>
      <c r="J1063">
        <v>416737</v>
      </c>
      <c r="L1063" t="s">
        <v>888</v>
      </c>
      <c r="M1063" t="s">
        <v>65</v>
      </c>
      <c r="N1063" t="s">
        <v>66</v>
      </c>
      <c r="O1063" s="2">
        <v>46142</v>
      </c>
      <c r="P1063" s="1">
        <v>209</v>
      </c>
      <c r="Q1063" t="s">
        <v>67</v>
      </c>
      <c r="R1063">
        <v>6.04</v>
      </c>
      <c r="S1063">
        <v>2.7</v>
      </c>
      <c r="T1063">
        <v>0.49</v>
      </c>
      <c r="U1063">
        <v>202.47</v>
      </c>
      <c r="V1063" s="1">
        <v>0</v>
      </c>
      <c r="X1063">
        <v>20260504</v>
      </c>
      <c r="Z1063" t="s">
        <v>68</v>
      </c>
      <c r="AA1063">
        <v>3974527</v>
      </c>
      <c r="AB1063" t="s">
        <v>79</v>
      </c>
      <c r="AE1063">
        <v>0.81966435185185182</v>
      </c>
      <c r="AF1063" t="s">
        <v>70</v>
      </c>
    </row>
    <row r="1064" spans="1:32">
      <c r="A1064">
        <v>1023366</v>
      </c>
      <c r="B1064" t="s">
        <v>75</v>
      </c>
      <c r="C1064" t="s">
        <v>62</v>
      </c>
      <c r="D1064">
        <v>46142</v>
      </c>
      <c r="E1064">
        <v>46142</v>
      </c>
      <c r="G1064">
        <v>377</v>
      </c>
      <c r="H1064">
        <v>65656565</v>
      </c>
      <c r="I1064">
        <v>9358</v>
      </c>
      <c r="J1064">
        <v>445260</v>
      </c>
      <c r="L1064" t="s">
        <v>1433</v>
      </c>
      <c r="M1064" t="s">
        <v>65</v>
      </c>
      <c r="N1064" t="s">
        <v>66</v>
      </c>
      <c r="O1064" s="2">
        <v>46142</v>
      </c>
      <c r="P1064" s="1">
        <v>35</v>
      </c>
      <c r="Q1064" t="s">
        <v>67</v>
      </c>
      <c r="R1064">
        <v>1.01</v>
      </c>
      <c r="S1064">
        <v>0.45</v>
      </c>
      <c r="T1064">
        <v>0.08</v>
      </c>
      <c r="U1064">
        <v>33.909999999999997</v>
      </c>
      <c r="V1064" s="1">
        <v>0</v>
      </c>
      <c r="X1064">
        <v>20260504</v>
      </c>
      <c r="Z1064" t="s">
        <v>68</v>
      </c>
      <c r="AA1064">
        <v>3974527</v>
      </c>
      <c r="AB1064" t="s">
        <v>79</v>
      </c>
      <c r="AD1064" t="s">
        <v>88</v>
      </c>
      <c r="AE1064">
        <v>0.82342592592592589</v>
      </c>
      <c r="AF1064" t="s">
        <v>70</v>
      </c>
    </row>
    <row r="1065" spans="1:32">
      <c r="A1065">
        <v>1023366</v>
      </c>
      <c r="B1065" t="s">
        <v>75</v>
      </c>
      <c r="C1065" t="s">
        <v>62</v>
      </c>
      <c r="D1065">
        <v>46142</v>
      </c>
      <c r="E1065">
        <v>46142</v>
      </c>
      <c r="G1065">
        <v>377</v>
      </c>
      <c r="H1065" t="s">
        <v>63</v>
      </c>
      <c r="I1065">
        <v>9361</v>
      </c>
      <c r="J1065">
        <v>195327</v>
      </c>
      <c r="K1065">
        <v>3</v>
      </c>
      <c r="L1065" t="s">
        <v>1434</v>
      </c>
      <c r="M1065" t="s">
        <v>65</v>
      </c>
      <c r="N1065" t="s">
        <v>66</v>
      </c>
      <c r="O1065" s="2">
        <v>46142</v>
      </c>
      <c r="P1065" s="1">
        <v>199</v>
      </c>
      <c r="Q1065" t="s">
        <v>67</v>
      </c>
      <c r="R1065">
        <v>9.23</v>
      </c>
      <c r="S1065">
        <v>1.57</v>
      </c>
      <c r="T1065">
        <v>0.28000000000000003</v>
      </c>
      <c r="U1065">
        <v>189.49</v>
      </c>
      <c r="V1065" s="1">
        <v>0</v>
      </c>
      <c r="X1065">
        <v>20260504</v>
      </c>
      <c r="Z1065" t="s">
        <v>72</v>
      </c>
      <c r="AA1065">
        <v>3974527</v>
      </c>
      <c r="AB1065" t="s">
        <v>93</v>
      </c>
      <c r="AC1065" t="s">
        <v>120</v>
      </c>
      <c r="AE1065">
        <v>0.83835648148148145</v>
      </c>
      <c r="AF1065" t="s">
        <v>70</v>
      </c>
    </row>
    <row r="1066" spans="1:32">
      <c r="A1066">
        <v>1023366</v>
      </c>
      <c r="B1066" t="s">
        <v>75</v>
      </c>
      <c r="C1066" t="s">
        <v>62</v>
      </c>
      <c r="D1066">
        <v>46142</v>
      </c>
      <c r="E1066">
        <v>46142</v>
      </c>
      <c r="G1066">
        <v>377</v>
      </c>
      <c r="H1066" t="s">
        <v>63</v>
      </c>
      <c r="I1066">
        <v>9363</v>
      </c>
      <c r="J1066">
        <v>132459</v>
      </c>
      <c r="L1066" t="s">
        <v>1435</v>
      </c>
      <c r="M1066" t="s">
        <v>65</v>
      </c>
      <c r="N1066" t="s">
        <v>66</v>
      </c>
      <c r="O1066" s="2">
        <v>46142</v>
      </c>
      <c r="P1066" s="1">
        <v>89</v>
      </c>
      <c r="Q1066" t="s">
        <v>67</v>
      </c>
      <c r="R1066">
        <v>2.57</v>
      </c>
      <c r="S1066">
        <v>0.7</v>
      </c>
      <c r="T1066">
        <v>0.13</v>
      </c>
      <c r="U1066">
        <v>86.3</v>
      </c>
      <c r="V1066" s="1">
        <v>6582.09</v>
      </c>
      <c r="W1066">
        <v>46146</v>
      </c>
      <c r="X1066">
        <v>20260504</v>
      </c>
      <c r="Z1066" t="s">
        <v>72</v>
      </c>
      <c r="AA1066">
        <v>3974527</v>
      </c>
      <c r="AB1066" t="s">
        <v>77</v>
      </c>
      <c r="AE1066">
        <v>0.84253472222222225</v>
      </c>
      <c r="AF1066" t="s">
        <v>70</v>
      </c>
    </row>
  </sheetData>
  <mergeCells count="1">
    <mergeCell ref="AM1:A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942B-4024-423C-8AE8-F8911A458CA3}">
  <dimension ref="A1:AH45"/>
  <sheetViews>
    <sheetView topLeftCell="N1" zoomScale="85" zoomScaleNormal="85" workbookViewId="0">
      <selection activeCell="W39" sqref="W39"/>
    </sheetView>
  </sheetViews>
  <sheetFormatPr baseColWidth="10" defaultRowHeight="14.4"/>
  <cols>
    <col min="16" max="20" width="11.5546875" style="1"/>
    <col min="21" max="21" width="13.44140625" style="1" customWidth="1"/>
    <col min="22" max="22" width="15.109375" customWidth="1"/>
    <col min="23" max="23" width="10.109375" customWidth="1"/>
    <col min="24" max="25" width="11.5546875" hidden="1" customWidth="1"/>
    <col min="26" max="26" width="17.109375" style="9" bestFit="1" customWidth="1"/>
    <col min="27" max="27" width="15.44140625" bestFit="1" customWidth="1"/>
  </cols>
  <sheetData>
    <row r="1" spans="1:34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46</v>
      </c>
      <c r="R1" t="s">
        <v>455</v>
      </c>
      <c r="S1" t="s">
        <v>48</v>
      </c>
      <c r="T1" t="s">
        <v>49</v>
      </c>
      <c r="U1" s="29" t="s">
        <v>50</v>
      </c>
      <c r="V1" s="29" t="s">
        <v>51</v>
      </c>
      <c r="W1" t="s">
        <v>53</v>
      </c>
      <c r="AE1" s="29" t="s">
        <v>584</v>
      </c>
      <c r="AF1" s="29"/>
      <c r="AG1" s="29"/>
    </row>
    <row r="2" spans="1:34">
      <c r="A2">
        <v>1023366</v>
      </c>
      <c r="C2" t="s">
        <v>62</v>
      </c>
      <c r="D2" s="2">
        <v>46111</v>
      </c>
      <c r="E2" s="2">
        <v>46111</v>
      </c>
      <c r="G2">
        <v>346</v>
      </c>
      <c r="H2" t="s">
        <v>63</v>
      </c>
      <c r="I2">
        <v>6177</v>
      </c>
      <c r="J2">
        <v>340273</v>
      </c>
      <c r="L2" t="s">
        <v>1436</v>
      </c>
      <c r="N2" t="s">
        <v>456</v>
      </c>
      <c r="O2" s="2">
        <v>46111</v>
      </c>
      <c r="P2">
        <v>59</v>
      </c>
      <c r="Q2">
        <v>2.35</v>
      </c>
      <c r="R2">
        <v>0.47</v>
      </c>
      <c r="S2">
        <v>0.08</v>
      </c>
      <c r="T2">
        <v>56.57</v>
      </c>
      <c r="U2">
        <v>0</v>
      </c>
      <c r="V2">
        <v>20260401</v>
      </c>
      <c r="Z2" s="4" t="s">
        <v>536</v>
      </c>
      <c r="AA2" t="s">
        <v>539</v>
      </c>
      <c r="AC2">
        <v>104107</v>
      </c>
      <c r="AD2" s="30">
        <v>318.93</v>
      </c>
      <c r="AE2" t="s">
        <v>568</v>
      </c>
      <c r="AF2" t="s">
        <v>558</v>
      </c>
      <c r="AG2" s="12">
        <v>0</v>
      </c>
    </row>
    <row r="3" spans="1:34">
      <c r="A3">
        <v>1023366</v>
      </c>
      <c r="C3" t="s">
        <v>62</v>
      </c>
      <c r="D3" s="2">
        <v>46111</v>
      </c>
      <c r="E3" s="2">
        <v>46111</v>
      </c>
      <c r="G3">
        <v>346</v>
      </c>
      <c r="H3" t="s">
        <v>63</v>
      </c>
      <c r="I3">
        <v>6241</v>
      </c>
      <c r="J3">
        <v>505968</v>
      </c>
      <c r="L3" t="s">
        <v>1437</v>
      </c>
      <c r="N3" t="s">
        <v>456</v>
      </c>
      <c r="O3" s="2">
        <v>46111</v>
      </c>
      <c r="P3">
        <v>149</v>
      </c>
      <c r="Q3">
        <v>5.95</v>
      </c>
      <c r="R3">
        <v>1.19</v>
      </c>
      <c r="S3">
        <v>0.21</v>
      </c>
      <c r="T3">
        <v>142.84</v>
      </c>
      <c r="U3">
        <v>0</v>
      </c>
      <c r="V3">
        <v>20260401</v>
      </c>
      <c r="Z3" s="5">
        <v>46111</v>
      </c>
      <c r="AA3" s="40">
        <v>208</v>
      </c>
      <c r="AC3">
        <v>104107</v>
      </c>
      <c r="AD3" s="30">
        <v>20061.3</v>
      </c>
      <c r="AE3" t="s">
        <v>561</v>
      </c>
      <c r="AF3" t="s">
        <v>558</v>
      </c>
      <c r="AG3" s="12">
        <v>0</v>
      </c>
    </row>
    <row r="4" spans="1:34">
      <c r="A4">
        <v>1023366</v>
      </c>
      <c r="C4" t="s">
        <v>425</v>
      </c>
      <c r="D4" s="2">
        <v>46111</v>
      </c>
      <c r="E4" s="2">
        <v>46111</v>
      </c>
      <c r="F4">
        <v>9996</v>
      </c>
      <c r="N4" t="s">
        <v>1438</v>
      </c>
      <c r="O4" s="2">
        <v>46111</v>
      </c>
      <c r="P4">
        <v>0</v>
      </c>
      <c r="Q4">
        <v>-5</v>
      </c>
      <c r="R4">
        <v>-5</v>
      </c>
      <c r="S4">
        <v>-0.9</v>
      </c>
      <c r="T4">
        <v>-5.9</v>
      </c>
      <c r="U4">
        <v>0</v>
      </c>
      <c r="V4">
        <v>20260401</v>
      </c>
      <c r="W4" t="s">
        <v>429</v>
      </c>
      <c r="Z4" s="5">
        <v>46112</v>
      </c>
      <c r="AA4" s="40">
        <v>115.48</v>
      </c>
    </row>
    <row r="5" spans="1:34">
      <c r="A5">
        <v>1023366</v>
      </c>
      <c r="C5" t="s">
        <v>62</v>
      </c>
      <c r="D5" s="2">
        <v>46111</v>
      </c>
      <c r="P5">
        <v>0</v>
      </c>
      <c r="Q5">
        <v>0</v>
      </c>
      <c r="R5">
        <v>0</v>
      </c>
      <c r="S5">
        <v>0</v>
      </c>
      <c r="T5">
        <v>-5.9</v>
      </c>
      <c r="U5">
        <v>193.51</v>
      </c>
      <c r="V5">
        <v>20260401</v>
      </c>
      <c r="W5" t="s">
        <v>454</v>
      </c>
      <c r="Z5" s="5">
        <v>46113</v>
      </c>
      <c r="AA5" s="40">
        <v>2971</v>
      </c>
      <c r="AD5">
        <v>104107</v>
      </c>
      <c r="AE5" s="30">
        <f>+U5</f>
        <v>193.51</v>
      </c>
      <c r="AF5" t="str">
        <f>_xlfn.XLOOKUP(AE5,Bancos!H:H,Bancos!C:C)</f>
        <v>8001422</v>
      </c>
      <c r="AG5" t="str">
        <f>_xlfn.XLOOKUP(AF5,Bancos!C:C,Bancos!A:A)</f>
        <v>01/04/2026</v>
      </c>
      <c r="AH5">
        <f>+AG5-V5</f>
        <v>-20214288</v>
      </c>
    </row>
    <row r="6" spans="1:34">
      <c r="A6">
        <v>1023366</v>
      </c>
      <c r="C6" t="s">
        <v>62</v>
      </c>
      <c r="D6" s="2">
        <v>46112</v>
      </c>
      <c r="E6" s="2">
        <v>46112</v>
      </c>
      <c r="G6">
        <v>347</v>
      </c>
      <c r="H6" t="s">
        <v>63</v>
      </c>
      <c r="I6">
        <v>6326</v>
      </c>
      <c r="J6">
        <v>115978</v>
      </c>
      <c r="L6" t="s">
        <v>1439</v>
      </c>
      <c r="N6" t="s">
        <v>456</v>
      </c>
      <c r="O6" s="2">
        <v>46112</v>
      </c>
      <c r="P6">
        <v>115.48</v>
      </c>
      <c r="Q6">
        <v>4.6100000000000003</v>
      </c>
      <c r="R6">
        <v>0.92</v>
      </c>
      <c r="S6">
        <v>0.17</v>
      </c>
      <c r="T6">
        <v>110.7</v>
      </c>
      <c r="U6">
        <v>110.7</v>
      </c>
      <c r="V6">
        <v>20260402</v>
      </c>
      <c r="Z6" s="42">
        <v>46115</v>
      </c>
      <c r="AA6" s="41">
        <v>632.1</v>
      </c>
    </row>
    <row r="7" spans="1:34">
      <c r="A7">
        <v>1023366</v>
      </c>
      <c r="C7" t="s">
        <v>62</v>
      </c>
      <c r="D7" s="2">
        <v>46113</v>
      </c>
      <c r="E7" s="2">
        <v>46113</v>
      </c>
      <c r="G7">
        <v>348</v>
      </c>
      <c r="H7" t="s">
        <v>63</v>
      </c>
      <c r="I7">
        <v>6391</v>
      </c>
      <c r="J7">
        <v>472355</v>
      </c>
      <c r="L7" t="s">
        <v>457</v>
      </c>
      <c r="N7" t="s">
        <v>456</v>
      </c>
      <c r="O7" s="2">
        <v>46113</v>
      </c>
      <c r="P7">
        <v>298</v>
      </c>
      <c r="Q7">
        <v>11.89</v>
      </c>
      <c r="R7">
        <v>2.38</v>
      </c>
      <c r="S7">
        <v>0.43</v>
      </c>
      <c r="T7">
        <v>285.68</v>
      </c>
      <c r="U7">
        <v>0</v>
      </c>
      <c r="V7">
        <v>20260407</v>
      </c>
      <c r="Z7" s="5">
        <v>46116</v>
      </c>
      <c r="AA7" s="40">
        <v>1537</v>
      </c>
    </row>
    <row r="8" spans="1:34">
      <c r="A8">
        <v>1023366</v>
      </c>
      <c r="C8" t="s">
        <v>62</v>
      </c>
      <c r="D8" s="2">
        <v>46113</v>
      </c>
      <c r="E8" s="2">
        <v>46113</v>
      </c>
      <c r="G8">
        <v>348</v>
      </c>
      <c r="H8" t="s">
        <v>63</v>
      </c>
      <c r="I8">
        <v>6405</v>
      </c>
      <c r="J8">
        <v>362363</v>
      </c>
      <c r="L8" t="s">
        <v>458</v>
      </c>
      <c r="N8" t="s">
        <v>456</v>
      </c>
      <c r="O8" s="2">
        <v>46113</v>
      </c>
      <c r="P8">
        <v>536</v>
      </c>
      <c r="Q8">
        <v>21.39</v>
      </c>
      <c r="R8">
        <v>4.28</v>
      </c>
      <c r="S8">
        <v>0.77</v>
      </c>
      <c r="T8">
        <v>513.84</v>
      </c>
      <c r="U8">
        <v>0</v>
      </c>
      <c r="V8">
        <v>20260407</v>
      </c>
      <c r="Z8" s="5">
        <v>46117</v>
      </c>
      <c r="AA8" s="40">
        <v>149</v>
      </c>
      <c r="AD8">
        <v>104107</v>
      </c>
      <c r="AE8" s="30">
        <f>+U8</f>
        <v>0</v>
      </c>
      <c r="AF8" t="e">
        <f>_xlfn.XLOOKUP(AE8,Bancos!H:H,Bancos!C:C)</f>
        <v>#N/A</v>
      </c>
      <c r="AG8" t="e">
        <f>_xlfn.XLOOKUP(AF8,Bancos!C:C,Bancos!A:A)</f>
        <v>#N/A</v>
      </c>
      <c r="AH8" t="e">
        <f>+AG8-V8</f>
        <v>#N/A</v>
      </c>
    </row>
    <row r="9" spans="1:34">
      <c r="A9">
        <v>1023366</v>
      </c>
      <c r="C9" t="s">
        <v>62</v>
      </c>
      <c r="D9" s="2">
        <v>46113</v>
      </c>
      <c r="E9" s="2">
        <v>46113</v>
      </c>
      <c r="G9">
        <v>348</v>
      </c>
      <c r="H9" t="s">
        <v>63</v>
      </c>
      <c r="I9">
        <v>6409</v>
      </c>
      <c r="J9">
        <v>474474</v>
      </c>
      <c r="L9" t="s">
        <v>459</v>
      </c>
      <c r="N9" t="s">
        <v>456</v>
      </c>
      <c r="O9" s="2">
        <v>46113</v>
      </c>
      <c r="P9">
        <v>159</v>
      </c>
      <c r="Q9">
        <v>6.34</v>
      </c>
      <c r="R9">
        <v>1.27</v>
      </c>
      <c r="S9">
        <v>0.23</v>
      </c>
      <c r="T9">
        <v>152.43</v>
      </c>
      <c r="U9">
        <v>0</v>
      </c>
      <c r="V9">
        <v>20260407</v>
      </c>
      <c r="Z9" s="5">
        <v>46118</v>
      </c>
      <c r="AA9" s="40">
        <v>2437</v>
      </c>
    </row>
    <row r="10" spans="1:34">
      <c r="A10">
        <v>1023366</v>
      </c>
      <c r="C10" t="s">
        <v>62</v>
      </c>
      <c r="D10" s="2">
        <v>46113</v>
      </c>
      <c r="E10" s="2">
        <v>46113</v>
      </c>
      <c r="G10">
        <v>348</v>
      </c>
      <c r="H10" t="s">
        <v>63</v>
      </c>
      <c r="I10">
        <v>6457</v>
      </c>
      <c r="J10">
        <v>892497</v>
      </c>
      <c r="L10" t="s">
        <v>460</v>
      </c>
      <c r="N10" t="s">
        <v>456</v>
      </c>
      <c r="O10" s="2">
        <v>46113</v>
      </c>
      <c r="P10">
        <v>1978</v>
      </c>
      <c r="Q10">
        <v>78.92</v>
      </c>
      <c r="R10">
        <v>15.78</v>
      </c>
      <c r="S10">
        <v>2.84</v>
      </c>
      <c r="T10">
        <v>1896.24</v>
      </c>
      <c r="U10">
        <v>2848.19</v>
      </c>
      <c r="V10">
        <v>20260407</v>
      </c>
      <c r="Z10" s="5">
        <v>46119</v>
      </c>
      <c r="AA10" s="40">
        <v>549</v>
      </c>
    </row>
    <row r="11" spans="1:34">
      <c r="A11">
        <v>1023366</v>
      </c>
      <c r="C11" t="s">
        <v>62</v>
      </c>
      <c r="D11" s="2">
        <v>46115</v>
      </c>
      <c r="E11" s="2">
        <v>46115</v>
      </c>
      <c r="G11">
        <v>350</v>
      </c>
      <c r="H11" t="s">
        <v>63</v>
      </c>
      <c r="I11">
        <v>6695</v>
      </c>
      <c r="J11">
        <v>181364</v>
      </c>
      <c r="L11" t="s">
        <v>461</v>
      </c>
      <c r="N11" t="s">
        <v>456</v>
      </c>
      <c r="O11" s="2">
        <v>46115</v>
      </c>
      <c r="P11">
        <v>139</v>
      </c>
      <c r="Q11">
        <v>5.55</v>
      </c>
      <c r="R11">
        <v>1.1100000000000001</v>
      </c>
      <c r="S11">
        <v>0.2</v>
      </c>
      <c r="T11">
        <v>133.25</v>
      </c>
      <c r="U11">
        <v>0</v>
      </c>
      <c r="V11">
        <v>20260407</v>
      </c>
      <c r="Z11" s="5">
        <v>46120</v>
      </c>
      <c r="AA11" s="40">
        <v>269</v>
      </c>
      <c r="AD11">
        <v>104107</v>
      </c>
      <c r="AE11" s="30">
        <f t="shared" ref="AE11:AE12" si="0">+U11</f>
        <v>0</v>
      </c>
      <c r="AF11" t="e">
        <f>_xlfn.XLOOKUP(AE11,Bancos!H:H,Bancos!C:C)</f>
        <v>#N/A</v>
      </c>
      <c r="AG11" t="e">
        <f>_xlfn.XLOOKUP(AF11,Bancos!C:C,Bancos!A:A)</f>
        <v>#N/A</v>
      </c>
      <c r="AH11" t="e">
        <f t="shared" ref="AH11:AH12" si="1">+AG11-V11</f>
        <v>#N/A</v>
      </c>
    </row>
    <row r="12" spans="1:34">
      <c r="A12">
        <v>1023366</v>
      </c>
      <c r="C12" t="s">
        <v>62</v>
      </c>
      <c r="D12" s="2">
        <v>46115</v>
      </c>
      <c r="E12" s="2">
        <v>46115</v>
      </c>
      <c r="G12">
        <v>350</v>
      </c>
      <c r="H12" t="s">
        <v>63</v>
      </c>
      <c r="I12">
        <v>6729</v>
      </c>
      <c r="J12">
        <v>523862</v>
      </c>
      <c r="L12" t="s">
        <v>462</v>
      </c>
      <c r="N12" t="s">
        <v>456</v>
      </c>
      <c r="O12" s="2">
        <v>46115</v>
      </c>
      <c r="P12">
        <v>224.1</v>
      </c>
      <c r="Q12">
        <v>8.94</v>
      </c>
      <c r="R12">
        <v>1.79</v>
      </c>
      <c r="S12">
        <v>0.32</v>
      </c>
      <c r="T12">
        <v>214.84</v>
      </c>
      <c r="U12">
        <v>0</v>
      </c>
      <c r="V12">
        <v>20260407</v>
      </c>
      <c r="Z12" s="6" t="s">
        <v>537</v>
      </c>
      <c r="AA12" s="40">
        <v>0</v>
      </c>
      <c r="AD12">
        <v>104107</v>
      </c>
      <c r="AE12" s="30">
        <f t="shared" si="0"/>
        <v>0</v>
      </c>
      <c r="AF12" t="e">
        <f>_xlfn.XLOOKUP(AE12,Bancos!H:H,Bancos!C:C)</f>
        <v>#N/A</v>
      </c>
      <c r="AG12" t="e">
        <f>_xlfn.XLOOKUP(AF12,Bancos!C:C,Bancos!A:A)</f>
        <v>#N/A</v>
      </c>
      <c r="AH12" t="e">
        <f t="shared" si="1"/>
        <v>#N/A</v>
      </c>
    </row>
    <row r="13" spans="1:34">
      <c r="A13">
        <v>1023366</v>
      </c>
      <c r="C13" t="s">
        <v>62</v>
      </c>
      <c r="D13" s="2">
        <v>46115</v>
      </c>
      <c r="E13" s="2">
        <v>46115</v>
      </c>
      <c r="G13">
        <v>350</v>
      </c>
      <c r="H13" t="s">
        <v>63</v>
      </c>
      <c r="I13">
        <v>6735</v>
      </c>
      <c r="J13">
        <v>470758</v>
      </c>
      <c r="L13" t="s">
        <v>463</v>
      </c>
      <c r="N13" t="s">
        <v>456</v>
      </c>
      <c r="O13" s="2">
        <v>46115</v>
      </c>
      <c r="P13">
        <v>269</v>
      </c>
      <c r="Q13">
        <v>10.73</v>
      </c>
      <c r="R13">
        <v>2.15</v>
      </c>
      <c r="S13">
        <v>0.39</v>
      </c>
      <c r="T13">
        <v>257.88</v>
      </c>
      <c r="U13">
        <v>605.97</v>
      </c>
      <c r="V13">
        <v>20260407</v>
      </c>
      <c r="Z13" s="5">
        <v>46121</v>
      </c>
      <c r="AA13" s="40">
        <v>69</v>
      </c>
    </row>
    <row r="14" spans="1:34">
      <c r="A14">
        <v>1023366</v>
      </c>
      <c r="C14" t="s">
        <v>62</v>
      </c>
      <c r="D14" s="2">
        <v>46116</v>
      </c>
      <c r="E14" s="2">
        <v>46116</v>
      </c>
      <c r="G14">
        <v>351</v>
      </c>
      <c r="H14" t="s">
        <v>63</v>
      </c>
      <c r="I14">
        <v>6779</v>
      </c>
      <c r="J14">
        <v>564657</v>
      </c>
      <c r="L14" t="s">
        <v>464</v>
      </c>
      <c r="N14" t="s">
        <v>456</v>
      </c>
      <c r="O14" s="2">
        <v>46116</v>
      </c>
      <c r="P14">
        <v>79</v>
      </c>
      <c r="Q14">
        <v>3.15</v>
      </c>
      <c r="R14">
        <v>0.63</v>
      </c>
      <c r="S14">
        <v>0.11</v>
      </c>
      <c r="T14">
        <v>75.739999999999995</v>
      </c>
      <c r="U14">
        <v>0</v>
      </c>
      <c r="V14">
        <v>20260407</v>
      </c>
      <c r="Z14" s="5">
        <v>46122</v>
      </c>
      <c r="AA14" s="40">
        <v>1768</v>
      </c>
    </row>
    <row r="15" spans="1:34">
      <c r="A15">
        <v>1023366</v>
      </c>
      <c r="C15" t="s">
        <v>62</v>
      </c>
      <c r="D15" s="2">
        <v>46116</v>
      </c>
      <c r="E15" s="2">
        <v>46116</v>
      </c>
      <c r="G15">
        <v>351</v>
      </c>
      <c r="H15" t="s">
        <v>63</v>
      </c>
      <c r="I15">
        <v>6803</v>
      </c>
      <c r="J15">
        <v>593726</v>
      </c>
      <c r="L15" t="s">
        <v>465</v>
      </c>
      <c r="N15" t="s">
        <v>456</v>
      </c>
      <c r="O15" s="2">
        <v>46116</v>
      </c>
      <c r="P15">
        <v>159</v>
      </c>
      <c r="Q15">
        <v>6.34</v>
      </c>
      <c r="R15">
        <v>1.27</v>
      </c>
      <c r="S15">
        <v>0.23</v>
      </c>
      <c r="T15">
        <v>152.43</v>
      </c>
      <c r="U15">
        <v>0</v>
      </c>
      <c r="V15">
        <v>20260407</v>
      </c>
      <c r="Z15" s="5">
        <v>46124</v>
      </c>
      <c r="AA15" s="40">
        <v>105</v>
      </c>
    </row>
    <row r="16" spans="1:34">
      <c r="A16">
        <v>1023366</v>
      </c>
      <c r="C16" t="s">
        <v>62</v>
      </c>
      <c r="D16" s="2">
        <v>46116</v>
      </c>
      <c r="E16" s="2">
        <v>46116</v>
      </c>
      <c r="G16">
        <v>351</v>
      </c>
      <c r="H16" t="s">
        <v>63</v>
      </c>
      <c r="I16">
        <v>6818</v>
      </c>
      <c r="J16">
        <v>524864</v>
      </c>
      <c r="L16" t="s">
        <v>466</v>
      </c>
      <c r="N16" t="s">
        <v>456</v>
      </c>
      <c r="O16" s="2">
        <v>46116</v>
      </c>
      <c r="P16">
        <v>1299</v>
      </c>
      <c r="Q16">
        <v>51.83</v>
      </c>
      <c r="R16">
        <v>10.37</v>
      </c>
      <c r="S16">
        <v>1.87</v>
      </c>
      <c r="T16">
        <v>1245.3</v>
      </c>
      <c r="U16">
        <v>1473.47</v>
      </c>
      <c r="V16">
        <v>20260407</v>
      </c>
      <c r="Z16" s="5">
        <v>46125</v>
      </c>
      <c r="AA16" s="40">
        <v>159</v>
      </c>
      <c r="AD16">
        <v>104107</v>
      </c>
      <c r="AE16" s="30">
        <f t="shared" ref="AE16:AE18" si="2">+U16</f>
        <v>1473.47</v>
      </c>
      <c r="AF16" t="str">
        <f>_xlfn.XLOOKUP(AE16,Bancos!H:H,Bancos!C:C)</f>
        <v>8002676</v>
      </c>
      <c r="AG16" t="str">
        <f>_xlfn.XLOOKUP(AF16,Bancos!C:C,Bancos!A:A)</f>
        <v>07/04/2026</v>
      </c>
      <c r="AH16">
        <f t="shared" ref="AH16:AH18" si="3">+AG16-V16</f>
        <v>-20214288</v>
      </c>
    </row>
    <row r="17" spans="1:34">
      <c r="A17">
        <v>1023366</v>
      </c>
      <c r="C17" t="s">
        <v>62</v>
      </c>
      <c r="D17" s="2">
        <v>46117</v>
      </c>
      <c r="E17" s="2">
        <v>46117</v>
      </c>
      <c r="G17">
        <v>352</v>
      </c>
      <c r="H17" t="s">
        <v>63</v>
      </c>
      <c r="I17">
        <v>6967</v>
      </c>
      <c r="J17">
        <v>361778</v>
      </c>
      <c r="L17" t="s">
        <v>467</v>
      </c>
      <c r="N17" t="s">
        <v>456</v>
      </c>
      <c r="O17" s="2">
        <v>46117</v>
      </c>
      <c r="P17">
        <v>149</v>
      </c>
      <c r="Q17">
        <v>5.95</v>
      </c>
      <c r="R17">
        <v>1.19</v>
      </c>
      <c r="S17">
        <v>0.21</v>
      </c>
      <c r="T17">
        <v>142.84</v>
      </c>
      <c r="U17">
        <v>142.84</v>
      </c>
      <c r="V17">
        <v>20260407</v>
      </c>
      <c r="Z17" s="5">
        <v>46127</v>
      </c>
      <c r="AA17" s="40">
        <v>298</v>
      </c>
      <c r="AD17">
        <v>104107</v>
      </c>
      <c r="AE17" s="30">
        <f t="shared" si="2"/>
        <v>142.84</v>
      </c>
      <c r="AF17" t="str">
        <f>_xlfn.XLOOKUP(AE17,Bancos!H:H,Bancos!C:C)</f>
        <v>8002677</v>
      </c>
      <c r="AG17" t="str">
        <f>_xlfn.XLOOKUP(AF17,Bancos!C:C,Bancos!A:A)</f>
        <v>07/04/2026</v>
      </c>
      <c r="AH17">
        <f t="shared" si="3"/>
        <v>-20214288</v>
      </c>
    </row>
    <row r="18" spans="1:34">
      <c r="A18">
        <v>1023366</v>
      </c>
      <c r="C18" t="s">
        <v>62</v>
      </c>
      <c r="D18" s="2">
        <v>46118</v>
      </c>
      <c r="E18" s="2">
        <v>46118</v>
      </c>
      <c r="G18">
        <v>353</v>
      </c>
      <c r="H18" t="s">
        <v>63</v>
      </c>
      <c r="I18">
        <v>7046</v>
      </c>
      <c r="J18">
        <v>541161</v>
      </c>
      <c r="L18" t="s">
        <v>468</v>
      </c>
      <c r="N18" t="s">
        <v>456</v>
      </c>
      <c r="O18" s="2">
        <v>46118</v>
      </c>
      <c r="P18">
        <v>1547</v>
      </c>
      <c r="Q18">
        <v>61.73</v>
      </c>
      <c r="R18">
        <v>12.35</v>
      </c>
      <c r="S18">
        <v>2.2200000000000002</v>
      </c>
      <c r="T18">
        <v>1483.05</v>
      </c>
      <c r="U18">
        <v>0</v>
      </c>
      <c r="V18">
        <v>20260408</v>
      </c>
      <c r="Z18" s="5">
        <v>46128</v>
      </c>
      <c r="AA18" s="40">
        <v>243</v>
      </c>
      <c r="AD18">
        <v>104107</v>
      </c>
      <c r="AE18" s="30">
        <f t="shared" si="2"/>
        <v>0</v>
      </c>
      <c r="AF18" s="24" t="s">
        <v>631</v>
      </c>
      <c r="AG18" t="str">
        <f>_xlfn.XLOOKUP(AF18,Bancos!C:C,Bancos!A:A)</f>
        <v>10/04/2026</v>
      </c>
      <c r="AH18">
        <f t="shared" si="3"/>
        <v>-20214286</v>
      </c>
    </row>
    <row r="19" spans="1:34">
      <c r="A19">
        <v>1023366</v>
      </c>
      <c r="C19" t="s">
        <v>62</v>
      </c>
      <c r="D19" s="2">
        <v>46118</v>
      </c>
      <c r="E19" s="2">
        <v>46118</v>
      </c>
      <c r="G19">
        <v>353</v>
      </c>
      <c r="H19" t="s">
        <v>63</v>
      </c>
      <c r="I19">
        <v>7048</v>
      </c>
      <c r="J19">
        <v>560361</v>
      </c>
      <c r="L19" t="s">
        <v>468</v>
      </c>
      <c r="N19" t="s">
        <v>456</v>
      </c>
      <c r="O19" s="2">
        <v>46118</v>
      </c>
      <c r="P19">
        <v>249</v>
      </c>
      <c r="Q19">
        <v>9.94</v>
      </c>
      <c r="R19">
        <v>1.99</v>
      </c>
      <c r="S19">
        <v>0.36</v>
      </c>
      <c r="T19">
        <v>238.7</v>
      </c>
      <c r="U19">
        <v>0</v>
      </c>
      <c r="V19">
        <v>20260408</v>
      </c>
      <c r="Z19" s="5">
        <v>46129</v>
      </c>
      <c r="AA19" s="40">
        <v>49</v>
      </c>
    </row>
    <row r="20" spans="1:34">
      <c r="A20">
        <v>1023366</v>
      </c>
      <c r="C20" t="s">
        <v>62</v>
      </c>
      <c r="D20" s="2">
        <v>46118</v>
      </c>
      <c r="E20" s="2">
        <v>46118</v>
      </c>
      <c r="G20">
        <v>353</v>
      </c>
      <c r="H20" t="s">
        <v>63</v>
      </c>
      <c r="I20">
        <v>7053</v>
      </c>
      <c r="J20">
        <v>270761</v>
      </c>
      <c r="K20">
        <v>2</v>
      </c>
      <c r="L20" t="s">
        <v>469</v>
      </c>
      <c r="N20" t="s">
        <v>456</v>
      </c>
      <c r="O20" s="2">
        <v>46118</v>
      </c>
      <c r="P20">
        <v>55</v>
      </c>
      <c r="Q20">
        <v>2.19</v>
      </c>
      <c r="R20">
        <v>0.44</v>
      </c>
      <c r="S20">
        <v>0.08</v>
      </c>
      <c r="T20">
        <v>52.73</v>
      </c>
      <c r="U20">
        <v>0</v>
      </c>
      <c r="V20">
        <v>20260408</v>
      </c>
      <c r="Z20" s="5">
        <v>46130</v>
      </c>
      <c r="AA20" s="40">
        <v>2137.9</v>
      </c>
    </row>
    <row r="21" spans="1:34">
      <c r="A21">
        <v>1023366</v>
      </c>
      <c r="C21" t="s">
        <v>62</v>
      </c>
      <c r="D21" s="2">
        <v>46118</v>
      </c>
      <c r="E21" s="2">
        <v>46118</v>
      </c>
      <c r="G21">
        <v>353</v>
      </c>
      <c r="H21" t="s">
        <v>63</v>
      </c>
      <c r="I21">
        <v>7077</v>
      </c>
      <c r="J21">
        <v>544665</v>
      </c>
      <c r="L21" t="s">
        <v>470</v>
      </c>
      <c r="N21" t="s">
        <v>456</v>
      </c>
      <c r="O21" s="2">
        <v>46118</v>
      </c>
      <c r="P21">
        <v>586</v>
      </c>
      <c r="Q21">
        <v>23.38</v>
      </c>
      <c r="R21">
        <v>4.68</v>
      </c>
      <c r="S21">
        <v>0.84</v>
      </c>
      <c r="T21">
        <v>561.78</v>
      </c>
      <c r="U21">
        <v>2336.2600000000002</v>
      </c>
      <c r="V21">
        <v>20260408</v>
      </c>
      <c r="Z21" s="5">
        <v>46131</v>
      </c>
      <c r="AA21" s="40">
        <v>189</v>
      </c>
    </row>
    <row r="22" spans="1:34">
      <c r="A22">
        <v>1023366</v>
      </c>
      <c r="C22" t="s">
        <v>62</v>
      </c>
      <c r="D22" s="2">
        <v>46119</v>
      </c>
      <c r="E22" s="2">
        <v>46119</v>
      </c>
      <c r="G22">
        <v>354</v>
      </c>
      <c r="H22" t="s">
        <v>63</v>
      </c>
      <c r="I22">
        <v>7121</v>
      </c>
      <c r="J22">
        <v>82568</v>
      </c>
      <c r="L22" t="s">
        <v>471</v>
      </c>
      <c r="N22" t="s">
        <v>456</v>
      </c>
      <c r="O22" s="2">
        <v>46119</v>
      </c>
      <c r="P22">
        <v>549</v>
      </c>
      <c r="Q22">
        <v>21.91</v>
      </c>
      <c r="R22">
        <v>4.38</v>
      </c>
      <c r="S22">
        <v>0.79</v>
      </c>
      <c r="T22">
        <v>526.29999999999995</v>
      </c>
      <c r="U22">
        <v>526.29999999999995</v>
      </c>
      <c r="V22">
        <v>20260409</v>
      </c>
      <c r="Z22" s="5">
        <v>46132</v>
      </c>
      <c r="AA22" s="40">
        <v>69</v>
      </c>
    </row>
    <row r="23" spans="1:34">
      <c r="A23">
        <v>1023366</v>
      </c>
      <c r="C23" t="s">
        <v>62</v>
      </c>
      <c r="D23" s="2">
        <v>46120</v>
      </c>
      <c r="E23" s="2">
        <v>46120</v>
      </c>
      <c r="G23">
        <v>355</v>
      </c>
      <c r="H23" t="s">
        <v>63</v>
      </c>
      <c r="I23">
        <v>7251</v>
      </c>
      <c r="J23">
        <v>421180</v>
      </c>
      <c r="L23" t="s">
        <v>472</v>
      </c>
      <c r="N23" t="s">
        <v>456</v>
      </c>
      <c r="O23" s="2">
        <v>46120</v>
      </c>
      <c r="P23">
        <v>269</v>
      </c>
      <c r="Q23">
        <v>10.73</v>
      </c>
      <c r="R23">
        <v>2.15</v>
      </c>
      <c r="S23">
        <v>0.39</v>
      </c>
      <c r="T23">
        <v>257.88</v>
      </c>
      <c r="U23">
        <v>257.88</v>
      </c>
      <c r="V23">
        <v>20260410</v>
      </c>
      <c r="Z23" s="5">
        <v>46133</v>
      </c>
      <c r="AA23" s="40">
        <v>17.899999999999999</v>
      </c>
    </row>
    <row r="24" spans="1:34">
      <c r="A24">
        <v>1023366</v>
      </c>
      <c r="C24" t="s">
        <v>62</v>
      </c>
      <c r="D24" s="2">
        <v>46121</v>
      </c>
      <c r="E24" s="2">
        <v>46121</v>
      </c>
      <c r="G24">
        <v>356</v>
      </c>
      <c r="H24" t="s">
        <v>63</v>
      </c>
      <c r="I24">
        <v>7320</v>
      </c>
      <c r="J24">
        <v>431859</v>
      </c>
      <c r="L24" t="s">
        <v>1440</v>
      </c>
      <c r="N24" t="s">
        <v>456</v>
      </c>
      <c r="O24" s="2">
        <v>46121</v>
      </c>
      <c r="P24">
        <v>69</v>
      </c>
      <c r="Q24">
        <v>2.75</v>
      </c>
      <c r="R24">
        <v>0.55000000000000004</v>
      </c>
      <c r="S24">
        <v>0.1</v>
      </c>
      <c r="T24">
        <v>66.150000000000006</v>
      </c>
      <c r="U24">
        <v>66.150000000000006</v>
      </c>
      <c r="V24">
        <v>20260411</v>
      </c>
      <c r="Z24" s="5">
        <v>46135</v>
      </c>
      <c r="AA24" s="40">
        <v>178</v>
      </c>
    </row>
    <row r="25" spans="1:34">
      <c r="A25">
        <v>1023366</v>
      </c>
      <c r="C25" t="s">
        <v>62</v>
      </c>
      <c r="D25" s="2">
        <v>46122</v>
      </c>
      <c r="E25" s="2">
        <v>46122</v>
      </c>
      <c r="G25">
        <v>357</v>
      </c>
      <c r="H25" t="s">
        <v>63</v>
      </c>
      <c r="I25">
        <v>7434</v>
      </c>
      <c r="J25">
        <v>441774</v>
      </c>
      <c r="L25" t="s">
        <v>1441</v>
      </c>
      <c r="N25" t="s">
        <v>456</v>
      </c>
      <c r="O25" s="2">
        <v>46122</v>
      </c>
      <c r="P25">
        <v>69</v>
      </c>
      <c r="Q25">
        <v>2.75</v>
      </c>
      <c r="R25">
        <v>0.55000000000000004</v>
      </c>
      <c r="S25">
        <v>0.1</v>
      </c>
      <c r="T25">
        <v>66.150000000000006</v>
      </c>
      <c r="U25">
        <v>0</v>
      </c>
      <c r="V25">
        <v>20260414</v>
      </c>
      <c r="Z25" s="5">
        <v>46136</v>
      </c>
      <c r="AA25" s="40">
        <v>408</v>
      </c>
    </row>
    <row r="26" spans="1:34">
      <c r="A26">
        <v>1023366</v>
      </c>
      <c r="C26" t="s">
        <v>62</v>
      </c>
      <c r="D26" s="2">
        <v>46122</v>
      </c>
      <c r="E26" s="2">
        <v>46122</v>
      </c>
      <c r="G26">
        <v>357</v>
      </c>
      <c r="H26" t="s">
        <v>63</v>
      </c>
      <c r="I26">
        <v>7439</v>
      </c>
      <c r="J26">
        <v>819740</v>
      </c>
      <c r="L26" t="s">
        <v>1441</v>
      </c>
      <c r="N26" t="s">
        <v>456</v>
      </c>
      <c r="O26" s="2">
        <v>46122</v>
      </c>
      <c r="P26">
        <v>1699</v>
      </c>
      <c r="Q26">
        <v>67.790000000000006</v>
      </c>
      <c r="R26">
        <v>13.56</v>
      </c>
      <c r="S26">
        <v>2.44</v>
      </c>
      <c r="T26">
        <v>1628.77</v>
      </c>
      <c r="U26">
        <v>1694.92</v>
      </c>
      <c r="V26">
        <v>20260414</v>
      </c>
      <c r="Z26" s="5">
        <v>46137</v>
      </c>
      <c r="AA26" s="40">
        <v>1448</v>
      </c>
    </row>
    <row r="27" spans="1:34">
      <c r="A27">
        <v>1023366</v>
      </c>
      <c r="C27" t="s">
        <v>62</v>
      </c>
      <c r="D27" s="2">
        <v>46124</v>
      </c>
      <c r="E27" s="2">
        <v>46124</v>
      </c>
      <c r="G27">
        <v>359</v>
      </c>
      <c r="H27" t="s">
        <v>63</v>
      </c>
      <c r="I27">
        <v>7631</v>
      </c>
      <c r="J27">
        <v>976921</v>
      </c>
      <c r="L27" t="s">
        <v>1442</v>
      </c>
      <c r="N27" t="s">
        <v>456</v>
      </c>
      <c r="O27" s="2">
        <v>46124</v>
      </c>
      <c r="P27">
        <v>105</v>
      </c>
      <c r="Q27">
        <v>4.1900000000000004</v>
      </c>
      <c r="R27">
        <v>0.84</v>
      </c>
      <c r="S27">
        <v>0.15</v>
      </c>
      <c r="T27">
        <v>100.66</v>
      </c>
      <c r="U27">
        <v>100.66</v>
      </c>
      <c r="V27">
        <v>20260414</v>
      </c>
      <c r="Z27" s="5">
        <v>46139</v>
      </c>
      <c r="AA27" s="40">
        <v>567</v>
      </c>
    </row>
    <row r="28" spans="1:34">
      <c r="A28">
        <v>1023366</v>
      </c>
      <c r="C28" t="s">
        <v>62</v>
      </c>
      <c r="D28" s="2">
        <v>46125</v>
      </c>
      <c r="E28" s="2">
        <v>46125</v>
      </c>
      <c r="G28">
        <v>360</v>
      </c>
      <c r="H28" t="s">
        <v>63</v>
      </c>
      <c r="I28">
        <v>7736</v>
      </c>
      <c r="J28">
        <v>427368</v>
      </c>
      <c r="L28" t="s">
        <v>1443</v>
      </c>
      <c r="N28" t="s">
        <v>456</v>
      </c>
      <c r="O28" s="2">
        <v>46125</v>
      </c>
      <c r="P28">
        <v>159</v>
      </c>
      <c r="Q28">
        <v>6.34</v>
      </c>
      <c r="R28">
        <v>1.27</v>
      </c>
      <c r="S28">
        <v>0.23</v>
      </c>
      <c r="T28">
        <v>152.43</v>
      </c>
      <c r="U28">
        <v>152.43</v>
      </c>
      <c r="V28">
        <v>20260415</v>
      </c>
      <c r="Z28" s="5">
        <v>46140</v>
      </c>
      <c r="AA28" s="40">
        <v>207</v>
      </c>
    </row>
    <row r="29" spans="1:34">
      <c r="A29">
        <v>1023366</v>
      </c>
      <c r="C29" t="s">
        <v>62</v>
      </c>
      <c r="D29" s="2">
        <v>46127</v>
      </c>
      <c r="E29" s="2">
        <v>46127</v>
      </c>
      <c r="G29">
        <v>362</v>
      </c>
      <c r="H29" t="s">
        <v>63</v>
      </c>
      <c r="I29">
        <v>7860</v>
      </c>
      <c r="J29">
        <v>887943</v>
      </c>
      <c r="L29" t="s">
        <v>1444</v>
      </c>
      <c r="N29" t="s">
        <v>456</v>
      </c>
      <c r="O29" s="2">
        <v>46127</v>
      </c>
      <c r="P29">
        <v>298</v>
      </c>
      <c r="Q29">
        <v>11.89</v>
      </c>
      <c r="R29">
        <v>2.38</v>
      </c>
      <c r="S29">
        <v>0.43</v>
      </c>
      <c r="T29">
        <v>285.68</v>
      </c>
      <c r="U29">
        <v>285.68</v>
      </c>
      <c r="V29">
        <v>20260417</v>
      </c>
      <c r="Z29" s="10" t="s">
        <v>538</v>
      </c>
      <c r="AA29" s="40">
        <v>16780.379999999997</v>
      </c>
    </row>
    <row r="30" spans="1:34">
      <c r="A30">
        <v>1023366</v>
      </c>
      <c r="C30" t="s">
        <v>62</v>
      </c>
      <c r="D30" s="2">
        <v>46128</v>
      </c>
      <c r="E30" s="2">
        <v>46128</v>
      </c>
      <c r="G30">
        <v>363</v>
      </c>
      <c r="H30" t="s">
        <v>63</v>
      </c>
      <c r="I30">
        <v>7988</v>
      </c>
      <c r="J30">
        <v>290373</v>
      </c>
      <c r="L30" t="s">
        <v>1445</v>
      </c>
      <c r="N30" t="s">
        <v>456</v>
      </c>
      <c r="O30" s="2">
        <v>46128</v>
      </c>
      <c r="P30">
        <v>154</v>
      </c>
      <c r="Q30">
        <v>6.14</v>
      </c>
      <c r="R30">
        <v>1.23</v>
      </c>
      <c r="S30">
        <v>0.22</v>
      </c>
      <c r="T30">
        <v>147.63999999999999</v>
      </c>
      <c r="U30">
        <v>0</v>
      </c>
      <c r="V30">
        <v>20260418</v>
      </c>
    </row>
    <row r="31" spans="1:34">
      <c r="A31">
        <v>1023366</v>
      </c>
      <c r="C31" t="s">
        <v>62</v>
      </c>
      <c r="D31" s="2">
        <v>46128</v>
      </c>
      <c r="E31" s="2">
        <v>46128</v>
      </c>
      <c r="G31">
        <v>363</v>
      </c>
      <c r="H31" t="s">
        <v>63</v>
      </c>
      <c r="I31">
        <v>7990</v>
      </c>
      <c r="J31">
        <v>304673</v>
      </c>
      <c r="L31" t="s">
        <v>1445</v>
      </c>
      <c r="N31" t="s">
        <v>456</v>
      </c>
      <c r="O31" s="2">
        <v>46128</v>
      </c>
      <c r="P31">
        <v>89</v>
      </c>
      <c r="Q31">
        <v>3.55</v>
      </c>
      <c r="R31">
        <v>0.71</v>
      </c>
      <c r="S31">
        <v>0.13</v>
      </c>
      <c r="T31">
        <v>85.32</v>
      </c>
      <c r="U31">
        <v>232.96</v>
      </c>
      <c r="V31">
        <v>20260418</v>
      </c>
    </row>
    <row r="32" spans="1:34">
      <c r="A32">
        <v>1023366</v>
      </c>
      <c r="C32" t="s">
        <v>62</v>
      </c>
      <c r="D32" s="2">
        <v>46129</v>
      </c>
      <c r="E32" s="2">
        <v>46129</v>
      </c>
      <c r="G32">
        <v>364</v>
      </c>
      <c r="H32" t="s">
        <v>63</v>
      </c>
      <c r="I32">
        <v>8085</v>
      </c>
      <c r="J32">
        <v>312468</v>
      </c>
      <c r="L32" t="s">
        <v>1446</v>
      </c>
      <c r="N32" t="s">
        <v>456</v>
      </c>
      <c r="O32" s="2">
        <v>46129</v>
      </c>
      <c r="P32">
        <v>49</v>
      </c>
      <c r="Q32">
        <v>1.96</v>
      </c>
      <c r="R32">
        <v>0.39</v>
      </c>
      <c r="S32">
        <v>7.0000000000000007E-2</v>
      </c>
      <c r="T32">
        <v>46.97</v>
      </c>
      <c r="U32">
        <v>46.97</v>
      </c>
      <c r="V32">
        <v>20260421</v>
      </c>
    </row>
    <row r="33" spans="1:22">
      <c r="A33">
        <v>1023366</v>
      </c>
      <c r="C33" t="s">
        <v>62</v>
      </c>
      <c r="D33" s="2">
        <v>46130</v>
      </c>
      <c r="E33" s="2">
        <v>46130</v>
      </c>
      <c r="G33">
        <v>665</v>
      </c>
      <c r="H33" t="s">
        <v>720</v>
      </c>
      <c r="I33">
        <v>9188</v>
      </c>
      <c r="J33">
        <v>134868</v>
      </c>
      <c r="L33" t="s">
        <v>1447</v>
      </c>
      <c r="N33" t="s">
        <v>456</v>
      </c>
      <c r="O33" s="2">
        <v>46130</v>
      </c>
      <c r="P33">
        <v>450</v>
      </c>
      <c r="Q33">
        <v>17.96</v>
      </c>
      <c r="R33">
        <v>3.59</v>
      </c>
      <c r="S33">
        <v>0.65</v>
      </c>
      <c r="T33">
        <v>431.39</v>
      </c>
      <c r="U33">
        <v>0</v>
      </c>
      <c r="V33">
        <v>20260421</v>
      </c>
    </row>
    <row r="34" spans="1:22">
      <c r="A34">
        <v>1023366</v>
      </c>
      <c r="C34" t="s">
        <v>62</v>
      </c>
      <c r="D34" s="2">
        <v>46130</v>
      </c>
      <c r="E34" s="2">
        <v>46130</v>
      </c>
      <c r="G34">
        <v>365</v>
      </c>
      <c r="H34" t="s">
        <v>63</v>
      </c>
      <c r="I34">
        <v>8202</v>
      </c>
      <c r="J34">
        <v>182273</v>
      </c>
      <c r="L34" t="s">
        <v>1448</v>
      </c>
      <c r="N34" t="s">
        <v>456</v>
      </c>
      <c r="O34" s="2">
        <v>46130</v>
      </c>
      <c r="P34">
        <v>1598</v>
      </c>
      <c r="Q34">
        <v>63.76</v>
      </c>
      <c r="R34">
        <v>12.75</v>
      </c>
      <c r="S34">
        <v>2.2999999999999998</v>
      </c>
      <c r="T34">
        <v>1531.94</v>
      </c>
      <c r="U34">
        <v>0</v>
      </c>
      <c r="V34">
        <v>20260421</v>
      </c>
    </row>
    <row r="35" spans="1:22">
      <c r="A35">
        <v>1023366</v>
      </c>
      <c r="C35" t="s">
        <v>62</v>
      </c>
      <c r="D35" s="2">
        <v>46130</v>
      </c>
      <c r="E35" s="2">
        <v>46130</v>
      </c>
      <c r="G35">
        <v>365</v>
      </c>
      <c r="H35" t="s">
        <v>63</v>
      </c>
      <c r="I35">
        <v>8224</v>
      </c>
      <c r="J35">
        <v>309386</v>
      </c>
      <c r="L35" t="s">
        <v>1449</v>
      </c>
      <c r="N35" t="s">
        <v>456</v>
      </c>
      <c r="O35" s="2">
        <v>46130</v>
      </c>
      <c r="P35">
        <v>89.9</v>
      </c>
      <c r="Q35">
        <v>3.59</v>
      </c>
      <c r="R35">
        <v>0.72</v>
      </c>
      <c r="S35">
        <v>0.13</v>
      </c>
      <c r="T35">
        <v>86.18</v>
      </c>
      <c r="U35">
        <v>2049.5100000000002</v>
      </c>
      <c r="V35">
        <v>20260421</v>
      </c>
    </row>
    <row r="36" spans="1:22">
      <c r="A36">
        <v>1023366</v>
      </c>
      <c r="C36" t="s">
        <v>62</v>
      </c>
      <c r="D36" s="2">
        <v>46131</v>
      </c>
      <c r="E36" s="2">
        <v>46131</v>
      </c>
      <c r="G36">
        <v>366</v>
      </c>
      <c r="H36" t="s">
        <v>63</v>
      </c>
      <c r="I36">
        <v>8284</v>
      </c>
      <c r="J36">
        <v>359652</v>
      </c>
      <c r="L36" t="s">
        <v>1450</v>
      </c>
      <c r="N36" t="s">
        <v>456</v>
      </c>
      <c r="O36" s="2">
        <v>46131</v>
      </c>
      <c r="P36">
        <v>189</v>
      </c>
      <c r="Q36">
        <v>7.54</v>
      </c>
      <c r="R36">
        <v>1.51</v>
      </c>
      <c r="S36">
        <v>0.27</v>
      </c>
      <c r="T36">
        <v>181.19</v>
      </c>
      <c r="U36">
        <v>181.19</v>
      </c>
      <c r="V36">
        <v>20260421</v>
      </c>
    </row>
    <row r="37" spans="1:22">
      <c r="A37">
        <v>1023366</v>
      </c>
      <c r="C37" t="s">
        <v>62</v>
      </c>
      <c r="D37" s="2">
        <v>46132</v>
      </c>
      <c r="E37" s="2">
        <v>46132</v>
      </c>
      <c r="G37">
        <v>367</v>
      </c>
      <c r="H37" t="s">
        <v>63</v>
      </c>
      <c r="I37">
        <v>8426</v>
      </c>
      <c r="J37">
        <v>463362</v>
      </c>
      <c r="L37" t="s">
        <v>1451</v>
      </c>
      <c r="N37" t="s">
        <v>456</v>
      </c>
      <c r="O37" s="2">
        <v>46132</v>
      </c>
      <c r="P37">
        <v>69</v>
      </c>
      <c r="Q37">
        <v>2.75</v>
      </c>
      <c r="R37">
        <v>0.55000000000000004</v>
      </c>
      <c r="S37">
        <v>0.1</v>
      </c>
      <c r="T37">
        <v>66.150000000000006</v>
      </c>
      <c r="U37">
        <v>66.150000000000006</v>
      </c>
      <c r="V37">
        <v>20260422</v>
      </c>
    </row>
    <row r="38" spans="1:22">
      <c r="A38">
        <v>1023366</v>
      </c>
      <c r="C38" t="s">
        <v>62</v>
      </c>
      <c r="D38" s="2">
        <v>46133</v>
      </c>
      <c r="E38" s="2">
        <v>46133</v>
      </c>
      <c r="G38">
        <v>368</v>
      </c>
      <c r="H38" t="s">
        <v>63</v>
      </c>
      <c r="I38">
        <v>8491</v>
      </c>
      <c r="J38">
        <v>560760</v>
      </c>
      <c r="L38" t="s">
        <v>1452</v>
      </c>
      <c r="N38" t="s">
        <v>456</v>
      </c>
      <c r="O38" s="2">
        <v>46133</v>
      </c>
      <c r="P38">
        <v>17.899999999999999</v>
      </c>
      <c r="Q38">
        <v>0.71</v>
      </c>
      <c r="R38">
        <v>0.14000000000000001</v>
      </c>
      <c r="S38">
        <v>0.03</v>
      </c>
      <c r="T38">
        <v>17.16</v>
      </c>
      <c r="U38">
        <v>17.16</v>
      </c>
      <c r="V38">
        <v>20260423</v>
      </c>
    </row>
    <row r="39" spans="1:22">
      <c r="A39">
        <v>1023366</v>
      </c>
      <c r="C39" t="s">
        <v>62</v>
      </c>
      <c r="D39" s="2">
        <v>46135</v>
      </c>
      <c r="E39" s="2">
        <v>46135</v>
      </c>
      <c r="G39">
        <v>370</v>
      </c>
      <c r="H39" t="s">
        <v>63</v>
      </c>
      <c r="I39">
        <v>8630</v>
      </c>
      <c r="J39">
        <v>395464</v>
      </c>
      <c r="L39" t="s">
        <v>1453</v>
      </c>
      <c r="N39" t="s">
        <v>456</v>
      </c>
      <c r="O39" s="2">
        <v>46135</v>
      </c>
      <c r="P39">
        <v>178</v>
      </c>
      <c r="Q39">
        <v>7.1</v>
      </c>
      <c r="R39">
        <v>1.42</v>
      </c>
      <c r="S39">
        <v>0.26</v>
      </c>
      <c r="T39">
        <v>170.64</v>
      </c>
      <c r="U39">
        <v>170.64</v>
      </c>
      <c r="V39">
        <v>20260425</v>
      </c>
    </row>
    <row r="40" spans="1:22">
      <c r="A40">
        <v>1023366</v>
      </c>
      <c r="C40" t="s">
        <v>62</v>
      </c>
      <c r="D40" s="2">
        <v>46136</v>
      </c>
      <c r="E40" s="2">
        <v>46136</v>
      </c>
      <c r="G40">
        <v>371</v>
      </c>
      <c r="H40" t="s">
        <v>63</v>
      </c>
      <c r="I40">
        <v>8796</v>
      </c>
      <c r="J40">
        <v>532965</v>
      </c>
      <c r="L40" t="s">
        <v>1454</v>
      </c>
      <c r="N40" t="s">
        <v>456</v>
      </c>
      <c r="O40" s="2">
        <v>46136</v>
      </c>
      <c r="P40">
        <v>408</v>
      </c>
      <c r="Q40">
        <v>16.28</v>
      </c>
      <c r="R40">
        <v>3.26</v>
      </c>
      <c r="S40">
        <v>0.59</v>
      </c>
      <c r="T40">
        <v>391.13</v>
      </c>
      <c r="U40">
        <v>391.13</v>
      </c>
      <c r="V40">
        <v>20260428</v>
      </c>
    </row>
    <row r="41" spans="1:22">
      <c r="A41">
        <v>1023366</v>
      </c>
      <c r="C41" t="s">
        <v>62</v>
      </c>
      <c r="D41" s="2">
        <v>46137</v>
      </c>
      <c r="E41" s="2">
        <v>46137</v>
      </c>
      <c r="G41">
        <v>372</v>
      </c>
      <c r="H41" t="s">
        <v>63</v>
      </c>
      <c r="I41">
        <v>8836</v>
      </c>
      <c r="J41">
        <v>352486</v>
      </c>
      <c r="L41" t="s">
        <v>1455</v>
      </c>
      <c r="N41" t="s">
        <v>456</v>
      </c>
      <c r="O41" s="2">
        <v>46137</v>
      </c>
      <c r="P41">
        <v>1399</v>
      </c>
      <c r="Q41">
        <v>55.82</v>
      </c>
      <c r="R41">
        <v>11.16</v>
      </c>
      <c r="S41">
        <v>2.0099999999999998</v>
      </c>
      <c r="T41">
        <v>1341.17</v>
      </c>
      <c r="U41">
        <v>0</v>
      </c>
      <c r="V41">
        <v>20260428</v>
      </c>
    </row>
    <row r="42" spans="1:22">
      <c r="A42">
        <v>1023366</v>
      </c>
      <c r="C42" t="s">
        <v>62</v>
      </c>
      <c r="D42" s="2">
        <v>46137</v>
      </c>
      <c r="E42" s="2">
        <v>46137</v>
      </c>
      <c r="G42">
        <v>372</v>
      </c>
      <c r="H42" t="s">
        <v>63</v>
      </c>
      <c r="I42">
        <v>8901</v>
      </c>
      <c r="J42">
        <v>304560</v>
      </c>
      <c r="L42" t="s">
        <v>1456</v>
      </c>
      <c r="N42" t="s">
        <v>456</v>
      </c>
      <c r="O42" s="2">
        <v>46137</v>
      </c>
      <c r="P42">
        <v>49</v>
      </c>
      <c r="Q42">
        <v>1.96</v>
      </c>
      <c r="R42">
        <v>0.39</v>
      </c>
      <c r="S42">
        <v>7.0000000000000007E-2</v>
      </c>
      <c r="T42">
        <v>46.97</v>
      </c>
      <c r="U42">
        <v>1388.14</v>
      </c>
      <c r="V42">
        <v>20260428</v>
      </c>
    </row>
    <row r="43" spans="1:22">
      <c r="A43">
        <v>1023366</v>
      </c>
      <c r="C43" t="s">
        <v>62</v>
      </c>
      <c r="D43" s="2">
        <v>46139</v>
      </c>
      <c r="E43" s="2">
        <v>46139</v>
      </c>
      <c r="G43">
        <v>374</v>
      </c>
      <c r="H43" t="s">
        <v>63</v>
      </c>
      <c r="I43">
        <v>9041</v>
      </c>
      <c r="J43">
        <v>303352</v>
      </c>
      <c r="L43" t="s">
        <v>1457</v>
      </c>
      <c r="N43" t="s">
        <v>456</v>
      </c>
      <c r="O43" s="2">
        <v>46139</v>
      </c>
      <c r="P43">
        <v>418</v>
      </c>
      <c r="Q43">
        <v>16.68</v>
      </c>
      <c r="R43">
        <v>3.34</v>
      </c>
      <c r="S43">
        <v>0.6</v>
      </c>
      <c r="T43">
        <v>400.72</v>
      </c>
      <c r="U43">
        <v>0</v>
      </c>
      <c r="V43">
        <v>20260429</v>
      </c>
    </row>
    <row r="44" spans="1:22">
      <c r="A44">
        <v>1023366</v>
      </c>
      <c r="C44" t="s">
        <v>62</v>
      </c>
      <c r="D44" s="2">
        <v>46139</v>
      </c>
      <c r="E44" s="2">
        <v>46139</v>
      </c>
      <c r="G44">
        <v>374</v>
      </c>
      <c r="H44" t="s">
        <v>63</v>
      </c>
      <c r="I44">
        <v>9085</v>
      </c>
      <c r="J44">
        <v>165262</v>
      </c>
      <c r="L44" t="s">
        <v>1458</v>
      </c>
      <c r="N44" t="s">
        <v>456</v>
      </c>
      <c r="O44" s="2">
        <v>46139</v>
      </c>
      <c r="P44">
        <v>149</v>
      </c>
      <c r="Q44">
        <v>5.95</v>
      </c>
      <c r="R44">
        <v>1.19</v>
      </c>
      <c r="S44">
        <v>0.21</v>
      </c>
      <c r="T44">
        <v>142.84</v>
      </c>
      <c r="U44">
        <v>543.55999999999995</v>
      </c>
      <c r="V44">
        <v>20260429</v>
      </c>
    </row>
    <row r="45" spans="1:22">
      <c r="A45">
        <v>1023366</v>
      </c>
      <c r="C45" t="s">
        <v>62</v>
      </c>
      <c r="D45" s="2">
        <v>46140</v>
      </c>
      <c r="E45" s="2">
        <v>46140</v>
      </c>
      <c r="G45">
        <v>375</v>
      </c>
      <c r="H45" t="s">
        <v>63</v>
      </c>
      <c r="I45">
        <v>9131</v>
      </c>
      <c r="J45">
        <v>513373</v>
      </c>
      <c r="L45" t="s">
        <v>1459</v>
      </c>
      <c r="N45" t="s">
        <v>456</v>
      </c>
      <c r="O45" s="2">
        <v>46140</v>
      </c>
      <c r="P45">
        <v>207</v>
      </c>
      <c r="Q45">
        <v>8.26</v>
      </c>
      <c r="R45">
        <v>1.65</v>
      </c>
      <c r="S45">
        <v>0.3</v>
      </c>
      <c r="T45">
        <v>198.44</v>
      </c>
      <c r="U45">
        <v>198.44</v>
      </c>
      <c r="V45">
        <v>20260430</v>
      </c>
    </row>
  </sheetData>
  <autoFilter ref="A1:W18" xr:uid="{D5BF942B-4024-423C-8AE8-F8911A458CA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34BE-8E46-438B-A974-CAE1A028707D}">
  <dimension ref="A1:R76"/>
  <sheetViews>
    <sheetView topLeftCell="H1" workbookViewId="0">
      <selection activeCell="L1" sqref="L1:R76"/>
    </sheetView>
  </sheetViews>
  <sheetFormatPr baseColWidth="10" defaultRowHeight="14.4"/>
  <sheetData>
    <row r="1" spans="1:18" ht="20.399999999999999">
      <c r="A1" s="20" t="s">
        <v>542</v>
      </c>
      <c r="B1" s="20" t="s">
        <v>478</v>
      </c>
      <c r="C1" s="21" t="s">
        <v>543</v>
      </c>
      <c r="D1" s="22" t="s">
        <v>544</v>
      </c>
      <c r="E1" s="22" t="s">
        <v>545</v>
      </c>
      <c r="F1" s="20" t="s">
        <v>546</v>
      </c>
      <c r="G1" s="23" t="s">
        <v>547</v>
      </c>
      <c r="H1" s="23" t="s">
        <v>548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s="37" t="s">
        <v>44</v>
      </c>
      <c r="R1" t="s">
        <v>637</v>
      </c>
    </row>
    <row r="2" spans="1:18" ht="20.399999999999999">
      <c r="A2" s="24" t="s">
        <v>549</v>
      </c>
      <c r="B2" s="24" t="s">
        <v>549</v>
      </c>
      <c r="C2" s="24" t="s">
        <v>550</v>
      </c>
      <c r="D2" s="25" t="s">
        <v>551</v>
      </c>
      <c r="E2" s="25" t="s">
        <v>552</v>
      </c>
      <c r="F2" s="24" t="s">
        <v>553</v>
      </c>
      <c r="G2" s="26"/>
      <c r="H2" s="26">
        <v>18246.3</v>
      </c>
      <c r="L2" s="2">
        <v>46113</v>
      </c>
      <c r="M2" s="2">
        <v>46113</v>
      </c>
      <c r="N2">
        <v>118</v>
      </c>
      <c r="O2" s="38" t="s">
        <v>638</v>
      </c>
      <c r="P2" t="s">
        <v>639</v>
      </c>
      <c r="Q2" s="37">
        <v>256.11</v>
      </c>
      <c r="R2" s="38" t="s">
        <v>640</v>
      </c>
    </row>
    <row r="3" spans="1:18" ht="20.399999999999999">
      <c r="A3" s="24" t="s">
        <v>549</v>
      </c>
      <c r="B3" s="24" t="s">
        <v>549</v>
      </c>
      <c r="C3" s="24" t="s">
        <v>554</v>
      </c>
      <c r="D3" s="25" t="s">
        <v>551</v>
      </c>
      <c r="E3" s="25" t="s">
        <v>552</v>
      </c>
      <c r="F3" s="24" t="s">
        <v>553</v>
      </c>
      <c r="G3" s="26"/>
      <c r="H3" s="26">
        <v>1753.22</v>
      </c>
      <c r="L3" s="2">
        <v>46113</v>
      </c>
      <c r="M3" s="2">
        <v>46113</v>
      </c>
      <c r="N3">
        <v>118</v>
      </c>
      <c r="O3" s="38" t="s">
        <v>641</v>
      </c>
      <c r="P3" t="s">
        <v>639</v>
      </c>
      <c r="Q3" s="37">
        <v>431.71</v>
      </c>
      <c r="R3" s="38" t="s">
        <v>640</v>
      </c>
    </row>
    <row r="4" spans="1:18" ht="20.399999999999999">
      <c r="A4" s="24" t="s">
        <v>555</v>
      </c>
      <c r="B4" s="24" t="s">
        <v>555</v>
      </c>
      <c r="C4" s="24" t="s">
        <v>556</v>
      </c>
      <c r="D4" s="25" t="s">
        <v>551</v>
      </c>
      <c r="E4" s="25" t="s">
        <v>552</v>
      </c>
      <c r="F4" s="24" t="s">
        <v>553</v>
      </c>
      <c r="G4" s="26"/>
      <c r="H4" s="26">
        <v>14136.73</v>
      </c>
      <c r="L4" s="2">
        <v>46113</v>
      </c>
      <c r="M4" s="2">
        <v>46113</v>
      </c>
      <c r="N4">
        <v>118</v>
      </c>
      <c r="O4" s="38" t="s">
        <v>642</v>
      </c>
      <c r="P4" t="s">
        <v>639</v>
      </c>
      <c r="Q4" s="37">
        <v>447.55</v>
      </c>
      <c r="R4" s="38" t="s">
        <v>640</v>
      </c>
    </row>
    <row r="5" spans="1:18" ht="20.399999999999999">
      <c r="A5" s="24" t="s">
        <v>555</v>
      </c>
      <c r="B5" s="24" t="s">
        <v>555</v>
      </c>
      <c r="C5" s="24" t="s">
        <v>557</v>
      </c>
      <c r="D5" s="25" t="s">
        <v>551</v>
      </c>
      <c r="E5" s="25" t="s">
        <v>552</v>
      </c>
      <c r="F5" s="24" t="s">
        <v>553</v>
      </c>
      <c r="G5" s="26"/>
      <c r="H5" s="26">
        <v>422.19</v>
      </c>
      <c r="L5" s="2">
        <v>46113</v>
      </c>
      <c r="M5" s="2">
        <v>46113</v>
      </c>
      <c r="N5">
        <v>118</v>
      </c>
      <c r="O5" s="38" t="s">
        <v>643</v>
      </c>
      <c r="P5" t="s">
        <v>639</v>
      </c>
      <c r="Q5" s="37">
        <v>554.9</v>
      </c>
      <c r="R5" s="38" t="s">
        <v>640</v>
      </c>
    </row>
    <row r="6" spans="1:18" ht="20.399999999999999">
      <c r="A6" s="24" t="s">
        <v>558</v>
      </c>
      <c r="B6" s="24" t="s">
        <v>558</v>
      </c>
      <c r="C6" s="24" t="s">
        <v>559</v>
      </c>
      <c r="D6" s="25" t="s">
        <v>551</v>
      </c>
      <c r="E6" s="25" t="s">
        <v>552</v>
      </c>
      <c r="F6" s="24" t="s">
        <v>553</v>
      </c>
      <c r="G6" s="26"/>
      <c r="H6" s="26">
        <v>28523.09</v>
      </c>
      <c r="L6" s="2">
        <v>46113</v>
      </c>
      <c r="M6" s="2">
        <v>46113</v>
      </c>
      <c r="N6">
        <v>118</v>
      </c>
      <c r="O6" s="38" t="s">
        <v>644</v>
      </c>
      <c r="P6" t="s">
        <v>639</v>
      </c>
      <c r="Q6" s="37">
        <v>1179.5</v>
      </c>
      <c r="R6" s="38" t="s">
        <v>640</v>
      </c>
    </row>
    <row r="7" spans="1:18" ht="20.399999999999999">
      <c r="A7" s="24" t="s">
        <v>558</v>
      </c>
      <c r="B7" s="24" t="s">
        <v>558</v>
      </c>
      <c r="C7" s="24" t="s">
        <v>560</v>
      </c>
      <c r="D7" s="25" t="s">
        <v>551</v>
      </c>
      <c r="E7" s="25" t="s">
        <v>552</v>
      </c>
      <c r="F7" s="24" t="s">
        <v>553</v>
      </c>
      <c r="G7" s="26"/>
      <c r="H7" s="26">
        <v>21024.16</v>
      </c>
      <c r="L7" s="2">
        <v>46113</v>
      </c>
      <c r="M7" s="2">
        <v>46113</v>
      </c>
      <c r="N7">
        <v>118</v>
      </c>
      <c r="O7" s="38" t="s">
        <v>645</v>
      </c>
      <c r="P7" t="s">
        <v>639</v>
      </c>
      <c r="Q7" s="37">
        <v>1648.99</v>
      </c>
      <c r="R7" s="38" t="s">
        <v>640</v>
      </c>
    </row>
    <row r="8" spans="1:18" ht="20.399999999999999">
      <c r="A8" s="24" t="s">
        <v>558</v>
      </c>
      <c r="B8" s="24" t="s">
        <v>558</v>
      </c>
      <c r="C8" s="24" t="s">
        <v>561</v>
      </c>
      <c r="D8" s="25" t="s">
        <v>551</v>
      </c>
      <c r="E8" s="25" t="s">
        <v>552</v>
      </c>
      <c r="F8" s="24" t="s">
        <v>553</v>
      </c>
      <c r="G8" s="26"/>
      <c r="H8" s="26">
        <v>20061.3</v>
      </c>
      <c r="L8" s="2">
        <v>46113</v>
      </c>
      <c r="M8" s="2">
        <v>46113</v>
      </c>
      <c r="N8">
        <v>118</v>
      </c>
      <c r="O8" s="38" t="s">
        <v>646</v>
      </c>
      <c r="P8" t="s">
        <v>639</v>
      </c>
      <c r="Q8" s="37">
        <v>2138.27</v>
      </c>
      <c r="R8" s="38" t="s">
        <v>640</v>
      </c>
    </row>
    <row r="9" spans="1:18" ht="20.399999999999999">
      <c r="A9" s="24" t="s">
        <v>558</v>
      </c>
      <c r="B9" s="24" t="s">
        <v>558</v>
      </c>
      <c r="C9" s="24" t="s">
        <v>562</v>
      </c>
      <c r="D9" s="25" t="s">
        <v>551</v>
      </c>
      <c r="E9" s="25" t="s">
        <v>552</v>
      </c>
      <c r="F9" s="24" t="s">
        <v>553</v>
      </c>
      <c r="G9" s="26"/>
      <c r="H9" s="26">
        <v>14463.68</v>
      </c>
      <c r="L9" s="2">
        <v>46113</v>
      </c>
      <c r="M9" s="2">
        <v>46113</v>
      </c>
      <c r="N9">
        <v>118</v>
      </c>
      <c r="O9" s="38" t="s">
        <v>647</v>
      </c>
      <c r="P9" t="s">
        <v>639</v>
      </c>
      <c r="Q9" s="37">
        <v>2805.64</v>
      </c>
      <c r="R9" s="38" t="s">
        <v>640</v>
      </c>
    </row>
    <row r="10" spans="1:18" ht="20.399999999999999">
      <c r="A10" s="24" t="s">
        <v>558</v>
      </c>
      <c r="B10" s="24" t="s">
        <v>558</v>
      </c>
      <c r="C10" s="24" t="s">
        <v>563</v>
      </c>
      <c r="D10" s="25" t="s">
        <v>551</v>
      </c>
      <c r="E10" s="25" t="s">
        <v>552</v>
      </c>
      <c r="F10" s="24" t="s">
        <v>553</v>
      </c>
      <c r="G10" s="26"/>
      <c r="H10" s="26">
        <v>9582.85</v>
      </c>
      <c r="L10" s="2">
        <v>46113</v>
      </c>
      <c r="M10" s="2">
        <v>46113</v>
      </c>
      <c r="N10">
        <v>118</v>
      </c>
      <c r="O10" s="38" t="s">
        <v>648</v>
      </c>
      <c r="P10" t="s">
        <v>639</v>
      </c>
      <c r="Q10" s="37">
        <v>2994.41</v>
      </c>
      <c r="R10" s="38" t="s">
        <v>640</v>
      </c>
    </row>
    <row r="11" spans="1:18" ht="20.399999999999999">
      <c r="A11" s="24" t="s">
        <v>558</v>
      </c>
      <c r="B11" s="24" t="s">
        <v>558</v>
      </c>
      <c r="C11" s="24" t="s">
        <v>564</v>
      </c>
      <c r="D11" s="25" t="s">
        <v>551</v>
      </c>
      <c r="E11" s="25" t="s">
        <v>552</v>
      </c>
      <c r="F11" s="24" t="s">
        <v>553</v>
      </c>
      <c r="G11" s="26"/>
      <c r="H11" s="26">
        <v>4849.17</v>
      </c>
      <c r="L11" s="2">
        <v>46113</v>
      </c>
      <c r="M11" s="2">
        <v>46113</v>
      </c>
      <c r="N11">
        <v>118</v>
      </c>
      <c r="O11" s="38" t="s">
        <v>649</v>
      </c>
      <c r="P11" t="s">
        <v>639</v>
      </c>
      <c r="Q11" s="37">
        <v>3233.72</v>
      </c>
      <c r="R11" s="38" t="s">
        <v>640</v>
      </c>
    </row>
    <row r="12" spans="1:18" ht="20.399999999999999">
      <c r="A12" s="24" t="s">
        <v>558</v>
      </c>
      <c r="B12" s="24" t="s">
        <v>558</v>
      </c>
      <c r="C12" s="24" t="s">
        <v>565</v>
      </c>
      <c r="D12" s="25" t="s">
        <v>551</v>
      </c>
      <c r="E12" s="25" t="s">
        <v>552</v>
      </c>
      <c r="F12" s="24" t="s">
        <v>553</v>
      </c>
      <c r="G12" s="26"/>
      <c r="H12" s="26">
        <v>1744.45</v>
      </c>
      <c r="L12" s="2">
        <v>46113</v>
      </c>
      <c r="M12" s="2">
        <v>46113</v>
      </c>
      <c r="N12">
        <v>118</v>
      </c>
      <c r="O12" s="38" t="s">
        <v>650</v>
      </c>
      <c r="P12" t="s">
        <v>639</v>
      </c>
      <c r="Q12" s="37">
        <v>3823.96</v>
      </c>
      <c r="R12" s="38" t="s">
        <v>640</v>
      </c>
    </row>
    <row r="13" spans="1:18" ht="20.399999999999999">
      <c r="A13" s="24" t="s">
        <v>558</v>
      </c>
      <c r="B13" s="24" t="s">
        <v>558</v>
      </c>
      <c r="C13" s="24" t="s">
        <v>566</v>
      </c>
      <c r="D13" s="25" t="s">
        <v>551</v>
      </c>
      <c r="E13" s="25" t="s">
        <v>552</v>
      </c>
      <c r="F13" s="24" t="s">
        <v>553</v>
      </c>
      <c r="G13" s="26"/>
      <c r="H13" s="26">
        <v>1338.33</v>
      </c>
      <c r="L13" s="2">
        <v>46118</v>
      </c>
      <c r="M13" s="2">
        <v>46118</v>
      </c>
      <c r="N13">
        <v>118</v>
      </c>
      <c r="O13" s="38" t="s">
        <v>651</v>
      </c>
      <c r="P13" t="s">
        <v>639</v>
      </c>
      <c r="Q13" s="37">
        <v>86.69</v>
      </c>
      <c r="R13" s="38" t="s">
        <v>640</v>
      </c>
    </row>
    <row r="14" spans="1:18" ht="20.399999999999999">
      <c r="A14" s="24" t="s">
        <v>558</v>
      </c>
      <c r="B14" s="24" t="s">
        <v>558</v>
      </c>
      <c r="C14" s="24" t="s">
        <v>567</v>
      </c>
      <c r="D14" s="25" t="s">
        <v>551</v>
      </c>
      <c r="E14" s="25" t="s">
        <v>552</v>
      </c>
      <c r="F14" s="24" t="s">
        <v>553</v>
      </c>
      <c r="G14" s="26"/>
      <c r="H14" s="26">
        <v>724.31</v>
      </c>
      <c r="L14" s="2">
        <v>46118</v>
      </c>
      <c r="M14" s="2">
        <v>46118</v>
      </c>
      <c r="N14">
        <v>118</v>
      </c>
      <c r="O14" s="38" t="s">
        <v>652</v>
      </c>
      <c r="P14" t="s">
        <v>639</v>
      </c>
      <c r="Q14" s="37">
        <v>87.56</v>
      </c>
      <c r="R14" s="38" t="s">
        <v>640</v>
      </c>
    </row>
    <row r="15" spans="1:18" ht="20.399999999999999">
      <c r="A15" s="24" t="s">
        <v>558</v>
      </c>
      <c r="B15" s="24" t="s">
        <v>558</v>
      </c>
      <c r="C15" s="24" t="s">
        <v>568</v>
      </c>
      <c r="D15" s="25" t="s">
        <v>551</v>
      </c>
      <c r="E15" s="25" t="s">
        <v>552</v>
      </c>
      <c r="F15" s="24" t="s">
        <v>553</v>
      </c>
      <c r="G15" s="26"/>
      <c r="H15" s="26">
        <v>318.93</v>
      </c>
      <c r="L15" s="2">
        <v>46118</v>
      </c>
      <c r="M15" s="2">
        <v>46118</v>
      </c>
      <c r="N15">
        <v>118</v>
      </c>
      <c r="O15" s="38" t="s">
        <v>653</v>
      </c>
      <c r="P15" t="s">
        <v>639</v>
      </c>
      <c r="Q15" s="37">
        <v>94.2</v>
      </c>
      <c r="R15" s="38" t="s">
        <v>640</v>
      </c>
    </row>
    <row r="16" spans="1:18" ht="20.399999999999999">
      <c r="A16" s="24" t="s">
        <v>558</v>
      </c>
      <c r="B16" s="24" t="s">
        <v>558</v>
      </c>
      <c r="C16" s="24" t="s">
        <v>569</v>
      </c>
      <c r="D16" s="25" t="s">
        <v>551</v>
      </c>
      <c r="E16" s="25" t="s">
        <v>552</v>
      </c>
      <c r="F16" s="24" t="s">
        <v>553</v>
      </c>
      <c r="G16" s="26"/>
      <c r="H16" s="26">
        <v>144.41999999999999</v>
      </c>
      <c r="L16" s="2">
        <v>46118</v>
      </c>
      <c r="M16" s="2">
        <v>46118</v>
      </c>
      <c r="N16">
        <v>118</v>
      </c>
      <c r="O16" s="38" t="s">
        <v>654</v>
      </c>
      <c r="P16" t="s">
        <v>639</v>
      </c>
      <c r="Q16" s="37">
        <v>161.12</v>
      </c>
      <c r="R16" s="38" t="s">
        <v>640</v>
      </c>
    </row>
    <row r="17" spans="1:18" ht="20.399999999999999">
      <c r="A17" s="24" t="s">
        <v>558</v>
      </c>
      <c r="B17" s="24" t="s">
        <v>558</v>
      </c>
      <c r="C17" s="24" t="s">
        <v>570</v>
      </c>
      <c r="D17" s="25" t="s">
        <v>551</v>
      </c>
      <c r="E17" s="25" t="s">
        <v>552</v>
      </c>
      <c r="F17" s="24" t="s">
        <v>553</v>
      </c>
      <c r="G17" s="26"/>
      <c r="H17" s="26">
        <v>143.91</v>
      </c>
      <c r="L17" s="2">
        <v>46118</v>
      </c>
      <c r="M17" s="2">
        <v>46118</v>
      </c>
      <c r="N17">
        <v>118</v>
      </c>
      <c r="O17" s="38" t="s">
        <v>655</v>
      </c>
      <c r="P17" t="s">
        <v>639</v>
      </c>
      <c r="Q17" s="37">
        <v>194.31</v>
      </c>
      <c r="R17" s="38" t="s">
        <v>640</v>
      </c>
    </row>
    <row r="18" spans="1:18" ht="20.399999999999999">
      <c r="A18" s="24" t="s">
        <v>558</v>
      </c>
      <c r="B18" s="24" t="s">
        <v>558</v>
      </c>
      <c r="C18" s="24" t="s">
        <v>571</v>
      </c>
      <c r="D18" s="25" t="s">
        <v>551</v>
      </c>
      <c r="E18" s="25" t="s">
        <v>552</v>
      </c>
      <c r="F18" s="24" t="s">
        <v>553</v>
      </c>
      <c r="G18" s="26"/>
      <c r="H18" s="26">
        <v>138.76</v>
      </c>
      <c r="L18" s="2">
        <v>46118</v>
      </c>
      <c r="M18" s="2">
        <v>46118</v>
      </c>
      <c r="N18">
        <v>118</v>
      </c>
      <c r="O18" s="38" t="s">
        <v>656</v>
      </c>
      <c r="P18" t="s">
        <v>639</v>
      </c>
      <c r="Q18" s="37">
        <v>299.02999999999997</v>
      </c>
      <c r="R18" s="38" t="s">
        <v>640</v>
      </c>
    </row>
    <row r="19" spans="1:18" ht="20.399999999999999">
      <c r="A19" s="24" t="s">
        <v>558</v>
      </c>
      <c r="B19" s="24" t="s">
        <v>558</v>
      </c>
      <c r="C19" s="24" t="s">
        <v>572</v>
      </c>
      <c r="D19" s="25" t="s">
        <v>551</v>
      </c>
      <c r="E19" s="25" t="s">
        <v>552</v>
      </c>
      <c r="F19" s="24" t="s">
        <v>553</v>
      </c>
      <c r="G19" s="26"/>
      <c r="H19" s="26">
        <v>87.17</v>
      </c>
      <c r="L19" s="2">
        <v>46118</v>
      </c>
      <c r="M19" s="2">
        <v>46118</v>
      </c>
      <c r="N19">
        <v>118</v>
      </c>
      <c r="O19" s="38" t="s">
        <v>657</v>
      </c>
      <c r="P19" t="s">
        <v>639</v>
      </c>
      <c r="Q19" s="37">
        <v>393.08</v>
      </c>
      <c r="R19" s="38" t="s">
        <v>640</v>
      </c>
    </row>
    <row r="20" spans="1:18" ht="20.399999999999999">
      <c r="A20" s="24" t="s">
        <v>558</v>
      </c>
      <c r="B20" s="24" t="s">
        <v>558</v>
      </c>
      <c r="C20" s="24" t="s">
        <v>573</v>
      </c>
      <c r="D20" s="25" t="s">
        <v>551</v>
      </c>
      <c r="E20" s="25" t="s">
        <v>552</v>
      </c>
      <c r="F20" s="24" t="s">
        <v>553</v>
      </c>
      <c r="G20" s="26"/>
      <c r="H20" s="26">
        <v>47.32</v>
      </c>
      <c r="L20" s="2">
        <v>46118</v>
      </c>
      <c r="M20" s="2">
        <v>46118</v>
      </c>
      <c r="N20">
        <v>118</v>
      </c>
      <c r="O20" s="38" t="s">
        <v>658</v>
      </c>
      <c r="P20" t="s">
        <v>639</v>
      </c>
      <c r="Q20" s="37">
        <v>400.67</v>
      </c>
      <c r="R20" s="38" t="s">
        <v>640</v>
      </c>
    </row>
    <row r="21" spans="1:18" ht="20.399999999999999">
      <c r="A21" s="24" t="s">
        <v>574</v>
      </c>
      <c r="B21" s="24" t="s">
        <v>574</v>
      </c>
      <c r="C21" s="24" t="s">
        <v>575</v>
      </c>
      <c r="D21" s="25" t="s">
        <v>551</v>
      </c>
      <c r="E21" s="25" t="s">
        <v>552</v>
      </c>
      <c r="F21" s="24" t="s">
        <v>553</v>
      </c>
      <c r="G21" s="26"/>
      <c r="H21" s="26">
        <v>12076.61</v>
      </c>
      <c r="L21" s="2">
        <v>46118</v>
      </c>
      <c r="M21" s="2">
        <v>46118</v>
      </c>
      <c r="N21">
        <v>118</v>
      </c>
      <c r="O21" s="38" t="s">
        <v>659</v>
      </c>
      <c r="P21" t="s">
        <v>639</v>
      </c>
      <c r="Q21" s="37">
        <v>486.04</v>
      </c>
      <c r="R21" s="38" t="s">
        <v>640</v>
      </c>
    </row>
    <row r="22" spans="1:18" ht="20.399999999999999">
      <c r="A22" s="24" t="s">
        <v>574</v>
      </c>
      <c r="B22" s="24" t="s">
        <v>574</v>
      </c>
      <c r="C22" s="24" t="s">
        <v>576</v>
      </c>
      <c r="D22" s="25" t="s">
        <v>551</v>
      </c>
      <c r="E22" s="25" t="s">
        <v>552</v>
      </c>
      <c r="F22" s="24" t="s">
        <v>553</v>
      </c>
      <c r="G22" s="26"/>
      <c r="H22" s="26">
        <v>160.75</v>
      </c>
      <c r="L22" s="2">
        <v>46118</v>
      </c>
      <c r="M22" s="2">
        <v>46118</v>
      </c>
      <c r="N22">
        <v>118</v>
      </c>
      <c r="O22" s="38" t="s">
        <v>660</v>
      </c>
      <c r="P22" t="s">
        <v>639</v>
      </c>
      <c r="Q22" s="37">
        <v>555.64</v>
      </c>
      <c r="R22" s="38" t="s">
        <v>640</v>
      </c>
    </row>
    <row r="23" spans="1:18" ht="20.399999999999999">
      <c r="A23" s="24" t="s">
        <v>577</v>
      </c>
      <c r="B23" s="24" t="s">
        <v>577</v>
      </c>
      <c r="C23" s="24" t="s">
        <v>578</v>
      </c>
      <c r="D23" s="25" t="s">
        <v>551</v>
      </c>
      <c r="E23" s="25" t="s">
        <v>552</v>
      </c>
      <c r="F23" s="24" t="s">
        <v>553</v>
      </c>
      <c r="G23" s="27"/>
      <c r="H23" s="26">
        <v>13922.37</v>
      </c>
      <c r="L23" s="2">
        <v>46118</v>
      </c>
      <c r="M23" s="2">
        <v>46118</v>
      </c>
      <c r="N23">
        <v>118</v>
      </c>
      <c r="O23" s="38" t="s">
        <v>661</v>
      </c>
      <c r="P23" t="s">
        <v>639</v>
      </c>
      <c r="Q23" s="37">
        <v>571.08000000000004</v>
      </c>
      <c r="R23" s="38" t="s">
        <v>640</v>
      </c>
    </row>
    <row r="24" spans="1:18" ht="20.399999999999999">
      <c r="A24" s="24" t="s">
        <v>577</v>
      </c>
      <c r="B24" s="24" t="s">
        <v>577</v>
      </c>
      <c r="C24" s="24" t="s">
        <v>579</v>
      </c>
      <c r="D24" s="25" t="s">
        <v>551</v>
      </c>
      <c r="E24" s="25" t="s">
        <v>552</v>
      </c>
      <c r="F24" s="24" t="s">
        <v>553</v>
      </c>
      <c r="G24" s="27"/>
      <c r="H24" s="26">
        <v>1144.49</v>
      </c>
      <c r="L24" s="2">
        <v>46118</v>
      </c>
      <c r="M24" s="2">
        <v>46118</v>
      </c>
      <c r="N24">
        <v>118</v>
      </c>
      <c r="O24" s="38" t="s">
        <v>662</v>
      </c>
      <c r="P24" t="s">
        <v>639</v>
      </c>
      <c r="Q24" s="37">
        <v>597.66999999999996</v>
      </c>
      <c r="R24" s="38" t="s">
        <v>640</v>
      </c>
    </row>
    <row r="25" spans="1:18" ht="20.399999999999999">
      <c r="A25" s="24" t="s">
        <v>577</v>
      </c>
      <c r="B25" s="24" t="s">
        <v>577</v>
      </c>
      <c r="C25" s="24" t="s">
        <v>580</v>
      </c>
      <c r="D25" s="25" t="s">
        <v>551</v>
      </c>
      <c r="E25" s="25" t="s">
        <v>552</v>
      </c>
      <c r="F25" s="24" t="s">
        <v>553</v>
      </c>
      <c r="G25" s="27"/>
      <c r="H25" s="26">
        <v>53.33</v>
      </c>
      <c r="L25" s="2">
        <v>46118</v>
      </c>
      <c r="M25" s="2">
        <v>46118</v>
      </c>
      <c r="N25">
        <v>118</v>
      </c>
      <c r="O25" s="38" t="s">
        <v>663</v>
      </c>
      <c r="P25" t="s">
        <v>639</v>
      </c>
      <c r="Q25" s="37">
        <v>660.52</v>
      </c>
      <c r="R25" s="38" t="s">
        <v>640</v>
      </c>
    </row>
    <row r="26" spans="1:18" ht="20.399999999999999">
      <c r="A26" s="24" t="s">
        <v>581</v>
      </c>
      <c r="B26" s="24" t="s">
        <v>581</v>
      </c>
      <c r="C26" s="24" t="s">
        <v>582</v>
      </c>
      <c r="D26" s="28" t="s">
        <v>551</v>
      </c>
      <c r="E26" s="28" t="s">
        <v>552</v>
      </c>
      <c r="F26" s="24" t="s">
        <v>553</v>
      </c>
      <c r="G26" s="27"/>
      <c r="H26" s="26">
        <v>10082.89</v>
      </c>
      <c r="L26" s="2">
        <v>46118</v>
      </c>
      <c r="M26" s="2">
        <v>46118</v>
      </c>
      <c r="N26">
        <v>118</v>
      </c>
      <c r="O26" s="38" t="s">
        <v>664</v>
      </c>
      <c r="P26" t="s">
        <v>639</v>
      </c>
      <c r="Q26" s="37">
        <v>743.27</v>
      </c>
      <c r="R26" s="38" t="s">
        <v>640</v>
      </c>
    </row>
    <row r="27" spans="1:18" ht="20.399999999999999">
      <c r="A27" s="24" t="s">
        <v>581</v>
      </c>
      <c r="B27" s="24" t="s">
        <v>581</v>
      </c>
      <c r="C27" s="24" t="s">
        <v>583</v>
      </c>
      <c r="D27" s="28" t="s">
        <v>551</v>
      </c>
      <c r="E27" s="28" t="s">
        <v>552</v>
      </c>
      <c r="F27" s="24" t="s">
        <v>553</v>
      </c>
      <c r="G27" s="27"/>
      <c r="H27" s="26">
        <v>152.13999999999999</v>
      </c>
      <c r="L27" s="2">
        <v>46118</v>
      </c>
      <c r="M27" s="2">
        <v>46118</v>
      </c>
      <c r="N27">
        <v>118</v>
      </c>
      <c r="O27" s="38" t="s">
        <v>665</v>
      </c>
      <c r="P27" t="s">
        <v>639</v>
      </c>
      <c r="Q27" s="37">
        <v>857.1</v>
      </c>
      <c r="R27" s="38" t="s">
        <v>640</v>
      </c>
    </row>
    <row r="28" spans="1:18" ht="20.399999999999999">
      <c r="A28" s="20" t="s">
        <v>542</v>
      </c>
      <c r="B28" s="20" t="s">
        <v>478</v>
      </c>
      <c r="C28" s="21" t="s">
        <v>543</v>
      </c>
      <c r="D28" s="22" t="s">
        <v>544</v>
      </c>
      <c r="E28" s="22" t="s">
        <v>545</v>
      </c>
      <c r="F28" s="20" t="s">
        <v>546</v>
      </c>
      <c r="G28" s="23" t="s">
        <v>547</v>
      </c>
      <c r="H28" s="23" t="s">
        <v>548</v>
      </c>
      <c r="L28" s="2">
        <v>46118</v>
      </c>
      <c r="M28" s="2">
        <v>46118</v>
      </c>
      <c r="N28">
        <v>118</v>
      </c>
      <c r="O28" s="38" t="s">
        <v>666</v>
      </c>
      <c r="P28" t="s">
        <v>639</v>
      </c>
      <c r="Q28" s="37">
        <v>857.1</v>
      </c>
      <c r="R28" s="38" t="s">
        <v>640</v>
      </c>
    </row>
    <row r="29" spans="1:18" ht="43.2">
      <c r="A29" s="24" t="s">
        <v>549</v>
      </c>
      <c r="B29" s="24" t="s">
        <v>549</v>
      </c>
      <c r="C29" s="24" t="s">
        <v>605</v>
      </c>
      <c r="D29" s="25" t="s">
        <v>606</v>
      </c>
      <c r="E29" s="25" t="s">
        <v>607</v>
      </c>
      <c r="F29" s="24" t="s">
        <v>608</v>
      </c>
      <c r="G29" s="26"/>
      <c r="H29" s="26">
        <v>2336.2600000000002</v>
      </c>
      <c r="L29" s="35">
        <v>46118</v>
      </c>
      <c r="M29" s="35">
        <v>46118</v>
      </c>
      <c r="N29" s="33">
        <v>118</v>
      </c>
      <c r="O29" s="36" t="s">
        <v>667</v>
      </c>
      <c r="P29" s="33" t="s">
        <v>639</v>
      </c>
      <c r="Q29" s="34">
        <v>904.76</v>
      </c>
      <c r="R29" s="36" t="s">
        <v>640</v>
      </c>
    </row>
    <row r="30" spans="1:18" ht="43.2">
      <c r="A30" s="24" t="s">
        <v>555</v>
      </c>
      <c r="B30" s="24" t="s">
        <v>555</v>
      </c>
      <c r="C30" s="24" t="s">
        <v>609</v>
      </c>
      <c r="D30" s="25" t="s">
        <v>606</v>
      </c>
      <c r="E30" s="25" t="s">
        <v>607</v>
      </c>
      <c r="F30" s="24" t="s">
        <v>608</v>
      </c>
      <c r="G30" s="26"/>
      <c r="H30" s="26">
        <v>4595.83</v>
      </c>
      <c r="L30" s="35">
        <v>46118</v>
      </c>
      <c r="M30" s="35">
        <v>46118</v>
      </c>
      <c r="N30" s="33">
        <v>118</v>
      </c>
      <c r="O30" s="36" t="s">
        <v>668</v>
      </c>
      <c r="P30" s="33" t="s">
        <v>639</v>
      </c>
      <c r="Q30" s="34">
        <v>953.39</v>
      </c>
      <c r="R30" s="36" t="s">
        <v>640</v>
      </c>
    </row>
    <row r="31" spans="1:18" ht="43.2">
      <c r="A31" s="24" t="s">
        <v>555</v>
      </c>
      <c r="B31" s="24" t="s">
        <v>555</v>
      </c>
      <c r="C31" s="24" t="s">
        <v>610</v>
      </c>
      <c r="D31" s="25" t="s">
        <v>606</v>
      </c>
      <c r="E31" s="25" t="s">
        <v>607</v>
      </c>
      <c r="F31" s="24" t="s">
        <v>608</v>
      </c>
      <c r="G31" s="26"/>
      <c r="H31" s="26">
        <v>3174.13</v>
      </c>
      <c r="L31" s="35">
        <v>46118</v>
      </c>
      <c r="M31" s="35">
        <v>46118</v>
      </c>
      <c r="N31" s="33">
        <v>118</v>
      </c>
      <c r="O31" s="36" t="s">
        <v>669</v>
      </c>
      <c r="P31" s="33" t="s">
        <v>639</v>
      </c>
      <c r="Q31" s="34">
        <v>1414.25</v>
      </c>
      <c r="R31" s="36" t="s">
        <v>640</v>
      </c>
    </row>
    <row r="32" spans="1:18" ht="43.2">
      <c r="A32" s="24" t="s">
        <v>555</v>
      </c>
      <c r="B32" s="24" t="s">
        <v>555</v>
      </c>
      <c r="C32" s="24" t="s">
        <v>611</v>
      </c>
      <c r="D32" s="25" t="s">
        <v>606</v>
      </c>
      <c r="E32" s="25" t="s">
        <v>607</v>
      </c>
      <c r="F32" s="24" t="s">
        <v>608</v>
      </c>
      <c r="G32" s="26"/>
      <c r="H32" s="26">
        <v>3158.78</v>
      </c>
      <c r="L32" s="35">
        <v>46118</v>
      </c>
      <c r="M32" s="35">
        <v>46118</v>
      </c>
      <c r="N32" s="33">
        <v>118</v>
      </c>
      <c r="O32" s="36" t="s">
        <v>670</v>
      </c>
      <c r="P32" s="33" t="s">
        <v>639</v>
      </c>
      <c r="Q32" s="34">
        <v>1525.37</v>
      </c>
      <c r="R32" s="36" t="s">
        <v>640</v>
      </c>
    </row>
    <row r="33" spans="1:18" ht="43.2">
      <c r="A33" s="24" t="s">
        <v>555</v>
      </c>
      <c r="B33" s="24" t="s">
        <v>555</v>
      </c>
      <c r="C33" s="24" t="s">
        <v>612</v>
      </c>
      <c r="D33" s="25" t="s">
        <v>606</v>
      </c>
      <c r="E33" s="25" t="s">
        <v>607</v>
      </c>
      <c r="F33" s="24" t="s">
        <v>608</v>
      </c>
      <c r="G33" s="26"/>
      <c r="H33" s="26">
        <v>2848.19</v>
      </c>
      <c r="L33" s="35">
        <v>46118</v>
      </c>
      <c r="M33" s="35">
        <v>46118</v>
      </c>
      <c r="N33" s="33">
        <v>118</v>
      </c>
      <c r="O33" s="36" t="s">
        <v>671</v>
      </c>
      <c r="P33" s="33" t="s">
        <v>639</v>
      </c>
      <c r="Q33" s="34">
        <v>1616.18</v>
      </c>
      <c r="R33" s="36" t="s">
        <v>640</v>
      </c>
    </row>
    <row r="34" spans="1:18" ht="43.2">
      <c r="A34" s="24" t="s">
        <v>555</v>
      </c>
      <c r="B34" s="24" t="s">
        <v>555</v>
      </c>
      <c r="C34" s="24" t="s">
        <v>613</v>
      </c>
      <c r="D34" s="25" t="s">
        <v>606</v>
      </c>
      <c r="E34" s="25" t="s">
        <v>607</v>
      </c>
      <c r="F34" s="24" t="s">
        <v>608</v>
      </c>
      <c r="G34" s="26"/>
      <c r="H34" s="26">
        <v>2064.86</v>
      </c>
      <c r="L34" s="35">
        <v>46118</v>
      </c>
      <c r="M34" s="35">
        <v>46118</v>
      </c>
      <c r="N34" s="33">
        <v>118</v>
      </c>
      <c r="O34" s="36" t="s">
        <v>672</v>
      </c>
      <c r="P34" s="33" t="s">
        <v>639</v>
      </c>
      <c r="Q34" s="34">
        <v>1638.14</v>
      </c>
      <c r="R34" s="36" t="s">
        <v>640</v>
      </c>
    </row>
    <row r="35" spans="1:18" ht="43.2">
      <c r="A35" s="24" t="s">
        <v>555</v>
      </c>
      <c r="B35" s="24" t="s">
        <v>555</v>
      </c>
      <c r="C35" s="24" t="s">
        <v>614</v>
      </c>
      <c r="D35" s="25" t="s">
        <v>606</v>
      </c>
      <c r="E35" s="25" t="s">
        <v>607</v>
      </c>
      <c r="F35" s="24" t="s">
        <v>608</v>
      </c>
      <c r="G35" s="26"/>
      <c r="H35" s="26">
        <v>1724.64</v>
      </c>
      <c r="L35" s="35">
        <v>46118</v>
      </c>
      <c r="M35" s="35">
        <v>46118</v>
      </c>
      <c r="N35" s="33">
        <v>118</v>
      </c>
      <c r="O35" s="36" t="s">
        <v>673</v>
      </c>
      <c r="P35" s="33" t="s">
        <v>639</v>
      </c>
      <c r="Q35" s="34">
        <v>1642.23</v>
      </c>
      <c r="R35" s="36" t="s">
        <v>640</v>
      </c>
    </row>
    <row r="36" spans="1:18" ht="43.2">
      <c r="A36" s="24" t="s">
        <v>555</v>
      </c>
      <c r="B36" s="24" t="s">
        <v>555</v>
      </c>
      <c r="C36" s="24" t="s">
        <v>615</v>
      </c>
      <c r="D36" s="25" t="s">
        <v>606</v>
      </c>
      <c r="E36" s="25" t="s">
        <v>607</v>
      </c>
      <c r="F36" s="24" t="s">
        <v>608</v>
      </c>
      <c r="G36" s="26"/>
      <c r="H36" s="26">
        <v>1473.47</v>
      </c>
      <c r="L36" s="35">
        <v>46118</v>
      </c>
      <c r="M36" s="35">
        <v>46118</v>
      </c>
      <c r="N36" s="33">
        <v>118</v>
      </c>
      <c r="O36" s="36" t="s">
        <v>674</v>
      </c>
      <c r="P36" s="33" t="s">
        <v>639</v>
      </c>
      <c r="Q36" s="34">
        <v>1654.89</v>
      </c>
      <c r="R36" s="36" t="s">
        <v>640</v>
      </c>
    </row>
    <row r="37" spans="1:18" ht="43.2">
      <c r="A37" s="24" t="s">
        <v>555</v>
      </c>
      <c r="B37" s="24" t="s">
        <v>555</v>
      </c>
      <c r="C37" s="24" t="s">
        <v>616</v>
      </c>
      <c r="D37" s="25" t="s">
        <v>606</v>
      </c>
      <c r="E37" s="25" t="s">
        <v>607</v>
      </c>
      <c r="F37" s="24" t="s">
        <v>608</v>
      </c>
      <c r="G37" s="26"/>
      <c r="H37" s="26">
        <v>605.97</v>
      </c>
      <c r="L37" s="35">
        <v>46118</v>
      </c>
      <c r="M37" s="35">
        <v>46118</v>
      </c>
      <c r="N37" s="33">
        <v>118</v>
      </c>
      <c r="O37" s="36" t="s">
        <v>675</v>
      </c>
      <c r="P37" s="33" t="s">
        <v>639</v>
      </c>
      <c r="Q37" s="34">
        <v>1752.3</v>
      </c>
      <c r="R37" s="36" t="s">
        <v>640</v>
      </c>
    </row>
    <row r="38" spans="1:18" ht="43.2">
      <c r="A38" s="24" t="s">
        <v>555</v>
      </c>
      <c r="B38" s="24" t="s">
        <v>555</v>
      </c>
      <c r="C38" s="24" t="s">
        <v>617</v>
      </c>
      <c r="D38" s="25" t="s">
        <v>606</v>
      </c>
      <c r="E38" s="25" t="s">
        <v>607</v>
      </c>
      <c r="F38" s="24" t="s">
        <v>608</v>
      </c>
      <c r="G38" s="26"/>
      <c r="H38" s="26">
        <v>597.1</v>
      </c>
      <c r="L38" s="35">
        <v>46118</v>
      </c>
      <c r="M38" s="35">
        <v>46118</v>
      </c>
      <c r="N38" s="33">
        <v>118</v>
      </c>
      <c r="O38" s="36" t="s">
        <v>676</v>
      </c>
      <c r="P38" s="33" t="s">
        <v>639</v>
      </c>
      <c r="Q38" s="34">
        <v>1994.83</v>
      </c>
      <c r="R38" s="36" t="s">
        <v>640</v>
      </c>
    </row>
    <row r="39" spans="1:18" ht="43.2">
      <c r="A39" s="24" t="s">
        <v>555</v>
      </c>
      <c r="B39" s="24" t="s">
        <v>555</v>
      </c>
      <c r="C39" s="24" t="s">
        <v>618</v>
      </c>
      <c r="D39" s="25" t="s">
        <v>606</v>
      </c>
      <c r="E39" s="25" t="s">
        <v>607</v>
      </c>
      <c r="F39" s="24" t="s">
        <v>608</v>
      </c>
      <c r="G39" s="26"/>
      <c r="H39" s="26">
        <v>410.07</v>
      </c>
      <c r="L39" s="35">
        <v>46118</v>
      </c>
      <c r="M39" s="35">
        <v>46118</v>
      </c>
      <c r="N39" s="33">
        <v>118</v>
      </c>
      <c r="O39" s="36" t="s">
        <v>677</v>
      </c>
      <c r="P39" s="33" t="s">
        <v>639</v>
      </c>
      <c r="Q39" s="34">
        <v>2190.89</v>
      </c>
      <c r="R39" s="36" t="s">
        <v>640</v>
      </c>
    </row>
    <row r="40" spans="1:18" ht="43.2">
      <c r="A40" s="24" t="s">
        <v>555</v>
      </c>
      <c r="B40" s="24" t="s">
        <v>555</v>
      </c>
      <c r="C40" s="24" t="s">
        <v>619</v>
      </c>
      <c r="D40" s="25" t="s">
        <v>606</v>
      </c>
      <c r="E40" s="25" t="s">
        <v>607</v>
      </c>
      <c r="F40" s="24" t="s">
        <v>608</v>
      </c>
      <c r="G40" s="26"/>
      <c r="H40" s="26">
        <v>334.57</v>
      </c>
      <c r="L40" s="35">
        <v>46118</v>
      </c>
      <c r="M40" s="35">
        <v>46118</v>
      </c>
      <c r="N40" s="33">
        <v>118</v>
      </c>
      <c r="O40" s="36" t="s">
        <v>678</v>
      </c>
      <c r="P40" s="33" t="s">
        <v>639</v>
      </c>
      <c r="Q40" s="34">
        <v>2194.27</v>
      </c>
      <c r="R40" s="36" t="s">
        <v>640</v>
      </c>
    </row>
    <row r="41" spans="1:18" ht="20.399999999999999">
      <c r="A41" s="24" t="s">
        <v>555</v>
      </c>
      <c r="B41" s="24" t="s">
        <v>555</v>
      </c>
      <c r="C41" s="24" t="s">
        <v>620</v>
      </c>
      <c r="D41" s="25" t="s">
        <v>606</v>
      </c>
      <c r="E41" s="25" t="s">
        <v>607</v>
      </c>
      <c r="F41" s="24" t="s">
        <v>608</v>
      </c>
      <c r="G41" s="26"/>
      <c r="H41" s="26">
        <v>257.88</v>
      </c>
      <c r="L41" s="2">
        <v>46118</v>
      </c>
      <c r="M41" s="2">
        <v>46118</v>
      </c>
      <c r="N41">
        <v>118</v>
      </c>
      <c r="O41" s="38" t="s">
        <v>679</v>
      </c>
      <c r="P41" t="s">
        <v>639</v>
      </c>
      <c r="Q41" s="37">
        <v>2773.53</v>
      </c>
      <c r="R41" s="38" t="s">
        <v>640</v>
      </c>
    </row>
    <row r="42" spans="1:18" ht="43.2">
      <c r="A42" s="24" t="s">
        <v>555</v>
      </c>
      <c r="B42" s="24" t="s">
        <v>555</v>
      </c>
      <c r="C42" s="24" t="s">
        <v>621</v>
      </c>
      <c r="D42" s="25" t="s">
        <v>606</v>
      </c>
      <c r="E42" s="25" t="s">
        <v>607</v>
      </c>
      <c r="F42" s="24" t="s">
        <v>608</v>
      </c>
      <c r="G42" s="26"/>
      <c r="H42" s="26">
        <v>243.5</v>
      </c>
      <c r="L42" s="35">
        <v>46118</v>
      </c>
      <c r="M42" s="35">
        <v>46118</v>
      </c>
      <c r="N42" s="33">
        <v>118</v>
      </c>
      <c r="O42" s="36" t="s">
        <v>680</v>
      </c>
      <c r="P42" s="33" t="s">
        <v>639</v>
      </c>
      <c r="Q42" s="34">
        <v>2915.46</v>
      </c>
      <c r="R42" s="36" t="s">
        <v>640</v>
      </c>
    </row>
    <row r="43" spans="1:18" ht="43.2">
      <c r="A43" s="24" t="s">
        <v>555</v>
      </c>
      <c r="B43" s="24" t="s">
        <v>555</v>
      </c>
      <c r="C43" s="24" t="s">
        <v>622</v>
      </c>
      <c r="D43" s="25" t="s">
        <v>606</v>
      </c>
      <c r="E43" s="25" t="s">
        <v>607</v>
      </c>
      <c r="F43" s="24" t="s">
        <v>608</v>
      </c>
      <c r="G43" s="26"/>
      <c r="H43" s="26">
        <v>142.84</v>
      </c>
      <c r="L43" s="35">
        <v>46118</v>
      </c>
      <c r="M43" s="35">
        <v>46118</v>
      </c>
      <c r="N43" s="33">
        <v>118</v>
      </c>
      <c r="O43" s="36" t="s">
        <v>681</v>
      </c>
      <c r="P43" s="33" t="s">
        <v>639</v>
      </c>
      <c r="Q43" s="34">
        <v>2949.37</v>
      </c>
      <c r="R43" s="36" t="s">
        <v>640</v>
      </c>
    </row>
    <row r="44" spans="1:18" ht="43.2">
      <c r="A44" s="24" t="s">
        <v>555</v>
      </c>
      <c r="B44" s="24" t="s">
        <v>555</v>
      </c>
      <c r="C44" s="24" t="s">
        <v>623</v>
      </c>
      <c r="D44" s="25" t="s">
        <v>606</v>
      </c>
      <c r="E44" s="25" t="s">
        <v>607</v>
      </c>
      <c r="F44" s="24" t="s">
        <v>608</v>
      </c>
      <c r="G44" s="26"/>
      <c r="H44" s="26">
        <v>128.46</v>
      </c>
      <c r="L44" s="35">
        <v>46118</v>
      </c>
      <c r="M44" s="35">
        <v>46118</v>
      </c>
      <c r="N44" s="33">
        <v>118</v>
      </c>
      <c r="O44" s="36" t="s">
        <v>682</v>
      </c>
      <c r="P44" s="33" t="s">
        <v>639</v>
      </c>
      <c r="Q44" s="34">
        <v>3989.67</v>
      </c>
      <c r="R44" s="36" t="s">
        <v>640</v>
      </c>
    </row>
    <row r="45" spans="1:18" ht="43.2">
      <c r="A45" s="24" t="s">
        <v>558</v>
      </c>
      <c r="B45" s="24" t="s">
        <v>558</v>
      </c>
      <c r="C45" s="24" t="s">
        <v>624</v>
      </c>
      <c r="D45" s="25" t="s">
        <v>606</v>
      </c>
      <c r="E45" s="25" t="s">
        <v>607</v>
      </c>
      <c r="F45" s="24" t="s">
        <v>608</v>
      </c>
      <c r="G45" s="26"/>
      <c r="H45" s="26">
        <v>110.7</v>
      </c>
      <c r="L45" s="35">
        <v>46118</v>
      </c>
      <c r="M45" s="35">
        <v>46118</v>
      </c>
      <c r="N45" s="33">
        <v>118</v>
      </c>
      <c r="O45" s="36" t="s">
        <v>683</v>
      </c>
      <c r="P45" s="33" t="s">
        <v>639</v>
      </c>
      <c r="Q45" s="34">
        <v>5712.53</v>
      </c>
      <c r="R45" s="36" t="s">
        <v>640</v>
      </c>
    </row>
    <row r="46" spans="1:18" ht="43.2">
      <c r="A46" s="24" t="s">
        <v>574</v>
      </c>
      <c r="B46" s="24" t="s">
        <v>574</v>
      </c>
      <c r="C46" s="24" t="s">
        <v>625</v>
      </c>
      <c r="D46" s="25" t="s">
        <v>606</v>
      </c>
      <c r="E46" s="25" t="s">
        <v>607</v>
      </c>
      <c r="F46" s="24" t="s">
        <v>608</v>
      </c>
      <c r="G46" s="26"/>
      <c r="H46" s="26">
        <v>1987.06</v>
      </c>
      <c r="L46" s="35">
        <v>46118</v>
      </c>
      <c r="M46" s="35">
        <v>46118</v>
      </c>
      <c r="N46" s="33">
        <v>118</v>
      </c>
      <c r="O46" s="36" t="s">
        <v>684</v>
      </c>
      <c r="P46" s="33" t="s">
        <v>639</v>
      </c>
      <c r="Q46" s="34">
        <v>5788.81</v>
      </c>
      <c r="R46" s="36" t="s">
        <v>640</v>
      </c>
    </row>
    <row r="47" spans="1:18" ht="43.2">
      <c r="A47" s="24" t="s">
        <v>574</v>
      </c>
      <c r="B47" s="24" t="s">
        <v>574</v>
      </c>
      <c r="C47" s="24" t="s">
        <v>626</v>
      </c>
      <c r="D47" s="25" t="s">
        <v>606</v>
      </c>
      <c r="E47" s="25" t="s">
        <v>607</v>
      </c>
      <c r="F47" s="24" t="s">
        <v>608</v>
      </c>
      <c r="G47" s="26"/>
      <c r="H47" s="26">
        <v>1492.49</v>
      </c>
      <c r="L47" s="35">
        <v>46119</v>
      </c>
      <c r="M47" s="35">
        <v>46119</v>
      </c>
      <c r="N47" s="33">
        <v>118</v>
      </c>
      <c r="O47" s="36" t="s">
        <v>685</v>
      </c>
      <c r="P47" s="33" t="s">
        <v>639</v>
      </c>
      <c r="Q47" s="34">
        <v>51.53</v>
      </c>
      <c r="R47" s="36" t="s">
        <v>640</v>
      </c>
    </row>
    <row r="48" spans="1:18" ht="43.2">
      <c r="A48" s="24" t="s">
        <v>574</v>
      </c>
      <c r="B48" s="24" t="s">
        <v>574</v>
      </c>
      <c r="C48" s="24" t="s">
        <v>627</v>
      </c>
      <c r="D48" s="25" t="s">
        <v>606</v>
      </c>
      <c r="E48" s="25" t="s">
        <v>607</v>
      </c>
      <c r="F48" s="24" t="s">
        <v>608</v>
      </c>
      <c r="G48" s="26"/>
      <c r="H48" s="26">
        <v>267.22000000000003</v>
      </c>
      <c r="L48" s="35">
        <v>46119</v>
      </c>
      <c r="M48" s="35">
        <v>46119</v>
      </c>
      <c r="N48" s="33">
        <v>118</v>
      </c>
      <c r="O48" s="36" t="s">
        <v>686</v>
      </c>
      <c r="P48" s="33" t="s">
        <v>639</v>
      </c>
      <c r="Q48" s="34">
        <v>53.47</v>
      </c>
      <c r="R48" s="36" t="s">
        <v>640</v>
      </c>
    </row>
    <row r="49" spans="1:18" ht="43.2">
      <c r="A49" s="24" t="s">
        <v>574</v>
      </c>
      <c r="B49" s="24" t="s">
        <v>574</v>
      </c>
      <c r="C49" s="24" t="s">
        <v>628</v>
      </c>
      <c r="D49" s="25" t="s">
        <v>606</v>
      </c>
      <c r="E49" s="25" t="s">
        <v>607</v>
      </c>
      <c r="F49" s="24" t="s">
        <v>608</v>
      </c>
      <c r="G49" s="26"/>
      <c r="H49" s="26">
        <v>193.51</v>
      </c>
      <c r="L49" s="35">
        <v>46119</v>
      </c>
      <c r="M49" s="35">
        <v>46119</v>
      </c>
      <c r="N49" s="33">
        <v>118</v>
      </c>
      <c r="O49" s="36" t="s">
        <v>687</v>
      </c>
      <c r="P49" s="33" t="s">
        <v>639</v>
      </c>
      <c r="Q49" s="34">
        <v>62.18</v>
      </c>
      <c r="R49" s="36" t="s">
        <v>640</v>
      </c>
    </row>
    <row r="50" spans="1:18" ht="43.2">
      <c r="A50" s="24" t="s">
        <v>577</v>
      </c>
      <c r="B50" s="24" t="s">
        <v>577</v>
      </c>
      <c r="C50" s="24" t="s">
        <v>629</v>
      </c>
      <c r="D50" s="25" t="s">
        <v>606</v>
      </c>
      <c r="E50" s="25" t="s">
        <v>607</v>
      </c>
      <c r="F50" s="24" t="s">
        <v>608</v>
      </c>
      <c r="G50" s="27"/>
      <c r="H50" s="26">
        <v>526.29999999999995</v>
      </c>
      <c r="L50" s="35">
        <v>46119</v>
      </c>
      <c r="M50" s="35">
        <v>46119</v>
      </c>
      <c r="N50" s="33">
        <v>118</v>
      </c>
      <c r="O50" s="36" t="s">
        <v>688</v>
      </c>
      <c r="P50" s="33" t="s">
        <v>639</v>
      </c>
      <c r="Q50" s="34">
        <v>87.56</v>
      </c>
      <c r="R50" s="36" t="s">
        <v>640</v>
      </c>
    </row>
    <row r="51" spans="1:18" ht="43.2">
      <c r="A51" s="24" t="s">
        <v>577</v>
      </c>
      <c r="B51" s="24" t="s">
        <v>577</v>
      </c>
      <c r="C51" s="24" t="s">
        <v>630</v>
      </c>
      <c r="D51" s="25" t="s">
        <v>606</v>
      </c>
      <c r="E51" s="25" t="s">
        <v>607</v>
      </c>
      <c r="F51" s="24" t="s">
        <v>608</v>
      </c>
      <c r="G51" s="27"/>
      <c r="H51" s="26">
        <v>142.84</v>
      </c>
      <c r="L51" s="35">
        <v>46119</v>
      </c>
      <c r="M51" s="35">
        <v>46119</v>
      </c>
      <c r="N51" s="33">
        <v>118</v>
      </c>
      <c r="O51" s="36" t="s">
        <v>689</v>
      </c>
      <c r="P51" s="33" t="s">
        <v>639</v>
      </c>
      <c r="Q51" s="34">
        <v>135.38999999999999</v>
      </c>
      <c r="R51" s="36" t="s">
        <v>640</v>
      </c>
    </row>
    <row r="52" spans="1:18" ht="30.6">
      <c r="A52" s="24" t="s">
        <v>581</v>
      </c>
      <c r="B52" s="24" t="s">
        <v>581</v>
      </c>
      <c r="C52" s="24" t="s">
        <v>631</v>
      </c>
      <c r="D52" s="28" t="s">
        <v>606</v>
      </c>
      <c r="E52" s="28" t="s">
        <v>607</v>
      </c>
      <c r="F52" s="24" t="s">
        <v>608</v>
      </c>
      <c r="G52" s="27"/>
      <c r="H52" s="26">
        <v>257.88</v>
      </c>
      <c r="L52" s="2">
        <v>46119</v>
      </c>
      <c r="M52" s="2">
        <v>46119</v>
      </c>
      <c r="N52">
        <v>118</v>
      </c>
      <c r="O52" s="38" t="s">
        <v>690</v>
      </c>
      <c r="P52" t="s">
        <v>639</v>
      </c>
      <c r="Q52" s="37">
        <v>170.66</v>
      </c>
      <c r="R52" s="38" t="s">
        <v>640</v>
      </c>
    </row>
    <row r="53" spans="1:18">
      <c r="L53" s="2">
        <v>46119</v>
      </c>
      <c r="M53" s="2">
        <v>46119</v>
      </c>
      <c r="N53">
        <v>118</v>
      </c>
      <c r="O53" s="38" t="s">
        <v>691</v>
      </c>
      <c r="P53" t="s">
        <v>639</v>
      </c>
      <c r="Q53" s="37">
        <v>218.32</v>
      </c>
      <c r="R53" s="38" t="s">
        <v>640</v>
      </c>
    </row>
    <row r="54" spans="1:18">
      <c r="L54" s="2">
        <v>46119</v>
      </c>
      <c r="M54" s="2">
        <v>46119</v>
      </c>
      <c r="N54">
        <v>118</v>
      </c>
      <c r="O54" s="38" t="s">
        <v>692</v>
      </c>
      <c r="P54" t="s">
        <v>639</v>
      </c>
      <c r="Q54" s="37">
        <v>223.05</v>
      </c>
      <c r="R54" s="38" t="s">
        <v>640</v>
      </c>
    </row>
    <row r="55" spans="1:18">
      <c r="L55" s="2">
        <v>46119</v>
      </c>
      <c r="M55" s="2">
        <v>46119</v>
      </c>
      <c r="N55">
        <v>118</v>
      </c>
      <c r="O55" s="38" t="s">
        <v>693</v>
      </c>
      <c r="P55" t="s">
        <v>639</v>
      </c>
      <c r="Q55" s="37">
        <v>256.45999999999998</v>
      </c>
      <c r="R55" s="38" t="s">
        <v>640</v>
      </c>
    </row>
    <row r="56" spans="1:18">
      <c r="L56" s="2">
        <v>46119</v>
      </c>
      <c r="M56" s="2">
        <v>46119</v>
      </c>
      <c r="N56">
        <v>118</v>
      </c>
      <c r="O56" s="38" t="s">
        <v>694</v>
      </c>
      <c r="P56" t="s">
        <v>639</v>
      </c>
      <c r="Q56" s="37">
        <v>523.41</v>
      </c>
      <c r="R56" s="38" t="s">
        <v>640</v>
      </c>
    </row>
    <row r="57" spans="1:18">
      <c r="L57" s="2">
        <v>46119</v>
      </c>
      <c r="M57" s="2">
        <v>46119</v>
      </c>
      <c r="N57">
        <v>118</v>
      </c>
      <c r="O57" s="38" t="s">
        <v>695</v>
      </c>
      <c r="P57" t="s">
        <v>639</v>
      </c>
      <c r="Q57" s="37">
        <v>859.84</v>
      </c>
      <c r="R57" s="38" t="s">
        <v>640</v>
      </c>
    </row>
    <row r="58" spans="1:18">
      <c r="L58" s="2">
        <v>46119</v>
      </c>
      <c r="M58" s="2">
        <v>46119</v>
      </c>
      <c r="N58">
        <v>118</v>
      </c>
      <c r="O58" s="38" t="s">
        <v>696</v>
      </c>
      <c r="P58" t="s">
        <v>639</v>
      </c>
      <c r="Q58" s="37">
        <v>1237.5</v>
      </c>
      <c r="R58" s="38" t="s">
        <v>640</v>
      </c>
    </row>
    <row r="59" spans="1:18">
      <c r="L59" s="2">
        <v>46119</v>
      </c>
      <c r="M59" s="2">
        <v>46119</v>
      </c>
      <c r="N59">
        <v>118</v>
      </c>
      <c r="O59" s="38" t="s">
        <v>697</v>
      </c>
      <c r="P59" t="s">
        <v>639</v>
      </c>
      <c r="Q59" s="37">
        <v>1414.83</v>
      </c>
      <c r="R59" s="38" t="s">
        <v>640</v>
      </c>
    </row>
    <row r="60" spans="1:18">
      <c r="L60" s="2">
        <v>46120</v>
      </c>
      <c r="M60" s="2">
        <v>46120</v>
      </c>
      <c r="N60">
        <v>118</v>
      </c>
      <c r="O60" s="38" t="s">
        <v>698</v>
      </c>
      <c r="P60" t="s">
        <v>639</v>
      </c>
      <c r="Q60" s="37">
        <v>599.67999999999995</v>
      </c>
      <c r="R60" s="38" t="s">
        <v>640</v>
      </c>
    </row>
    <row r="61" spans="1:18">
      <c r="L61" s="2">
        <v>46120</v>
      </c>
      <c r="M61" s="2">
        <v>46120</v>
      </c>
      <c r="N61">
        <v>118</v>
      </c>
      <c r="O61" s="38" t="s">
        <v>699</v>
      </c>
      <c r="P61" t="s">
        <v>639</v>
      </c>
      <c r="Q61" s="37">
        <v>714.08</v>
      </c>
      <c r="R61" s="38" t="s">
        <v>640</v>
      </c>
    </row>
    <row r="62" spans="1:18">
      <c r="L62" s="2">
        <v>46120</v>
      </c>
      <c r="M62" s="2">
        <v>46120</v>
      </c>
      <c r="N62">
        <v>118</v>
      </c>
      <c r="O62" s="38" t="s">
        <v>700</v>
      </c>
      <c r="P62" t="s">
        <v>639</v>
      </c>
      <c r="Q62" s="37">
        <v>961.01</v>
      </c>
      <c r="R62" s="38" t="s">
        <v>640</v>
      </c>
    </row>
    <row r="63" spans="1:18">
      <c r="L63" s="2">
        <v>46120</v>
      </c>
      <c r="M63" s="2">
        <v>46120</v>
      </c>
      <c r="N63">
        <v>118</v>
      </c>
      <c r="O63" s="38" t="s">
        <v>701</v>
      </c>
      <c r="P63" t="s">
        <v>639</v>
      </c>
      <c r="Q63" s="37">
        <v>1264.3</v>
      </c>
      <c r="R63" s="38" t="s">
        <v>640</v>
      </c>
    </row>
    <row r="64" spans="1:18">
      <c r="L64" s="2">
        <v>46120</v>
      </c>
      <c r="M64" s="2">
        <v>46120</v>
      </c>
      <c r="N64">
        <v>118</v>
      </c>
      <c r="O64" s="38" t="s">
        <v>702</v>
      </c>
      <c r="P64" t="s">
        <v>639</v>
      </c>
      <c r="Q64" s="37">
        <v>1429.13</v>
      </c>
      <c r="R64" s="38" t="s">
        <v>640</v>
      </c>
    </row>
    <row r="65" spans="12:18">
      <c r="L65" s="2">
        <v>46120</v>
      </c>
      <c r="M65" s="2">
        <v>46120</v>
      </c>
      <c r="N65">
        <v>118</v>
      </c>
      <c r="O65" s="38" t="s">
        <v>703</v>
      </c>
      <c r="P65" t="s">
        <v>639</v>
      </c>
      <c r="Q65" s="37">
        <v>2279.58</v>
      </c>
      <c r="R65" s="38" t="s">
        <v>640</v>
      </c>
    </row>
    <row r="66" spans="12:18">
      <c r="L66" s="2">
        <v>46120</v>
      </c>
      <c r="M66" s="2">
        <v>46120</v>
      </c>
      <c r="N66">
        <v>118</v>
      </c>
      <c r="O66" s="38" t="s">
        <v>704</v>
      </c>
      <c r="P66" t="s">
        <v>639</v>
      </c>
      <c r="Q66" s="37">
        <v>2399.6799999999998</v>
      </c>
      <c r="R66" s="38" t="s">
        <v>640</v>
      </c>
    </row>
    <row r="67" spans="12:18">
      <c r="L67" s="2">
        <v>46121</v>
      </c>
      <c r="M67" s="2">
        <v>46121</v>
      </c>
      <c r="N67">
        <v>118</v>
      </c>
      <c r="O67" s="38" t="s">
        <v>705</v>
      </c>
      <c r="P67" t="s">
        <v>639</v>
      </c>
      <c r="Q67" s="37">
        <v>94.39</v>
      </c>
      <c r="R67" s="38" t="s">
        <v>640</v>
      </c>
    </row>
    <row r="68" spans="12:18">
      <c r="L68" s="2">
        <v>46121</v>
      </c>
      <c r="M68" s="2">
        <v>46121</v>
      </c>
      <c r="N68">
        <v>118</v>
      </c>
      <c r="O68" s="38" t="s">
        <v>706</v>
      </c>
      <c r="P68" t="s">
        <v>639</v>
      </c>
      <c r="Q68" s="37">
        <v>95.24</v>
      </c>
      <c r="R68" s="38" t="s">
        <v>640</v>
      </c>
    </row>
    <row r="69" spans="12:18">
      <c r="L69" s="2">
        <v>46121</v>
      </c>
      <c r="M69" s="2">
        <v>46121</v>
      </c>
      <c r="N69">
        <v>118</v>
      </c>
      <c r="O69" s="38" t="s">
        <v>707</v>
      </c>
      <c r="P69" t="s">
        <v>639</v>
      </c>
      <c r="Q69" s="37">
        <v>213.21</v>
      </c>
      <c r="R69" s="38" t="s">
        <v>640</v>
      </c>
    </row>
    <row r="70" spans="12:18">
      <c r="L70" s="2">
        <v>46121</v>
      </c>
      <c r="M70" s="2">
        <v>46121</v>
      </c>
      <c r="N70">
        <v>118</v>
      </c>
      <c r="O70" s="38" t="s">
        <v>708</v>
      </c>
      <c r="P70" t="s">
        <v>639</v>
      </c>
      <c r="Q70" s="37">
        <v>339.94</v>
      </c>
      <c r="R70" s="38" t="s">
        <v>640</v>
      </c>
    </row>
    <row r="71" spans="12:18">
      <c r="L71" s="2">
        <v>46121</v>
      </c>
      <c r="M71" s="2">
        <v>46121</v>
      </c>
      <c r="N71">
        <v>118</v>
      </c>
      <c r="O71" s="38" t="s">
        <v>709</v>
      </c>
      <c r="P71" t="s">
        <v>639</v>
      </c>
      <c r="Q71" s="37">
        <v>599.67999999999995</v>
      </c>
      <c r="R71" s="38" t="s">
        <v>640</v>
      </c>
    </row>
    <row r="72" spans="12:18">
      <c r="L72" s="2">
        <v>46121</v>
      </c>
      <c r="M72" s="2">
        <v>46121</v>
      </c>
      <c r="N72">
        <v>118</v>
      </c>
      <c r="O72" s="38" t="s">
        <v>710</v>
      </c>
      <c r="P72" t="s">
        <v>639</v>
      </c>
      <c r="Q72" s="37">
        <v>670.13</v>
      </c>
      <c r="R72" s="38" t="s">
        <v>640</v>
      </c>
    </row>
    <row r="73" spans="12:18">
      <c r="L73" s="2">
        <v>46121</v>
      </c>
      <c r="M73" s="2">
        <v>46121</v>
      </c>
      <c r="N73">
        <v>118</v>
      </c>
      <c r="O73" s="38" t="s">
        <v>711</v>
      </c>
      <c r="P73" t="s">
        <v>639</v>
      </c>
      <c r="Q73" s="37">
        <v>1429.13</v>
      </c>
      <c r="R73" s="38" t="s">
        <v>640</v>
      </c>
    </row>
    <row r="74" spans="12:18">
      <c r="L74" s="2">
        <v>46121</v>
      </c>
      <c r="M74" s="2">
        <v>46121</v>
      </c>
      <c r="N74">
        <v>118</v>
      </c>
      <c r="O74" s="38" t="s">
        <v>712</v>
      </c>
      <c r="P74" t="s">
        <v>639</v>
      </c>
      <c r="Q74" s="37">
        <v>1715.15</v>
      </c>
      <c r="R74" s="38" t="s">
        <v>640</v>
      </c>
    </row>
    <row r="75" spans="12:18">
      <c r="L75" s="2">
        <v>46121</v>
      </c>
      <c r="M75" s="2">
        <v>46121</v>
      </c>
      <c r="N75">
        <v>118</v>
      </c>
      <c r="O75" s="38" t="s">
        <v>713</v>
      </c>
      <c r="P75" t="s">
        <v>639</v>
      </c>
      <c r="Q75" s="37">
        <v>1864.06</v>
      </c>
      <c r="R75" s="38" t="s">
        <v>640</v>
      </c>
    </row>
    <row r="76" spans="12:18">
      <c r="L76" s="2">
        <v>46121</v>
      </c>
      <c r="M76" s="2">
        <v>46121</v>
      </c>
      <c r="N76">
        <v>118</v>
      </c>
      <c r="O76" s="38" t="s">
        <v>714</v>
      </c>
      <c r="P76" t="s">
        <v>639</v>
      </c>
      <c r="Q76" s="37">
        <v>2024.05</v>
      </c>
      <c r="R76" s="38" t="s">
        <v>640</v>
      </c>
    </row>
  </sheetData>
  <autoFilter ref="L1:R76" xr:uid="{4C5134BE-8E46-438B-A974-CAE1A028707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FC52-209A-4D0C-951C-2F85BD4F4631}">
  <dimension ref="A1:Z58"/>
  <sheetViews>
    <sheetView zoomScale="55" zoomScaleNormal="55" workbookViewId="0">
      <selection activeCell="F42" sqref="F42"/>
    </sheetView>
  </sheetViews>
  <sheetFormatPr baseColWidth="10" defaultColWidth="27.88671875" defaultRowHeight="14.4"/>
  <cols>
    <col min="2" max="2" width="24" bestFit="1" customWidth="1"/>
    <col min="3" max="3" width="35.6640625" bestFit="1" customWidth="1"/>
    <col min="14" max="14" width="27.88671875" style="14"/>
  </cols>
  <sheetData>
    <row r="1" spans="1:26">
      <c r="A1" t="s">
        <v>473</v>
      </c>
      <c r="B1" t="s">
        <v>474</v>
      </c>
      <c r="C1" t="s">
        <v>475</v>
      </c>
      <c r="D1" t="s">
        <v>41</v>
      </c>
      <c r="E1" t="s">
        <v>476</v>
      </c>
      <c r="F1" t="s">
        <v>477</v>
      </c>
      <c r="G1" t="s">
        <v>478</v>
      </c>
      <c r="H1" t="s">
        <v>479</v>
      </c>
      <c r="I1" t="s">
        <v>480</v>
      </c>
      <c r="J1" t="s">
        <v>481</v>
      </c>
      <c r="K1" t="s">
        <v>482</v>
      </c>
      <c r="L1" t="s">
        <v>483</v>
      </c>
      <c r="M1" t="s">
        <v>484</v>
      </c>
      <c r="N1" s="13" t="s">
        <v>485</v>
      </c>
      <c r="O1" t="s">
        <v>486</v>
      </c>
      <c r="P1" t="s">
        <v>487</v>
      </c>
      <c r="Q1" t="s">
        <v>488</v>
      </c>
      <c r="R1" t="s">
        <v>489</v>
      </c>
      <c r="S1" t="s">
        <v>490</v>
      </c>
      <c r="T1" t="s">
        <v>491</v>
      </c>
      <c r="U1" t="s">
        <v>492</v>
      </c>
      <c r="V1" t="s">
        <v>493</v>
      </c>
      <c r="W1" t="s">
        <v>494</v>
      </c>
      <c r="X1" t="s">
        <v>495</v>
      </c>
      <c r="Y1" t="s">
        <v>496</v>
      </c>
      <c r="Z1" t="s">
        <v>30</v>
      </c>
    </row>
    <row r="2" spans="1:26">
      <c r="A2" t="s">
        <v>497</v>
      </c>
      <c r="B2" t="s">
        <v>70</v>
      </c>
      <c r="C2" t="s">
        <v>498</v>
      </c>
      <c r="D2" t="s">
        <v>499</v>
      </c>
      <c r="E2" t="s">
        <v>500</v>
      </c>
      <c r="F2" t="s">
        <v>1480</v>
      </c>
      <c r="G2" t="s">
        <v>1480</v>
      </c>
      <c r="H2" t="s">
        <v>8</v>
      </c>
      <c r="I2" t="s">
        <v>1481</v>
      </c>
      <c r="J2" t="s">
        <v>503</v>
      </c>
      <c r="K2" t="s">
        <v>1482</v>
      </c>
      <c r="L2" t="s">
        <v>1483</v>
      </c>
      <c r="M2" t="s">
        <v>506</v>
      </c>
      <c r="N2" s="2">
        <v>46142</v>
      </c>
      <c r="O2" t="s">
        <v>1484</v>
      </c>
      <c r="P2" t="s">
        <v>1485</v>
      </c>
      <c r="Q2">
        <v>0</v>
      </c>
      <c r="R2" t="s">
        <v>510</v>
      </c>
      <c r="S2" t="s">
        <v>1486</v>
      </c>
      <c r="T2" t="s">
        <v>512</v>
      </c>
      <c r="U2">
        <v>2.2000000000000002</v>
      </c>
      <c r="V2">
        <v>159</v>
      </c>
      <c r="W2">
        <v>3.5</v>
      </c>
      <c r="X2">
        <v>0.63</v>
      </c>
      <c r="Y2">
        <v>154.87</v>
      </c>
      <c r="Z2" t="s">
        <v>527</v>
      </c>
    </row>
    <row r="3" spans="1:26">
      <c r="A3" t="s">
        <v>497</v>
      </c>
      <c r="B3" t="s">
        <v>70</v>
      </c>
      <c r="C3" t="s">
        <v>498</v>
      </c>
      <c r="D3" t="s">
        <v>499</v>
      </c>
      <c r="E3" t="s">
        <v>500</v>
      </c>
      <c r="F3" t="s">
        <v>1463</v>
      </c>
      <c r="G3" t="s">
        <v>1463</v>
      </c>
      <c r="H3" t="s">
        <v>8</v>
      </c>
      <c r="I3" t="s">
        <v>1487</v>
      </c>
      <c r="J3" t="s">
        <v>503</v>
      </c>
      <c r="K3" t="s">
        <v>1488</v>
      </c>
      <c r="L3" t="s">
        <v>1489</v>
      </c>
      <c r="M3" t="s">
        <v>506</v>
      </c>
      <c r="N3" s="2">
        <v>46140</v>
      </c>
      <c r="O3" t="s">
        <v>1490</v>
      </c>
      <c r="P3" t="s">
        <v>1485</v>
      </c>
      <c r="Q3">
        <v>0</v>
      </c>
      <c r="R3" t="s">
        <v>1491</v>
      </c>
      <c r="S3" t="s">
        <v>1492</v>
      </c>
      <c r="T3" t="s">
        <v>512</v>
      </c>
      <c r="U3">
        <v>2.2000000000000002</v>
      </c>
      <c r="V3">
        <v>229</v>
      </c>
      <c r="W3">
        <v>5.04</v>
      </c>
      <c r="X3">
        <v>0.91</v>
      </c>
      <c r="Y3">
        <v>223.05</v>
      </c>
      <c r="Z3" t="s">
        <v>527</v>
      </c>
    </row>
    <row r="4" spans="1:26">
      <c r="A4" t="s">
        <v>497</v>
      </c>
      <c r="B4" t="s">
        <v>70</v>
      </c>
      <c r="C4" t="s">
        <v>498</v>
      </c>
      <c r="D4" t="s">
        <v>499</v>
      </c>
      <c r="E4" t="s">
        <v>500</v>
      </c>
      <c r="F4" t="s">
        <v>1465</v>
      </c>
      <c r="G4" t="s">
        <v>1465</v>
      </c>
      <c r="H4" t="s">
        <v>8</v>
      </c>
      <c r="I4" t="s">
        <v>1493</v>
      </c>
      <c r="J4" t="s">
        <v>503</v>
      </c>
      <c r="K4" t="s">
        <v>1494</v>
      </c>
      <c r="L4" t="s">
        <v>1460</v>
      </c>
      <c r="M4" t="s">
        <v>506</v>
      </c>
      <c r="N4" s="2">
        <v>46139</v>
      </c>
      <c r="O4" t="s">
        <v>1496</v>
      </c>
      <c r="P4" t="s">
        <v>509</v>
      </c>
      <c r="Q4">
        <v>3</v>
      </c>
      <c r="R4" t="s">
        <v>510</v>
      </c>
      <c r="S4" t="s">
        <v>1461</v>
      </c>
      <c r="T4" t="s">
        <v>512</v>
      </c>
      <c r="U4">
        <v>3.95</v>
      </c>
      <c r="V4">
        <v>899</v>
      </c>
      <c r="W4">
        <v>35.51</v>
      </c>
      <c r="X4">
        <v>6.39</v>
      </c>
      <c r="Y4">
        <v>857.1</v>
      </c>
      <c r="Z4" t="s">
        <v>513</v>
      </c>
    </row>
    <row r="5" spans="1:26">
      <c r="A5" t="s">
        <v>497</v>
      </c>
      <c r="B5" t="s">
        <v>70</v>
      </c>
      <c r="C5" t="s">
        <v>498</v>
      </c>
      <c r="D5" t="s">
        <v>499</v>
      </c>
      <c r="E5" t="s">
        <v>500</v>
      </c>
      <c r="F5" t="s">
        <v>1465</v>
      </c>
      <c r="G5" t="s">
        <v>1465</v>
      </c>
      <c r="H5" t="s">
        <v>8</v>
      </c>
      <c r="I5" t="s">
        <v>1497</v>
      </c>
      <c r="J5" t="s">
        <v>503</v>
      </c>
      <c r="K5" t="s">
        <v>1498</v>
      </c>
      <c r="L5" t="s">
        <v>1460</v>
      </c>
      <c r="M5" t="s">
        <v>506</v>
      </c>
      <c r="N5" s="2">
        <v>46139</v>
      </c>
      <c r="O5" t="s">
        <v>1499</v>
      </c>
      <c r="P5" t="s">
        <v>509</v>
      </c>
      <c r="Q5">
        <v>2</v>
      </c>
      <c r="R5" t="s">
        <v>510</v>
      </c>
      <c r="S5" t="s">
        <v>1461</v>
      </c>
      <c r="T5" t="s">
        <v>512</v>
      </c>
      <c r="U5">
        <v>3.95</v>
      </c>
      <c r="V5">
        <v>139</v>
      </c>
      <c r="W5">
        <v>5.49</v>
      </c>
      <c r="X5">
        <v>0.99</v>
      </c>
      <c r="Y5">
        <v>132.52000000000001</v>
      </c>
      <c r="Z5" t="s">
        <v>513</v>
      </c>
    </row>
    <row r="6" spans="1:26">
      <c r="A6" t="s">
        <v>497</v>
      </c>
      <c r="B6" t="s">
        <v>70</v>
      </c>
      <c r="C6" t="s">
        <v>498</v>
      </c>
      <c r="D6" t="s">
        <v>499</v>
      </c>
      <c r="E6" t="s">
        <v>500</v>
      </c>
      <c r="F6" t="s">
        <v>1495</v>
      </c>
      <c r="G6" t="s">
        <v>1495</v>
      </c>
      <c r="H6" t="s">
        <v>8</v>
      </c>
      <c r="I6" t="s">
        <v>1500</v>
      </c>
      <c r="J6" t="s">
        <v>503</v>
      </c>
      <c r="K6" t="s">
        <v>1501</v>
      </c>
      <c r="L6" t="s">
        <v>1462</v>
      </c>
      <c r="M6" t="s">
        <v>506</v>
      </c>
      <c r="N6" s="2">
        <v>46138</v>
      </c>
      <c r="O6" t="s">
        <v>1503</v>
      </c>
      <c r="P6" t="s">
        <v>509</v>
      </c>
      <c r="Q6">
        <v>3</v>
      </c>
      <c r="R6" t="s">
        <v>510</v>
      </c>
      <c r="S6" t="s">
        <v>1463</v>
      </c>
      <c r="T6" t="s">
        <v>512</v>
      </c>
      <c r="U6">
        <v>3.95</v>
      </c>
      <c r="V6">
        <v>299</v>
      </c>
      <c r="W6">
        <v>11.81</v>
      </c>
      <c r="X6">
        <v>2.13</v>
      </c>
      <c r="Y6">
        <v>285.06</v>
      </c>
      <c r="Z6" t="s">
        <v>513</v>
      </c>
    </row>
    <row r="7" spans="1:26">
      <c r="A7" t="s">
        <v>497</v>
      </c>
      <c r="B7" t="s">
        <v>70</v>
      </c>
      <c r="C7" t="s">
        <v>498</v>
      </c>
      <c r="D7" t="s">
        <v>499</v>
      </c>
      <c r="E7" t="s">
        <v>500</v>
      </c>
      <c r="F7" t="s">
        <v>1502</v>
      </c>
      <c r="G7" t="s">
        <v>1502</v>
      </c>
      <c r="H7" t="s">
        <v>8</v>
      </c>
      <c r="I7" t="s">
        <v>1504</v>
      </c>
      <c r="J7" t="s">
        <v>503</v>
      </c>
      <c r="K7" t="s">
        <v>1505</v>
      </c>
      <c r="L7" t="s">
        <v>1464</v>
      </c>
      <c r="M7" t="s">
        <v>506</v>
      </c>
      <c r="N7" s="2">
        <v>46137</v>
      </c>
      <c r="O7" t="s">
        <v>1506</v>
      </c>
      <c r="P7" t="s">
        <v>509</v>
      </c>
      <c r="Q7">
        <v>3</v>
      </c>
      <c r="R7" t="s">
        <v>510</v>
      </c>
      <c r="S7" t="s">
        <v>1465</v>
      </c>
      <c r="T7" t="s">
        <v>512</v>
      </c>
      <c r="U7">
        <v>3.95</v>
      </c>
      <c r="V7">
        <v>259</v>
      </c>
      <c r="W7">
        <v>10.23</v>
      </c>
      <c r="X7">
        <v>1.84</v>
      </c>
      <c r="Y7">
        <v>246.93</v>
      </c>
      <c r="Z7" t="s">
        <v>513</v>
      </c>
    </row>
    <row r="8" spans="1:26">
      <c r="A8" t="s">
        <v>497</v>
      </c>
      <c r="B8" t="s">
        <v>70</v>
      </c>
      <c r="C8" t="s">
        <v>498</v>
      </c>
      <c r="D8" t="s">
        <v>499</v>
      </c>
      <c r="E8" t="s">
        <v>500</v>
      </c>
      <c r="F8" t="s">
        <v>1502</v>
      </c>
      <c r="G8" t="s">
        <v>1502</v>
      </c>
      <c r="H8" t="s">
        <v>8</v>
      </c>
      <c r="I8" t="s">
        <v>1507</v>
      </c>
      <c r="J8" t="s">
        <v>503</v>
      </c>
      <c r="K8" t="s">
        <v>1508</v>
      </c>
      <c r="L8" t="s">
        <v>1464</v>
      </c>
      <c r="M8" t="s">
        <v>506</v>
      </c>
      <c r="N8" s="2">
        <v>46137</v>
      </c>
      <c r="O8" t="s">
        <v>1509</v>
      </c>
      <c r="P8" t="s">
        <v>509</v>
      </c>
      <c r="Q8">
        <v>0</v>
      </c>
      <c r="R8" t="s">
        <v>510</v>
      </c>
      <c r="S8" t="s">
        <v>1465</v>
      </c>
      <c r="T8" t="s">
        <v>512</v>
      </c>
      <c r="U8">
        <v>2.2000000000000002</v>
      </c>
      <c r="V8">
        <v>35</v>
      </c>
      <c r="W8">
        <v>0.77</v>
      </c>
      <c r="X8">
        <v>0.14000000000000001</v>
      </c>
      <c r="Y8">
        <v>34.090000000000003</v>
      </c>
      <c r="Z8" t="s">
        <v>527</v>
      </c>
    </row>
    <row r="9" spans="1:26">
      <c r="A9" t="s">
        <v>497</v>
      </c>
      <c r="B9" t="s">
        <v>70</v>
      </c>
      <c r="C9" t="s">
        <v>498</v>
      </c>
      <c r="D9" t="s">
        <v>499</v>
      </c>
      <c r="E9" t="s">
        <v>500</v>
      </c>
      <c r="F9" t="s">
        <v>1502</v>
      </c>
      <c r="G9" t="s">
        <v>1502</v>
      </c>
      <c r="H9" t="s">
        <v>8</v>
      </c>
      <c r="I9" t="s">
        <v>1510</v>
      </c>
      <c r="J9" t="s">
        <v>503</v>
      </c>
      <c r="K9" t="s">
        <v>1511</v>
      </c>
      <c r="L9" t="s">
        <v>1464</v>
      </c>
      <c r="M9" t="s">
        <v>506</v>
      </c>
      <c r="N9" s="2">
        <v>46137</v>
      </c>
      <c r="O9" t="s">
        <v>1512</v>
      </c>
      <c r="P9" t="s">
        <v>509</v>
      </c>
      <c r="Q9">
        <v>3</v>
      </c>
      <c r="R9" t="s">
        <v>510</v>
      </c>
      <c r="S9" t="s">
        <v>1465</v>
      </c>
      <c r="T9" t="s">
        <v>512</v>
      </c>
      <c r="U9">
        <v>3.95</v>
      </c>
      <c r="V9">
        <v>229</v>
      </c>
      <c r="W9">
        <v>9.0500000000000007</v>
      </c>
      <c r="X9">
        <v>1.63</v>
      </c>
      <c r="Y9">
        <v>218.32</v>
      </c>
      <c r="Z9" t="s">
        <v>513</v>
      </c>
    </row>
    <row r="10" spans="1:26">
      <c r="A10" t="s">
        <v>497</v>
      </c>
      <c r="B10" t="s">
        <v>70</v>
      </c>
      <c r="C10" t="s">
        <v>498</v>
      </c>
      <c r="D10" t="s">
        <v>499</v>
      </c>
      <c r="E10" t="s">
        <v>500</v>
      </c>
      <c r="F10" t="s">
        <v>1502</v>
      </c>
      <c r="G10" t="s">
        <v>1502</v>
      </c>
      <c r="H10" t="s">
        <v>8</v>
      </c>
      <c r="I10" t="s">
        <v>1513</v>
      </c>
      <c r="J10" t="s">
        <v>503</v>
      </c>
      <c r="K10" t="s">
        <v>1514</v>
      </c>
      <c r="L10" t="s">
        <v>1464</v>
      </c>
      <c r="M10" t="s">
        <v>506</v>
      </c>
      <c r="N10" s="2">
        <v>46137</v>
      </c>
      <c r="O10" t="s">
        <v>1515</v>
      </c>
      <c r="P10" t="s">
        <v>509</v>
      </c>
      <c r="Q10">
        <v>3</v>
      </c>
      <c r="R10" t="s">
        <v>510</v>
      </c>
      <c r="S10" t="s">
        <v>1465</v>
      </c>
      <c r="T10" t="s">
        <v>512</v>
      </c>
      <c r="U10">
        <v>3.95</v>
      </c>
      <c r="V10">
        <v>1699</v>
      </c>
      <c r="W10">
        <v>67.11</v>
      </c>
      <c r="X10">
        <v>12.08</v>
      </c>
      <c r="Y10">
        <v>1619.81</v>
      </c>
      <c r="Z10" t="s">
        <v>513</v>
      </c>
    </row>
    <row r="11" spans="1:26">
      <c r="A11" t="s">
        <v>497</v>
      </c>
      <c r="B11" t="s">
        <v>70</v>
      </c>
      <c r="C11" t="s">
        <v>498</v>
      </c>
      <c r="D11" t="s">
        <v>1516</v>
      </c>
      <c r="E11" t="s">
        <v>500</v>
      </c>
      <c r="F11" t="s">
        <v>1471</v>
      </c>
      <c r="G11" t="s">
        <v>1471</v>
      </c>
      <c r="H11" t="s">
        <v>8</v>
      </c>
      <c r="I11" t="s">
        <v>1517</v>
      </c>
      <c r="J11" t="s">
        <v>503</v>
      </c>
      <c r="K11" t="s">
        <v>1518</v>
      </c>
      <c r="L11" t="s">
        <v>1466</v>
      </c>
      <c r="M11" t="s">
        <v>506</v>
      </c>
      <c r="N11" s="2">
        <v>46133</v>
      </c>
      <c r="O11" t="s">
        <v>1519</v>
      </c>
      <c r="P11" t="s">
        <v>509</v>
      </c>
      <c r="Q11">
        <v>2</v>
      </c>
      <c r="R11" t="s">
        <v>510</v>
      </c>
      <c r="S11" t="s">
        <v>1467</v>
      </c>
      <c r="T11" t="s">
        <v>512</v>
      </c>
      <c r="U11">
        <v>3.95</v>
      </c>
      <c r="V11">
        <v>1399</v>
      </c>
      <c r="W11">
        <v>55.26</v>
      </c>
      <c r="X11">
        <v>9.9499999999999993</v>
      </c>
      <c r="Y11">
        <v>1333.79</v>
      </c>
      <c r="Z11" t="s">
        <v>513</v>
      </c>
    </row>
    <row r="12" spans="1:26">
      <c r="A12" t="s">
        <v>497</v>
      </c>
      <c r="B12" t="s">
        <v>70</v>
      </c>
      <c r="C12" t="s">
        <v>498</v>
      </c>
      <c r="D12" t="s">
        <v>499</v>
      </c>
      <c r="E12" t="s">
        <v>500</v>
      </c>
      <c r="F12" t="s">
        <v>1473</v>
      </c>
      <c r="G12" t="s">
        <v>1473</v>
      </c>
      <c r="H12" t="s">
        <v>8</v>
      </c>
      <c r="I12" t="s">
        <v>1520</v>
      </c>
      <c r="J12" t="s">
        <v>503</v>
      </c>
      <c r="K12" t="s">
        <v>1521</v>
      </c>
      <c r="L12" t="s">
        <v>1468</v>
      </c>
      <c r="M12" t="s">
        <v>506</v>
      </c>
      <c r="N12" s="2">
        <v>46132</v>
      </c>
      <c r="O12" t="s">
        <v>1522</v>
      </c>
      <c r="P12" t="s">
        <v>509</v>
      </c>
      <c r="Q12">
        <v>3</v>
      </c>
      <c r="R12" t="s">
        <v>510</v>
      </c>
      <c r="S12" t="s">
        <v>1469</v>
      </c>
      <c r="T12" t="s">
        <v>512</v>
      </c>
      <c r="U12">
        <v>3.95</v>
      </c>
      <c r="V12">
        <v>849</v>
      </c>
      <c r="W12">
        <v>33.54</v>
      </c>
      <c r="X12">
        <v>6.04</v>
      </c>
      <c r="Y12">
        <v>809.42</v>
      </c>
      <c r="Z12" t="s">
        <v>513</v>
      </c>
    </row>
    <row r="13" spans="1:26">
      <c r="A13" t="s">
        <v>497</v>
      </c>
      <c r="B13" t="s">
        <v>70</v>
      </c>
      <c r="C13" t="s">
        <v>498</v>
      </c>
      <c r="D13" t="s">
        <v>499</v>
      </c>
      <c r="E13" t="s">
        <v>500</v>
      </c>
      <c r="F13" t="s">
        <v>1475</v>
      </c>
      <c r="G13" t="s">
        <v>1475</v>
      </c>
      <c r="H13" t="s">
        <v>8</v>
      </c>
      <c r="I13" t="s">
        <v>1523</v>
      </c>
      <c r="J13" t="s">
        <v>503</v>
      </c>
      <c r="K13" t="s">
        <v>1524</v>
      </c>
      <c r="L13" t="s">
        <v>1470</v>
      </c>
      <c r="M13" t="s">
        <v>506</v>
      </c>
      <c r="N13" s="2">
        <v>46131</v>
      </c>
      <c r="O13" t="s">
        <v>1526</v>
      </c>
      <c r="P13" t="s">
        <v>509</v>
      </c>
      <c r="Q13">
        <v>3</v>
      </c>
      <c r="R13" t="s">
        <v>510</v>
      </c>
      <c r="S13" t="s">
        <v>1471</v>
      </c>
      <c r="T13" t="s">
        <v>512</v>
      </c>
      <c r="U13">
        <v>3.95</v>
      </c>
      <c r="V13">
        <v>89</v>
      </c>
      <c r="W13">
        <v>3.52</v>
      </c>
      <c r="X13">
        <v>0.63</v>
      </c>
      <c r="Y13">
        <v>84.85</v>
      </c>
      <c r="Z13" t="s">
        <v>513</v>
      </c>
    </row>
    <row r="14" spans="1:26">
      <c r="A14" t="s">
        <v>497</v>
      </c>
      <c r="B14" t="s">
        <v>70</v>
      </c>
      <c r="C14" t="s">
        <v>498</v>
      </c>
      <c r="D14" t="s">
        <v>499</v>
      </c>
      <c r="E14" t="s">
        <v>500</v>
      </c>
      <c r="F14" t="s">
        <v>1475</v>
      </c>
      <c r="G14" t="s">
        <v>1475</v>
      </c>
      <c r="H14" t="s">
        <v>8</v>
      </c>
      <c r="I14" t="s">
        <v>1527</v>
      </c>
      <c r="J14" t="s">
        <v>503</v>
      </c>
      <c r="K14" t="s">
        <v>1528</v>
      </c>
      <c r="L14" t="s">
        <v>1470</v>
      </c>
      <c r="M14" t="s">
        <v>506</v>
      </c>
      <c r="N14" s="2">
        <v>46131</v>
      </c>
      <c r="O14" t="s">
        <v>1529</v>
      </c>
      <c r="P14" t="s">
        <v>509</v>
      </c>
      <c r="Q14">
        <v>3</v>
      </c>
      <c r="R14" t="s">
        <v>510</v>
      </c>
      <c r="S14" t="s">
        <v>1471</v>
      </c>
      <c r="T14" t="s">
        <v>512</v>
      </c>
      <c r="U14">
        <v>3.95</v>
      </c>
      <c r="V14">
        <v>89</v>
      </c>
      <c r="W14">
        <v>3.52</v>
      </c>
      <c r="X14">
        <v>0.63</v>
      </c>
      <c r="Y14">
        <v>84.85</v>
      </c>
      <c r="Z14" t="s">
        <v>513</v>
      </c>
    </row>
    <row r="15" spans="1:26">
      <c r="A15" t="s">
        <v>497</v>
      </c>
      <c r="B15" t="s">
        <v>70</v>
      </c>
      <c r="C15" t="s">
        <v>498</v>
      </c>
      <c r="D15" t="s">
        <v>499</v>
      </c>
      <c r="E15" t="s">
        <v>500</v>
      </c>
      <c r="F15" t="s">
        <v>1525</v>
      </c>
      <c r="G15" t="s">
        <v>1525</v>
      </c>
      <c r="H15" t="s">
        <v>8</v>
      </c>
      <c r="I15" t="s">
        <v>1530</v>
      </c>
      <c r="J15" t="s">
        <v>503</v>
      </c>
      <c r="K15" t="s">
        <v>1531</v>
      </c>
      <c r="L15" t="s">
        <v>1472</v>
      </c>
      <c r="M15" t="s">
        <v>506</v>
      </c>
      <c r="N15" s="2">
        <v>46130</v>
      </c>
      <c r="O15" t="s">
        <v>1532</v>
      </c>
      <c r="P15" t="s">
        <v>509</v>
      </c>
      <c r="Q15">
        <v>3</v>
      </c>
      <c r="R15" t="s">
        <v>510</v>
      </c>
      <c r="S15" t="s">
        <v>1473</v>
      </c>
      <c r="T15" t="s">
        <v>512</v>
      </c>
      <c r="U15">
        <v>3.95</v>
      </c>
      <c r="V15">
        <v>108.9</v>
      </c>
      <c r="W15">
        <v>4.3</v>
      </c>
      <c r="X15">
        <v>0.77</v>
      </c>
      <c r="Y15">
        <v>103.83</v>
      </c>
      <c r="Z15" t="s">
        <v>513</v>
      </c>
    </row>
    <row r="16" spans="1:26">
      <c r="A16" t="s">
        <v>497</v>
      </c>
      <c r="B16" t="s">
        <v>70</v>
      </c>
      <c r="C16" t="s">
        <v>498</v>
      </c>
      <c r="D16" t="s">
        <v>499</v>
      </c>
      <c r="E16" t="s">
        <v>500</v>
      </c>
      <c r="F16" t="s">
        <v>1533</v>
      </c>
      <c r="G16" t="s">
        <v>1533</v>
      </c>
      <c r="H16" t="s">
        <v>8</v>
      </c>
      <c r="I16" t="s">
        <v>1534</v>
      </c>
      <c r="J16" t="s">
        <v>503</v>
      </c>
      <c r="K16" t="s">
        <v>1535</v>
      </c>
      <c r="L16" t="s">
        <v>1474</v>
      </c>
      <c r="M16" t="s">
        <v>506</v>
      </c>
      <c r="N16" s="2">
        <v>46128</v>
      </c>
      <c r="O16" t="s">
        <v>1536</v>
      </c>
      <c r="P16" t="s">
        <v>509</v>
      </c>
      <c r="Q16">
        <v>3</v>
      </c>
      <c r="R16" t="s">
        <v>510</v>
      </c>
      <c r="S16" t="s">
        <v>1475</v>
      </c>
      <c r="T16" t="s">
        <v>512</v>
      </c>
      <c r="U16">
        <v>3.95</v>
      </c>
      <c r="V16">
        <v>1299</v>
      </c>
      <c r="W16">
        <v>51.31</v>
      </c>
      <c r="X16">
        <v>9.24</v>
      </c>
      <c r="Y16">
        <v>1238.45</v>
      </c>
      <c r="Z16" t="s">
        <v>513</v>
      </c>
    </row>
    <row r="17" spans="1:26">
      <c r="A17" t="s">
        <v>497</v>
      </c>
      <c r="B17" t="s">
        <v>70</v>
      </c>
      <c r="C17" t="s">
        <v>498</v>
      </c>
      <c r="D17" t="s">
        <v>499</v>
      </c>
      <c r="E17" t="s">
        <v>500</v>
      </c>
      <c r="F17" t="s">
        <v>1537</v>
      </c>
      <c r="G17" t="s">
        <v>1537</v>
      </c>
      <c r="H17" t="s">
        <v>8</v>
      </c>
      <c r="I17" t="s">
        <v>1538</v>
      </c>
      <c r="J17" t="s">
        <v>503</v>
      </c>
      <c r="K17" t="s">
        <v>1539</v>
      </c>
      <c r="L17" t="s">
        <v>1476</v>
      </c>
      <c r="M17" t="s">
        <v>506</v>
      </c>
      <c r="N17" s="2">
        <v>46125</v>
      </c>
      <c r="O17" t="s">
        <v>1540</v>
      </c>
      <c r="P17" t="s">
        <v>509</v>
      </c>
      <c r="Q17">
        <v>3</v>
      </c>
      <c r="R17" t="s">
        <v>510</v>
      </c>
      <c r="S17" t="s">
        <v>1477</v>
      </c>
      <c r="T17" t="s">
        <v>512</v>
      </c>
      <c r="U17">
        <v>3.95</v>
      </c>
      <c r="V17">
        <v>1008</v>
      </c>
      <c r="W17">
        <v>39.82</v>
      </c>
      <c r="X17">
        <v>7.17</v>
      </c>
      <c r="Y17">
        <v>961.01</v>
      </c>
      <c r="Z17" t="s">
        <v>513</v>
      </c>
    </row>
    <row r="18" spans="1:26">
      <c r="A18" t="s">
        <v>497</v>
      </c>
      <c r="B18" t="s">
        <v>70</v>
      </c>
      <c r="C18" t="s">
        <v>498</v>
      </c>
      <c r="D18" t="s">
        <v>499</v>
      </c>
      <c r="E18" t="s">
        <v>500</v>
      </c>
      <c r="F18" t="s">
        <v>1541</v>
      </c>
      <c r="G18" t="s">
        <v>1541</v>
      </c>
      <c r="H18" t="s">
        <v>8</v>
      </c>
      <c r="I18" t="s">
        <v>1542</v>
      </c>
      <c r="J18" t="s">
        <v>503</v>
      </c>
      <c r="K18" t="s">
        <v>1543</v>
      </c>
      <c r="L18" t="s">
        <v>1478</v>
      </c>
      <c r="M18" t="s">
        <v>506</v>
      </c>
      <c r="N18" s="2">
        <v>46122</v>
      </c>
      <c r="O18" t="s">
        <v>1544</v>
      </c>
      <c r="P18" t="s">
        <v>509</v>
      </c>
      <c r="Q18">
        <v>0</v>
      </c>
      <c r="R18" t="s">
        <v>510</v>
      </c>
      <c r="S18" t="s">
        <v>1479</v>
      </c>
      <c r="T18" t="s">
        <v>512</v>
      </c>
      <c r="U18">
        <v>2.2000000000000002</v>
      </c>
      <c r="V18">
        <v>53</v>
      </c>
      <c r="W18">
        <v>1.17</v>
      </c>
      <c r="X18">
        <v>0.21</v>
      </c>
      <c r="Y18">
        <v>51.62</v>
      </c>
      <c r="Z18" t="s">
        <v>527</v>
      </c>
    </row>
    <row r="19" spans="1:26">
      <c r="A19" t="s">
        <v>497</v>
      </c>
      <c r="B19" t="s">
        <v>70</v>
      </c>
      <c r="C19" t="s">
        <v>498</v>
      </c>
      <c r="D19" t="s">
        <v>499</v>
      </c>
      <c r="E19" t="s">
        <v>500</v>
      </c>
      <c r="F19" t="s">
        <v>501</v>
      </c>
      <c r="G19" t="s">
        <v>501</v>
      </c>
      <c r="H19" t="s">
        <v>8</v>
      </c>
      <c r="I19" t="s">
        <v>502</v>
      </c>
      <c r="J19" t="s">
        <v>503</v>
      </c>
      <c r="K19" t="s">
        <v>504</v>
      </c>
      <c r="L19" t="s">
        <v>505</v>
      </c>
      <c r="M19" t="s">
        <v>506</v>
      </c>
      <c r="N19" s="2">
        <v>46118</v>
      </c>
      <c r="O19" t="s">
        <v>508</v>
      </c>
      <c r="P19" t="s">
        <v>509</v>
      </c>
      <c r="Q19">
        <v>3</v>
      </c>
      <c r="R19" t="s">
        <v>510</v>
      </c>
      <c r="S19" t="s">
        <v>511</v>
      </c>
      <c r="T19" t="s">
        <v>512</v>
      </c>
      <c r="U19">
        <v>3.95</v>
      </c>
      <c r="V19">
        <v>1799</v>
      </c>
      <c r="W19">
        <v>71.06</v>
      </c>
      <c r="X19">
        <v>12.79</v>
      </c>
      <c r="Y19">
        <v>1715.15</v>
      </c>
      <c r="Z19" t="s">
        <v>513</v>
      </c>
    </row>
    <row r="20" spans="1:26">
      <c r="A20" t="s">
        <v>497</v>
      </c>
      <c r="B20" t="s">
        <v>70</v>
      </c>
      <c r="C20" t="s">
        <v>498</v>
      </c>
      <c r="D20" t="s">
        <v>499</v>
      </c>
      <c r="E20" t="s">
        <v>500</v>
      </c>
      <c r="F20" t="s">
        <v>507</v>
      </c>
      <c r="G20" t="s">
        <v>507</v>
      </c>
      <c r="H20" t="s">
        <v>8</v>
      </c>
      <c r="I20" t="s">
        <v>514</v>
      </c>
      <c r="J20" t="s">
        <v>503</v>
      </c>
      <c r="K20" t="s">
        <v>515</v>
      </c>
      <c r="L20" t="s">
        <v>516</v>
      </c>
      <c r="M20" t="s">
        <v>506</v>
      </c>
      <c r="N20" s="2">
        <v>46117</v>
      </c>
      <c r="O20" t="s">
        <v>517</v>
      </c>
      <c r="P20" t="s">
        <v>509</v>
      </c>
      <c r="Q20">
        <v>3</v>
      </c>
      <c r="R20" t="s">
        <v>510</v>
      </c>
      <c r="S20" t="s">
        <v>518</v>
      </c>
      <c r="T20" t="s">
        <v>512</v>
      </c>
      <c r="U20">
        <v>3.95</v>
      </c>
      <c r="V20">
        <v>1008</v>
      </c>
      <c r="W20">
        <v>39.82</v>
      </c>
      <c r="X20">
        <v>7.17</v>
      </c>
      <c r="Y20">
        <v>961.01</v>
      </c>
      <c r="Z20" t="s">
        <v>513</v>
      </c>
    </row>
    <row r="21" spans="1:26">
      <c r="A21" t="s">
        <v>497</v>
      </c>
      <c r="B21" t="s">
        <v>70</v>
      </c>
      <c r="C21" t="s">
        <v>498</v>
      </c>
      <c r="D21" t="s">
        <v>499</v>
      </c>
      <c r="E21" t="s">
        <v>500</v>
      </c>
      <c r="F21" t="s">
        <v>519</v>
      </c>
      <c r="G21" t="s">
        <v>519</v>
      </c>
      <c r="H21" t="s">
        <v>8</v>
      </c>
      <c r="I21" t="s">
        <v>520</v>
      </c>
      <c r="J21" t="s">
        <v>503</v>
      </c>
      <c r="K21" t="s">
        <v>521</v>
      </c>
      <c r="L21" t="s">
        <v>522</v>
      </c>
      <c r="M21" t="s">
        <v>506</v>
      </c>
      <c r="N21" s="2">
        <v>46115</v>
      </c>
      <c r="O21" t="s">
        <v>523</v>
      </c>
      <c r="P21" t="s">
        <v>509</v>
      </c>
      <c r="Q21">
        <v>3</v>
      </c>
      <c r="R21" t="s">
        <v>510</v>
      </c>
      <c r="S21" t="s">
        <v>507</v>
      </c>
      <c r="T21" t="s">
        <v>512</v>
      </c>
      <c r="U21">
        <v>3.95</v>
      </c>
      <c r="V21">
        <v>209</v>
      </c>
      <c r="W21">
        <v>8.26</v>
      </c>
      <c r="X21">
        <v>1.49</v>
      </c>
      <c r="Y21">
        <v>199.25</v>
      </c>
      <c r="Z21" t="s">
        <v>513</v>
      </c>
    </row>
    <row r="22" spans="1:26">
      <c r="A22" t="s">
        <v>497</v>
      </c>
      <c r="B22" t="s">
        <v>70</v>
      </c>
      <c r="C22" t="s">
        <v>498</v>
      </c>
      <c r="D22" t="s">
        <v>499</v>
      </c>
      <c r="E22" t="s">
        <v>500</v>
      </c>
      <c r="F22" t="s">
        <v>519</v>
      </c>
      <c r="G22" t="s">
        <v>519</v>
      </c>
      <c r="H22" t="s">
        <v>8</v>
      </c>
      <c r="I22" t="s">
        <v>524</v>
      </c>
      <c r="J22" t="s">
        <v>503</v>
      </c>
      <c r="K22" t="s">
        <v>525</v>
      </c>
      <c r="L22" t="s">
        <v>522</v>
      </c>
      <c r="M22" t="s">
        <v>506</v>
      </c>
      <c r="N22" s="2">
        <v>46115</v>
      </c>
      <c r="O22" t="s">
        <v>526</v>
      </c>
      <c r="P22" t="s">
        <v>509</v>
      </c>
      <c r="Q22">
        <v>0</v>
      </c>
      <c r="R22" t="s">
        <v>510</v>
      </c>
      <c r="S22" t="s">
        <v>507</v>
      </c>
      <c r="T22" t="s">
        <v>512</v>
      </c>
      <c r="U22">
        <v>2.2000000000000002</v>
      </c>
      <c r="V22">
        <v>199</v>
      </c>
      <c r="W22">
        <v>4.38</v>
      </c>
      <c r="X22">
        <v>0.79</v>
      </c>
      <c r="Y22">
        <v>193.83</v>
      </c>
      <c r="Z22" t="s">
        <v>527</v>
      </c>
    </row>
    <row r="23" spans="1:26">
      <c r="A23" t="s">
        <v>497</v>
      </c>
      <c r="B23" t="s">
        <v>70</v>
      </c>
      <c r="C23" t="s">
        <v>498</v>
      </c>
      <c r="D23" t="s">
        <v>499</v>
      </c>
      <c r="E23" t="s">
        <v>500</v>
      </c>
      <c r="F23" t="s">
        <v>528</v>
      </c>
      <c r="G23" t="s">
        <v>528</v>
      </c>
      <c r="H23" t="s">
        <v>8</v>
      </c>
      <c r="I23" t="s">
        <v>529</v>
      </c>
      <c r="J23" t="s">
        <v>503</v>
      </c>
      <c r="K23" t="s">
        <v>530</v>
      </c>
      <c r="L23" t="s">
        <v>531</v>
      </c>
      <c r="M23" t="s">
        <v>506</v>
      </c>
      <c r="N23" s="2">
        <v>46113</v>
      </c>
      <c r="O23" t="s">
        <v>532</v>
      </c>
      <c r="P23" t="s">
        <v>509</v>
      </c>
      <c r="Q23">
        <v>3</v>
      </c>
      <c r="R23" t="s">
        <v>510</v>
      </c>
      <c r="S23" t="s">
        <v>507</v>
      </c>
      <c r="T23" t="s">
        <v>512</v>
      </c>
      <c r="U23">
        <v>3.95</v>
      </c>
      <c r="V23">
        <v>1199</v>
      </c>
      <c r="W23">
        <v>47.36</v>
      </c>
      <c r="X23">
        <v>8.52</v>
      </c>
      <c r="Y23">
        <v>1143.1199999999999</v>
      </c>
      <c r="Z23" t="s">
        <v>513</v>
      </c>
    </row>
    <row r="24" spans="1:26">
      <c r="A24" t="s">
        <v>497</v>
      </c>
      <c r="B24" t="s">
        <v>70</v>
      </c>
      <c r="C24" t="s">
        <v>498</v>
      </c>
      <c r="D24" t="s">
        <v>499</v>
      </c>
      <c r="E24" t="s">
        <v>500</v>
      </c>
      <c r="F24" t="s">
        <v>528</v>
      </c>
      <c r="G24" t="s">
        <v>528</v>
      </c>
      <c r="H24" t="s">
        <v>8</v>
      </c>
      <c r="I24" t="s">
        <v>533</v>
      </c>
      <c r="J24" t="s">
        <v>503</v>
      </c>
      <c r="K24" t="s">
        <v>534</v>
      </c>
      <c r="L24" t="s">
        <v>531</v>
      </c>
      <c r="M24" t="s">
        <v>506</v>
      </c>
      <c r="N24" s="2">
        <v>46113</v>
      </c>
      <c r="O24" t="s">
        <v>535</v>
      </c>
      <c r="P24" t="s">
        <v>509</v>
      </c>
      <c r="Q24">
        <v>3</v>
      </c>
      <c r="R24" t="s">
        <v>510</v>
      </c>
      <c r="S24" t="s">
        <v>507</v>
      </c>
      <c r="T24" t="s">
        <v>512</v>
      </c>
      <c r="U24">
        <v>3.95</v>
      </c>
      <c r="V24">
        <v>54.9</v>
      </c>
      <c r="W24">
        <v>2.17</v>
      </c>
      <c r="X24">
        <v>0.39</v>
      </c>
      <c r="Y24">
        <v>52.34</v>
      </c>
      <c r="Z24" t="s">
        <v>513</v>
      </c>
    </row>
    <row r="41" spans="2:3">
      <c r="B41" s="4" t="s">
        <v>536</v>
      </c>
      <c r="C41" t="s">
        <v>540</v>
      </c>
    </row>
    <row r="42" spans="2:3">
      <c r="B42" s="5">
        <v>46142</v>
      </c>
      <c r="C42" s="40">
        <v>159</v>
      </c>
    </row>
    <row r="43" spans="2:3">
      <c r="B43" s="5">
        <v>46140</v>
      </c>
      <c r="C43" s="40">
        <v>229</v>
      </c>
    </row>
    <row r="44" spans="2:3">
      <c r="B44" s="5">
        <v>46139</v>
      </c>
      <c r="C44" s="40">
        <v>1038</v>
      </c>
    </row>
    <row r="45" spans="2:3">
      <c r="B45" s="5">
        <v>46138</v>
      </c>
      <c r="C45" s="40">
        <v>299</v>
      </c>
    </row>
    <row r="46" spans="2:3">
      <c r="B46" s="5">
        <v>46137</v>
      </c>
      <c r="C46" s="40">
        <v>2222</v>
      </c>
    </row>
    <row r="47" spans="2:3">
      <c r="B47" s="5">
        <v>46133</v>
      </c>
      <c r="C47" s="40">
        <v>1399</v>
      </c>
    </row>
    <row r="48" spans="2:3">
      <c r="B48" s="5">
        <v>46132</v>
      </c>
      <c r="C48" s="40">
        <v>849</v>
      </c>
    </row>
    <row r="49" spans="2:3">
      <c r="B49" s="5">
        <v>46131</v>
      </c>
      <c r="C49" s="40">
        <v>178</v>
      </c>
    </row>
    <row r="50" spans="2:3">
      <c r="B50" s="5">
        <v>46130</v>
      </c>
      <c r="C50" s="40">
        <v>108.9</v>
      </c>
    </row>
    <row r="51" spans="2:3">
      <c r="B51" s="5">
        <v>46128</v>
      </c>
      <c r="C51" s="40">
        <v>1299</v>
      </c>
    </row>
    <row r="52" spans="2:3">
      <c r="B52" s="5">
        <v>46125</v>
      </c>
      <c r="C52" s="40">
        <v>1008</v>
      </c>
    </row>
    <row r="53" spans="2:3">
      <c r="B53" s="5">
        <v>46122</v>
      </c>
      <c r="C53" s="40">
        <v>53</v>
      </c>
    </row>
    <row r="54" spans="2:3">
      <c r="B54" s="5">
        <v>46118</v>
      </c>
      <c r="C54" s="40">
        <v>1799</v>
      </c>
    </row>
    <row r="55" spans="2:3">
      <c r="B55" s="5">
        <v>46117</v>
      </c>
      <c r="C55" s="40">
        <v>1008</v>
      </c>
    </row>
    <row r="56" spans="2:3">
      <c r="B56" s="5">
        <v>46115</v>
      </c>
      <c r="C56" s="40">
        <v>408</v>
      </c>
    </row>
    <row r="57" spans="2:3">
      <c r="B57" s="5">
        <v>46113</v>
      </c>
      <c r="C57" s="40">
        <v>1253.9000000000001</v>
      </c>
    </row>
    <row r="58" spans="2:3">
      <c r="B58" s="6" t="s">
        <v>538</v>
      </c>
      <c r="C58" s="40">
        <v>13310.8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CDB6-6CE3-44CD-9C13-72CA18EB9E69}">
  <dimension ref="A1:U7"/>
  <sheetViews>
    <sheetView topLeftCell="I1" workbookViewId="0">
      <selection activeCell="O13" sqref="O13"/>
    </sheetView>
  </sheetViews>
  <sheetFormatPr baseColWidth="10" defaultRowHeight="14.4"/>
  <cols>
    <col min="13" max="13" width="17.77734375" style="1" bestFit="1" customWidth="1"/>
    <col min="15" max="15" width="18.88671875" bestFit="1" customWidth="1"/>
    <col min="16" max="16" width="13.44140625" bestFit="1" customWidth="1"/>
    <col min="17" max="17" width="11.6640625" bestFit="1" customWidth="1"/>
  </cols>
  <sheetData>
    <row r="1" spans="1:21">
      <c r="A1" t="s">
        <v>585</v>
      </c>
      <c r="B1" t="s">
        <v>474</v>
      </c>
      <c r="C1" t="s">
        <v>475</v>
      </c>
      <c r="D1" t="s">
        <v>483</v>
      </c>
      <c r="E1" t="s">
        <v>586</v>
      </c>
      <c r="F1" t="s">
        <v>587</v>
      </c>
      <c r="G1" t="s">
        <v>588</v>
      </c>
      <c r="H1" t="s">
        <v>589</v>
      </c>
      <c r="I1" t="s">
        <v>590</v>
      </c>
      <c r="J1" t="s">
        <v>48</v>
      </c>
      <c r="K1" t="s">
        <v>547</v>
      </c>
      <c r="L1" t="s">
        <v>591</v>
      </c>
      <c r="M1" s="1" t="s">
        <v>496</v>
      </c>
      <c r="N1" t="s">
        <v>592</v>
      </c>
      <c r="O1" s="29" t="s">
        <v>593</v>
      </c>
      <c r="P1" t="s">
        <v>594</v>
      </c>
      <c r="Q1" s="29" t="s">
        <v>595</v>
      </c>
      <c r="R1" t="s">
        <v>596</v>
      </c>
      <c r="S1" t="s">
        <v>597</v>
      </c>
      <c r="T1" t="s">
        <v>598</v>
      </c>
      <c r="U1" t="s">
        <v>599</v>
      </c>
    </row>
    <row r="2" spans="1:21">
      <c r="A2" t="s">
        <v>497</v>
      </c>
      <c r="B2" t="s">
        <v>70</v>
      </c>
      <c r="C2" t="s">
        <v>498</v>
      </c>
      <c r="D2" t="s">
        <v>505</v>
      </c>
      <c r="E2" t="s">
        <v>506</v>
      </c>
      <c r="F2" t="s">
        <v>511</v>
      </c>
      <c r="G2" t="s">
        <v>511</v>
      </c>
      <c r="H2">
        <v>1799</v>
      </c>
      <c r="I2">
        <v>71.06</v>
      </c>
      <c r="J2">
        <v>12.79</v>
      </c>
      <c r="K2">
        <v>0</v>
      </c>
      <c r="L2">
        <v>0</v>
      </c>
      <c r="M2" s="1">
        <v>1715.15</v>
      </c>
      <c r="N2">
        <v>0</v>
      </c>
      <c r="O2">
        <v>1715.15</v>
      </c>
      <c r="P2" t="s">
        <v>600</v>
      </c>
      <c r="Q2" t="s">
        <v>511</v>
      </c>
      <c r="R2" t="s">
        <v>601</v>
      </c>
      <c r="S2" t="s">
        <v>602</v>
      </c>
      <c r="T2" t="s">
        <v>603</v>
      </c>
      <c r="U2" t="s">
        <v>604</v>
      </c>
    </row>
    <row r="3" spans="1:21">
      <c r="A3" t="s">
        <v>497</v>
      </c>
      <c r="B3" t="s">
        <v>70</v>
      </c>
      <c r="C3" t="s">
        <v>498</v>
      </c>
      <c r="D3" t="s">
        <v>516</v>
      </c>
      <c r="E3" t="s">
        <v>506</v>
      </c>
      <c r="F3" t="s">
        <v>518</v>
      </c>
      <c r="G3" t="s">
        <v>518</v>
      </c>
      <c r="H3">
        <v>1008</v>
      </c>
      <c r="I3">
        <v>39.82</v>
      </c>
      <c r="J3">
        <v>7.17</v>
      </c>
      <c r="K3">
        <v>0</v>
      </c>
      <c r="L3">
        <v>0</v>
      </c>
      <c r="M3" s="1">
        <v>961.01</v>
      </c>
      <c r="N3">
        <v>0</v>
      </c>
      <c r="O3">
        <v>961.01</v>
      </c>
      <c r="P3" t="s">
        <v>600</v>
      </c>
      <c r="Q3" t="s">
        <v>518</v>
      </c>
      <c r="R3" t="s">
        <v>601</v>
      </c>
      <c r="S3" t="s">
        <v>602</v>
      </c>
      <c r="T3" t="s">
        <v>603</v>
      </c>
      <c r="U3" t="s">
        <v>604</v>
      </c>
    </row>
    <row r="4" spans="1:21">
      <c r="A4" t="s">
        <v>497</v>
      </c>
      <c r="B4" t="s">
        <v>70</v>
      </c>
      <c r="C4" t="s">
        <v>498</v>
      </c>
      <c r="D4" t="s">
        <v>531</v>
      </c>
      <c r="E4" t="s">
        <v>506</v>
      </c>
      <c r="F4" t="s">
        <v>507</v>
      </c>
      <c r="G4" t="s">
        <v>507</v>
      </c>
      <c r="H4">
        <v>1691.9</v>
      </c>
      <c r="I4">
        <v>59.17</v>
      </c>
      <c r="J4">
        <v>10.65</v>
      </c>
      <c r="K4">
        <v>5.9</v>
      </c>
      <c r="L4">
        <v>0</v>
      </c>
      <c r="M4" s="1">
        <v>1616.18</v>
      </c>
      <c r="N4">
        <v>0</v>
      </c>
      <c r="O4">
        <v>1616.18</v>
      </c>
      <c r="P4" t="s">
        <v>600</v>
      </c>
      <c r="Q4" t="s">
        <v>507</v>
      </c>
      <c r="R4" t="s">
        <v>601</v>
      </c>
      <c r="S4" t="s">
        <v>602</v>
      </c>
      <c r="T4" t="s">
        <v>603</v>
      </c>
      <c r="U4" t="s">
        <v>604</v>
      </c>
    </row>
    <row r="7" spans="1:21">
      <c r="H7">
        <f>SUM(H2:H6)</f>
        <v>4498.8999999999996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CIERRE</vt:lpstr>
      <vt:lpstr>MASTERCARD</vt:lpstr>
      <vt:lpstr>AMEX</vt:lpstr>
      <vt:lpstr>Bancos</vt:lpstr>
      <vt:lpstr>DINERS</vt:lpstr>
      <vt:lpstr>Diners 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Ponzoni</dc:creator>
  <cp:lastModifiedBy>Geraldine Ponzoni</cp:lastModifiedBy>
  <dcterms:created xsi:type="dcterms:W3CDTF">2026-04-10T17:18:53Z</dcterms:created>
  <dcterms:modified xsi:type="dcterms:W3CDTF">2026-05-04T16:38:04Z</dcterms:modified>
</cp:coreProperties>
</file>