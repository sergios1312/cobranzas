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onz\Desktop\MUESTRA COBRANZA TIENDAS\04-05\"/>
    </mc:Choice>
  </mc:AlternateContent>
  <xr:revisionPtr revIDLastSave="0" documentId="13_ncr:1_{77EF2526-BA60-47FA-BF8A-536856073514}" xr6:coauthVersionLast="47" xr6:coauthVersionMax="47" xr10:uidLastSave="{00000000-0000-0000-0000-000000000000}"/>
  <bookViews>
    <workbookView xWindow="-108" yWindow="-108" windowWidth="23256" windowHeight="13896" tabRatio="830" activeTab="1" xr2:uid="{AF0D19BE-C1DD-44D3-8B25-2C0C8EE3CCDB}"/>
  </bookViews>
  <sheets>
    <sheet name="SAP" sheetId="1" r:id="rId1"/>
    <sheet name="REPORTE" sheetId="6" r:id="rId2"/>
    <sheet name="EFECTIVO" sheetId="2" state="hidden" r:id="rId3"/>
    <sheet name="MC" sheetId="3" r:id="rId4"/>
    <sheet name="AMEX" sheetId="4" r:id="rId5"/>
    <sheet name="DINNERS" sheetId="5" r:id="rId6"/>
  </sheets>
  <definedNames>
    <definedName name="_xlnm._FilterDatabase" localSheetId="4" hidden="1">AMEX!$A$1:$X$19</definedName>
    <definedName name="_xlnm._FilterDatabase" localSheetId="5" hidden="1">DINNERS!$A$1:$Y$9</definedName>
    <definedName name="_xlnm._FilterDatabase" localSheetId="2" hidden="1">EFECTIVO!$B$4:$L$35</definedName>
    <definedName name="_xlnm._FilterDatabase" localSheetId="3" hidden="1">MC!$A$1:$AG$409</definedName>
    <definedName name="_xlnm._FilterDatabase" localSheetId="1" hidden="1">REPORTE!$A$1:$AD$32</definedName>
    <definedName name="_xlnm._FilterDatabase" localSheetId="0" hidden="1">SAP!$A$1:$AA$5</definedName>
  </definedNames>
  <calcPr calcId="191029"/>
  <pivotCaches>
    <pivotCache cacheId="6" r:id="rId7"/>
    <pivotCache cacheId="7" r:id="rId8"/>
    <pivotCache cacheId="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AN2" i="3" l="1"/>
  <c r="AN3" i="3" s="1"/>
  <c r="AN4" i="3" s="1"/>
  <c r="AN5" i="3" s="1"/>
  <c r="AN6" i="3" s="1"/>
  <c r="AN7" i="3" s="1"/>
  <c r="AN8" i="3" s="1"/>
  <c r="AN9" i="3" s="1"/>
  <c r="AN10" i="3" s="1"/>
  <c r="AN11" i="3" s="1"/>
  <c r="AN12" i="3" s="1"/>
  <c r="AN13" i="3" s="1"/>
  <c r="AN14" i="3" s="1"/>
  <c r="AN15" i="3" s="1"/>
  <c r="AN16" i="3" s="1"/>
  <c r="AN17" i="3" s="1"/>
  <c r="AN18" i="3" s="1"/>
  <c r="AN19" i="3" s="1"/>
  <c r="AN20" i="3" s="1"/>
  <c r="AN21" i="3" s="1"/>
  <c r="AN22" i="3" s="1"/>
  <c r="AN23" i="3" s="1"/>
  <c r="AN24" i="3" s="1"/>
  <c r="AN25" i="3" s="1"/>
  <c r="AN26" i="3" s="1"/>
  <c r="AN27" i="3" s="1"/>
  <c r="AN28" i="3" s="1"/>
  <c r="AN29" i="3" s="1"/>
  <c r="AN30" i="3" s="1"/>
  <c r="AN31" i="3" s="1"/>
  <c r="H555" i="3"/>
  <c r="F555" i="3"/>
  <c r="C31" i="2"/>
  <c r="H31" i="2" s="1"/>
  <c r="H556" i="3" l="1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L6" i="6"/>
  <c r="M6" i="6" s="1"/>
  <c r="L7" i="6"/>
  <c r="M7" i="6" s="1"/>
  <c r="L8" i="6"/>
  <c r="M8" i="6" s="1"/>
  <c r="L9" i="6"/>
  <c r="M9" i="6" s="1"/>
  <c r="L10" i="6"/>
  <c r="M10" i="6" s="1"/>
  <c r="L11" i="6"/>
  <c r="M11" i="6" s="1"/>
  <c r="L12" i="6"/>
  <c r="M12" i="6" s="1"/>
  <c r="L13" i="6"/>
  <c r="M13" i="6" s="1"/>
  <c r="L14" i="6"/>
  <c r="M14" i="6" s="1"/>
  <c r="L15" i="6"/>
  <c r="M15" i="6" s="1"/>
  <c r="L16" i="6"/>
  <c r="M16" i="6" s="1"/>
  <c r="L17" i="6"/>
  <c r="M17" i="6" s="1"/>
  <c r="L18" i="6"/>
  <c r="M18" i="6" s="1"/>
  <c r="L19" i="6"/>
  <c r="M19" i="6" s="1"/>
  <c r="L20" i="6"/>
  <c r="M20" i="6" s="1"/>
  <c r="L21" i="6"/>
  <c r="M21" i="6" s="1"/>
  <c r="L22" i="6"/>
  <c r="M22" i="6" s="1"/>
  <c r="L23" i="6"/>
  <c r="M23" i="6" s="1"/>
  <c r="L24" i="6"/>
  <c r="M24" i="6" s="1"/>
  <c r="L25" i="6"/>
  <c r="M25" i="6" s="1"/>
  <c r="L26" i="6"/>
  <c r="M26" i="6" s="1"/>
  <c r="L27" i="6"/>
  <c r="M27" i="6" s="1"/>
  <c r="L28" i="6"/>
  <c r="M28" i="6" s="1"/>
  <c r="L29" i="6"/>
  <c r="M29" i="6" s="1"/>
  <c r="L30" i="6"/>
  <c r="M30" i="6" s="1"/>
  <c r="L31" i="6"/>
  <c r="M31" i="6" s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A6" i="6"/>
  <c r="B6" i="6"/>
  <c r="C6" i="6"/>
  <c r="D6" i="6"/>
  <c r="E6" i="6"/>
  <c r="F6" i="6"/>
  <c r="G6" i="6" s="1"/>
  <c r="A7" i="6"/>
  <c r="B7" i="6"/>
  <c r="C7" i="6"/>
  <c r="D7" i="6"/>
  <c r="E7" i="6"/>
  <c r="F7" i="6"/>
  <c r="G7" i="6" s="1"/>
  <c r="A8" i="6"/>
  <c r="B8" i="6"/>
  <c r="C8" i="6"/>
  <c r="D8" i="6"/>
  <c r="E8" i="6"/>
  <c r="F8" i="6"/>
  <c r="G8" i="6" s="1"/>
  <c r="A9" i="6"/>
  <c r="B9" i="6"/>
  <c r="C9" i="6"/>
  <c r="D9" i="6"/>
  <c r="E9" i="6"/>
  <c r="F9" i="6"/>
  <c r="G9" i="6" s="1"/>
  <c r="A10" i="6"/>
  <c r="B10" i="6"/>
  <c r="C10" i="6"/>
  <c r="D10" i="6"/>
  <c r="E10" i="6"/>
  <c r="F10" i="6"/>
  <c r="G10" i="6" s="1"/>
  <c r="A11" i="6"/>
  <c r="B11" i="6"/>
  <c r="C11" i="6"/>
  <c r="D11" i="6"/>
  <c r="E11" i="6"/>
  <c r="F11" i="6"/>
  <c r="G11" i="6" s="1"/>
  <c r="A12" i="6"/>
  <c r="B12" i="6"/>
  <c r="C12" i="6"/>
  <c r="D12" i="6"/>
  <c r="E12" i="6"/>
  <c r="F12" i="6"/>
  <c r="G12" i="6" s="1"/>
  <c r="A13" i="6"/>
  <c r="B13" i="6"/>
  <c r="C13" i="6"/>
  <c r="D13" i="6"/>
  <c r="E13" i="6"/>
  <c r="F13" i="6"/>
  <c r="G13" i="6" s="1"/>
  <c r="A14" i="6"/>
  <c r="B14" i="6"/>
  <c r="C14" i="6"/>
  <c r="D14" i="6"/>
  <c r="E14" i="6"/>
  <c r="F14" i="6"/>
  <c r="G14" i="6" s="1"/>
  <c r="A15" i="6"/>
  <c r="B15" i="6"/>
  <c r="C15" i="6"/>
  <c r="D15" i="6"/>
  <c r="E15" i="6"/>
  <c r="F15" i="6"/>
  <c r="G15" i="6" s="1"/>
  <c r="A16" i="6"/>
  <c r="B16" i="6"/>
  <c r="C16" i="6"/>
  <c r="D16" i="6"/>
  <c r="E16" i="6"/>
  <c r="F16" i="6"/>
  <c r="G16" i="6" s="1"/>
  <c r="A17" i="6"/>
  <c r="B17" i="6"/>
  <c r="C17" i="6"/>
  <c r="D17" i="6"/>
  <c r="E17" i="6"/>
  <c r="F17" i="6"/>
  <c r="G17" i="6" s="1"/>
  <c r="A18" i="6"/>
  <c r="B18" i="6"/>
  <c r="C18" i="6"/>
  <c r="D18" i="6"/>
  <c r="E18" i="6"/>
  <c r="F18" i="6"/>
  <c r="G18" i="6" s="1"/>
  <c r="A19" i="6"/>
  <c r="B19" i="6"/>
  <c r="C19" i="6"/>
  <c r="D19" i="6"/>
  <c r="E19" i="6"/>
  <c r="F19" i="6"/>
  <c r="G19" i="6" s="1"/>
  <c r="A20" i="6"/>
  <c r="B20" i="6"/>
  <c r="C20" i="6"/>
  <c r="D20" i="6"/>
  <c r="E20" i="6"/>
  <c r="F20" i="6"/>
  <c r="G20" i="6" s="1"/>
  <c r="A21" i="6"/>
  <c r="B21" i="6"/>
  <c r="C21" i="6"/>
  <c r="D21" i="6"/>
  <c r="E21" i="6"/>
  <c r="F21" i="6"/>
  <c r="G21" i="6" s="1"/>
  <c r="A22" i="6"/>
  <c r="B22" i="6"/>
  <c r="C22" i="6"/>
  <c r="D22" i="6"/>
  <c r="E22" i="6"/>
  <c r="F22" i="6"/>
  <c r="G22" i="6" s="1"/>
  <c r="A23" i="6"/>
  <c r="B23" i="6"/>
  <c r="C23" i="6"/>
  <c r="D23" i="6"/>
  <c r="E23" i="6"/>
  <c r="F23" i="6"/>
  <c r="G23" i="6" s="1"/>
  <c r="A24" i="6"/>
  <c r="B24" i="6"/>
  <c r="C24" i="6"/>
  <c r="D24" i="6"/>
  <c r="E24" i="6"/>
  <c r="F24" i="6"/>
  <c r="G24" i="6" s="1"/>
  <c r="A25" i="6"/>
  <c r="B25" i="6"/>
  <c r="C25" i="6"/>
  <c r="D25" i="6"/>
  <c r="E25" i="6"/>
  <c r="F25" i="6"/>
  <c r="G25" i="6" s="1"/>
  <c r="A26" i="6"/>
  <c r="B26" i="6"/>
  <c r="C26" i="6"/>
  <c r="D26" i="6"/>
  <c r="E26" i="6"/>
  <c r="F26" i="6"/>
  <c r="G26" i="6" s="1"/>
  <c r="A27" i="6"/>
  <c r="B27" i="6"/>
  <c r="C27" i="6"/>
  <c r="D27" i="6"/>
  <c r="E27" i="6"/>
  <c r="F27" i="6"/>
  <c r="G27" i="6" s="1"/>
  <c r="A28" i="6"/>
  <c r="B28" i="6"/>
  <c r="C28" i="6"/>
  <c r="D28" i="6"/>
  <c r="E28" i="6"/>
  <c r="F28" i="6"/>
  <c r="G28" i="6" s="1"/>
  <c r="A29" i="6"/>
  <c r="B29" i="6"/>
  <c r="C29" i="6"/>
  <c r="D29" i="6"/>
  <c r="E29" i="6"/>
  <c r="F29" i="6"/>
  <c r="G29" i="6" s="1"/>
  <c r="A30" i="6"/>
  <c r="B30" i="6"/>
  <c r="C30" i="6"/>
  <c r="D30" i="6"/>
  <c r="E30" i="6"/>
  <c r="F30" i="6"/>
  <c r="G30" i="6" s="1"/>
  <c r="A31" i="6"/>
  <c r="B31" i="6"/>
  <c r="C31" i="6"/>
  <c r="D31" i="6"/>
  <c r="E31" i="6"/>
  <c r="F31" i="6"/>
  <c r="G31" i="6" s="1"/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H30" i="2" s="1"/>
  <c r="C32" i="2"/>
  <c r="H32" i="2" s="1"/>
  <c r="C33" i="2"/>
  <c r="H33" i="2" s="1"/>
  <c r="C34" i="2"/>
  <c r="H34" i="2" s="1"/>
  <c r="C35" i="2"/>
  <c r="H35" i="2" s="1"/>
  <c r="B9" i="2"/>
  <c r="Q9" i="2" s="1"/>
  <c r="B10" i="2"/>
  <c r="Q10" i="2" s="1"/>
  <c r="B11" i="2"/>
  <c r="Q11" i="2" s="1"/>
  <c r="B12" i="2"/>
  <c r="Q12" i="2" s="1"/>
  <c r="B13" i="2"/>
  <c r="Q13" i="2" s="1"/>
  <c r="B14" i="2"/>
  <c r="Q14" i="2" s="1"/>
  <c r="B15" i="2"/>
  <c r="Q15" i="2" s="1"/>
  <c r="B16" i="2"/>
  <c r="Q16" i="2" s="1"/>
  <c r="B17" i="2"/>
  <c r="Q17" i="2" s="1"/>
  <c r="B18" i="2"/>
  <c r="Q18" i="2" s="1"/>
  <c r="B19" i="2"/>
  <c r="Q19" i="2" s="1"/>
  <c r="B20" i="2"/>
  <c r="Q20" i="2" s="1"/>
  <c r="B21" i="2"/>
  <c r="Q21" i="2" s="1"/>
  <c r="B22" i="2"/>
  <c r="Q22" i="2" s="1"/>
  <c r="B23" i="2"/>
  <c r="Q23" i="2" s="1"/>
  <c r="B24" i="2"/>
  <c r="Q24" i="2" s="1"/>
  <c r="B25" i="2"/>
  <c r="Q25" i="2" s="1"/>
  <c r="B26" i="2"/>
  <c r="Q26" i="2" s="1"/>
  <c r="B27" i="2"/>
  <c r="Q27" i="2" s="1"/>
  <c r="B28" i="2"/>
  <c r="Q28" i="2" s="1"/>
  <c r="B29" i="2"/>
  <c r="Q29" i="2" s="1"/>
  <c r="B30" i="2"/>
  <c r="Q30" i="2" s="1"/>
  <c r="B31" i="2"/>
  <c r="Q31" i="2" s="1"/>
  <c r="B32" i="2"/>
  <c r="Q32" i="2" s="1"/>
  <c r="B33" i="2"/>
  <c r="Q33" i="2" s="1"/>
  <c r="B34" i="2"/>
  <c r="Q34" i="2" s="1"/>
  <c r="B35" i="2"/>
  <c r="Q35" i="2" s="1"/>
  <c r="AH3" i="5"/>
  <c r="AH4" i="5" s="1"/>
  <c r="AH5" i="5" s="1"/>
  <c r="AH6" i="5" s="1"/>
  <c r="AH7" i="5" s="1"/>
  <c r="AH8" i="5" s="1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H20" i="5" s="1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H32" i="5" s="1"/>
  <c r="AH3" i="4"/>
  <c r="AH4" i="4" s="1"/>
  <c r="AH5" i="4" s="1"/>
  <c r="AH6" i="4" s="1"/>
  <c r="AH7" i="4" s="1"/>
  <c r="AH8" i="4" s="1"/>
  <c r="AH9" i="4" s="1"/>
  <c r="AH10" i="4" s="1"/>
  <c r="AH11" i="4" s="1"/>
  <c r="AH12" i="4" s="1"/>
  <c r="AH13" i="4" s="1"/>
  <c r="H25" i="2" l="1"/>
  <c r="H23" i="2"/>
  <c r="H28" i="2"/>
  <c r="H13" i="2"/>
  <c r="H20" i="2"/>
  <c r="H16" i="2"/>
  <c r="H11" i="2"/>
  <c r="H9" i="2"/>
  <c r="R19" i="2"/>
  <c r="R23" i="2"/>
  <c r="R17" i="2"/>
  <c r="R22" i="2"/>
  <c r="R16" i="2"/>
  <c r="R21" i="2"/>
  <c r="R15" i="2"/>
  <c r="R12" i="2"/>
  <c r="R10" i="2"/>
  <c r="R9" i="2"/>
  <c r="R14" i="2"/>
  <c r="R20" i="2"/>
  <c r="R13" i="2"/>
  <c r="R18" i="2"/>
  <c r="R11" i="2"/>
  <c r="R35" i="2"/>
  <c r="R34" i="2"/>
  <c r="AH14" i="4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R32" i="2"/>
  <c r="R33" i="2"/>
  <c r="R28" i="2"/>
  <c r="R27" i="2"/>
  <c r="R31" i="2"/>
  <c r="R30" i="2"/>
  <c r="R29" i="2"/>
  <c r="R26" i="2"/>
  <c r="R25" i="2"/>
  <c r="R24" i="2"/>
  <c r="C7" i="2"/>
  <c r="C8" i="2"/>
  <c r="B7" i="2"/>
  <c r="Q7" i="2" s="1"/>
  <c r="B8" i="2"/>
  <c r="Q8" i="2" s="1"/>
  <c r="R8" i="2" l="1"/>
  <c r="R7" i="2"/>
  <c r="C6" i="2"/>
  <c r="H6" i="2" s="1"/>
  <c r="C5" i="2"/>
  <c r="H5" i="2" s="1"/>
  <c r="B6" i="2"/>
  <c r="Q6" i="2" s="1"/>
  <c r="B5" i="2"/>
  <c r="Q5" i="2" s="1"/>
  <c r="R5" i="2" l="1"/>
  <c r="R6" i="2"/>
  <c r="G43" i="2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L5" i="6"/>
  <c r="M5" i="6" s="1"/>
  <c r="J5" i="6"/>
  <c r="H5" i="6"/>
  <c r="B5" i="6"/>
  <c r="C5" i="6"/>
  <c r="D5" i="6"/>
  <c r="E5" i="6"/>
  <c r="F5" i="6"/>
  <c r="G5" i="6" s="1"/>
  <c r="A5" i="6"/>
  <c r="L4" i="6" l="1"/>
  <c r="M4" i="6" s="1"/>
  <c r="N4" i="6" l="1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J4" i="6"/>
  <c r="H4" i="6"/>
  <c r="A4" i="6"/>
  <c r="B4" i="6"/>
  <c r="C4" i="6"/>
  <c r="D4" i="6"/>
  <c r="E4" i="6"/>
  <c r="F4" i="6"/>
  <c r="G4" i="6" s="1"/>
  <c r="O2" i="6" l="1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N2" i="6"/>
  <c r="N3" i="6"/>
  <c r="L2" i="6"/>
  <c r="M2" i="6" s="1"/>
  <c r="L3" i="6"/>
  <c r="M3" i="6" s="1"/>
  <c r="J2" i="6"/>
  <c r="K2" i="6" s="1"/>
  <c r="J3" i="6"/>
  <c r="H2" i="6"/>
  <c r="I2" i="6" s="1"/>
  <c r="H3" i="6"/>
  <c r="A2" i="6"/>
  <c r="B2" i="6"/>
  <c r="C2" i="6"/>
  <c r="D2" i="6"/>
  <c r="E2" i="6"/>
  <c r="F2" i="6"/>
  <c r="G2" i="6" s="1"/>
  <c r="A3" i="6"/>
  <c r="B3" i="6"/>
  <c r="C3" i="6"/>
  <c r="D3" i="6"/>
  <c r="E3" i="6"/>
  <c r="F3" i="6"/>
  <c r="G3" i="6" s="1"/>
</calcChain>
</file>

<file path=xl/sharedStrings.xml><?xml version="1.0" encoding="utf-8"?>
<sst xmlns="http://schemas.openxmlformats.org/spreadsheetml/2006/main" count="5029" uniqueCount="564">
  <si>
    <t>FECHA</t>
  </si>
  <si>
    <t>ID TIENDA</t>
  </si>
  <si>
    <t>NOMBRE</t>
  </si>
  <si>
    <t>VISA</t>
  </si>
  <si>
    <t>EFECTIVO</t>
  </si>
  <si>
    <t>MASTERCAD</t>
  </si>
  <si>
    <t>DINNERS</t>
  </si>
  <si>
    <t>LUKITA (BBVA)</t>
  </si>
  <si>
    <t>TUNKY (INTERBANK)</t>
  </si>
  <si>
    <t>WALI (INTERBANK)</t>
  </si>
  <si>
    <t>YAPE (BCP)</t>
  </si>
  <si>
    <t>MILLAS INTERBANK</t>
  </si>
  <si>
    <t>PUNTOS VIDA (BBVA)</t>
  </si>
  <si>
    <t>TRANSFERENCIA MALVITEC</t>
  </si>
  <si>
    <t>RAPPI</t>
  </si>
  <si>
    <t>ADELANTO (PRE-VENTA)</t>
  </si>
  <si>
    <t>YAPE (BCP) - 2</t>
  </si>
  <si>
    <t>YAPE (BCP) - 3</t>
  </si>
  <si>
    <t>SANTANDER</t>
  </si>
  <si>
    <t>MIS CUOTAS</t>
  </si>
  <si>
    <t>CÁLIDDA</t>
  </si>
  <si>
    <t>CUOTEALO</t>
  </si>
  <si>
    <t>TOTAL</t>
  </si>
  <si>
    <t>DIFERENCIA</t>
  </si>
  <si>
    <t>BANCO</t>
  </si>
  <si>
    <t>ESTADO</t>
  </si>
  <si>
    <t>TOTAL 
VENTA</t>
  </si>
  <si>
    <t>AMERICAN
 EXPRESS</t>
  </si>
  <si>
    <t>NOTA 
CREDITO</t>
  </si>
  <si>
    <t>CONTAB.</t>
  </si>
  <si>
    <t>Importe</t>
  </si>
  <si>
    <t>CODIGO COMERCIO</t>
  </si>
  <si>
    <t>F. Operación</t>
  </si>
  <si>
    <t>Nº. Doc.</t>
  </si>
  <si>
    <t>Concepto</t>
  </si>
  <si>
    <t>TOTAL VENTA</t>
  </si>
  <si>
    <t>AMERICAN EXPRESS</t>
  </si>
  <si>
    <t>POWERPAY</t>
  </si>
  <si>
    <t>NOTA CREDITO</t>
  </si>
  <si>
    <t>PENDIENTE</t>
  </si>
  <si>
    <t>TIENDA</t>
  </si>
  <si>
    <t>OBS</t>
  </si>
  <si>
    <t>TOTAL PENDIENTE</t>
  </si>
  <si>
    <t>Codigo</t>
  </si>
  <si>
    <t>Producto</t>
  </si>
  <si>
    <t>Tipo_Mov</t>
  </si>
  <si>
    <t>Fecha_Proceso</t>
  </si>
  <si>
    <t>Fecha_Lote</t>
  </si>
  <si>
    <t>Lote_Manual</t>
  </si>
  <si>
    <t>Lote_Pos</t>
  </si>
  <si>
    <t>Terminal</t>
  </si>
  <si>
    <t>Voucher</t>
  </si>
  <si>
    <t>Autorizacion</t>
  </si>
  <si>
    <t>Cuotas</t>
  </si>
  <si>
    <t>Tarjeta</t>
  </si>
  <si>
    <t>Origen</t>
  </si>
  <si>
    <t>Transaccion</t>
  </si>
  <si>
    <t>Fecha_Consumo</t>
  </si>
  <si>
    <t>Status</t>
  </si>
  <si>
    <t>Comision</t>
  </si>
  <si>
    <t>IGV</t>
  </si>
  <si>
    <t>Neto_Parcial</t>
  </si>
  <si>
    <t>Neto_Total</t>
  </si>
  <si>
    <t>Fecha_Abono</t>
  </si>
  <si>
    <t>Observaciones</t>
  </si>
  <si>
    <t>Nombre comercial</t>
  </si>
  <si>
    <t>A</t>
  </si>
  <si>
    <t>Abonado</t>
  </si>
  <si>
    <t>Comision_Merchant</t>
  </si>
  <si>
    <t>COMPRA</t>
  </si>
  <si>
    <t>C</t>
  </si>
  <si>
    <t>S.E.A.</t>
  </si>
  <si>
    <t>Descuento Pendiente</t>
  </si>
  <si>
    <t>Etiquetas de fila</t>
  </si>
  <si>
    <t>Total general</t>
  </si>
  <si>
    <t>Suma de Importe</t>
  </si>
  <si>
    <t>(en blanco)</t>
  </si>
  <si>
    <t>Fecha_Abono_8Dig</t>
  </si>
  <si>
    <t>INGRESO EN EFECTIVO</t>
  </si>
  <si>
    <t>OK</t>
  </si>
  <si>
    <t/>
  </si>
  <si>
    <t>FEBRERO</t>
  </si>
  <si>
    <t>MASTERCARD</t>
  </si>
  <si>
    <t>DINERS</t>
  </si>
  <si>
    <t>0000253257</t>
  </si>
  <si>
    <t>0000253862</t>
  </si>
  <si>
    <t>MARTIN ALONSO CONCHA ALCALA</t>
  </si>
  <si>
    <t>0000254289</t>
  </si>
  <si>
    <t>0000254326</t>
  </si>
  <si>
    <t>0000255219</t>
  </si>
  <si>
    <t>0000255733</t>
  </si>
  <si>
    <t>AMEX- SE HIZO DEVOLUCION CLIENTE EFECTIVO PORQUE NO SE PUDO ANULAR</t>
  </si>
  <si>
    <t>104101</t>
  </si>
  <si>
    <t>0000256679</t>
  </si>
  <si>
    <t>0000257081</t>
  </si>
  <si>
    <t>0000257935</t>
  </si>
  <si>
    <t>MARZO</t>
  </si>
  <si>
    <t>0000257459</t>
  </si>
  <si>
    <t>SCOTIABANK</t>
  </si>
  <si>
    <t>Código de comercio</t>
  </si>
  <si>
    <t>Nombre del comercio</t>
  </si>
  <si>
    <t>Red</t>
  </si>
  <si>
    <t>Tipo de transacción</t>
  </si>
  <si>
    <t>Fecha de recepción</t>
  </si>
  <si>
    <t>Fecha de proceso</t>
  </si>
  <si>
    <t>Marca</t>
  </si>
  <si>
    <t>N° de tarjeta</t>
  </si>
  <si>
    <t>Tipo de tarjeta</t>
  </si>
  <si>
    <t>Código de autorización</t>
  </si>
  <si>
    <t>Orden de pago</t>
  </si>
  <si>
    <t>Moneda</t>
  </si>
  <si>
    <t>Fecha de ticket</t>
  </si>
  <si>
    <t>N° ticket</t>
  </si>
  <si>
    <t>Estado de ticket</t>
  </si>
  <si>
    <t>N° de cuotas</t>
  </si>
  <si>
    <t>Plazo de pago</t>
  </si>
  <si>
    <t>Fecha de pago</t>
  </si>
  <si>
    <t>Tipo de comisión</t>
  </si>
  <si>
    <t>Valor de comisión</t>
  </si>
  <si>
    <t>Importe del consumo</t>
  </si>
  <si>
    <t>Comisión del consumo</t>
  </si>
  <si>
    <t>IGV del consumo</t>
  </si>
  <si>
    <t>Importe neto de pago</t>
  </si>
  <si>
    <t>IZIPAY</t>
  </si>
  <si>
    <t>CONSUMO</t>
  </si>
  <si>
    <t>LOCAL</t>
  </si>
  <si>
    <t>SOLES</t>
  </si>
  <si>
    <t>PROCESADO</t>
  </si>
  <si>
    <t>2 días</t>
  </si>
  <si>
    <t>PORCENTUAL</t>
  </si>
  <si>
    <t>CUOTAS SIN INTERESES</t>
  </si>
  <si>
    <t>Suma de Importe del consumo</t>
  </si>
  <si>
    <t>PS0002</t>
  </si>
  <si>
    <t>Tipo_Tarjeta</t>
  </si>
  <si>
    <t>Serie_Terminal</t>
  </si>
  <si>
    <t>Banco_Emisor</t>
  </si>
  <si>
    <t>Cuota sin interes</t>
  </si>
  <si>
    <t>Entidad</t>
  </si>
  <si>
    <t>Hora TRX</t>
  </si>
  <si>
    <t>DEBITO</t>
  </si>
  <si>
    <t>SCOTIA DEBIT</t>
  </si>
  <si>
    <t>HONOR MALL DEL SUR</t>
  </si>
  <si>
    <t>CREDITO</t>
  </si>
  <si>
    <t>BRIPLEY</t>
  </si>
  <si>
    <t>NO</t>
  </si>
  <si>
    <t>BCP</t>
  </si>
  <si>
    <t>Yape</t>
  </si>
  <si>
    <t>IBK PRIVADA</t>
  </si>
  <si>
    <t>BBVA</t>
  </si>
  <si>
    <t>BFALABELLA</t>
  </si>
  <si>
    <t>CJ RURAL MC</t>
  </si>
  <si>
    <t>SI</t>
  </si>
  <si>
    <t>NACION</t>
  </si>
  <si>
    <t>VISA INT</t>
  </si>
  <si>
    <t>IBK Plin</t>
  </si>
  <si>
    <t>VISA LOC</t>
  </si>
  <si>
    <t>BIF</t>
  </si>
  <si>
    <t>HON.MS01</t>
  </si>
  <si>
    <t>Comision_Afecta</t>
  </si>
  <si>
    <t>MC</t>
  </si>
  <si>
    <t>Nac</t>
  </si>
  <si>
    <t>COM</t>
  </si>
  <si>
    <t>VA</t>
  </si>
  <si>
    <t>BBVA Plin</t>
  </si>
  <si>
    <t>483039******8681</t>
  </si>
  <si>
    <t>483039******7905</t>
  </si>
  <si>
    <t>483039******4399</t>
  </si>
  <si>
    <t>VK</t>
  </si>
  <si>
    <t>483039******9147</t>
  </si>
  <si>
    <t>455788******8255</t>
  </si>
  <si>
    <t>Ext</t>
  </si>
  <si>
    <t>455788******6412</t>
  </si>
  <si>
    <t>455696******4609</t>
  </si>
  <si>
    <t>455788******7152</t>
  </si>
  <si>
    <t>R02254</t>
  </si>
  <si>
    <t>R07965</t>
  </si>
  <si>
    <t>R01197</t>
  </si>
  <si>
    <t>T512LD</t>
  </si>
  <si>
    <t>553650******2982</t>
  </si>
  <si>
    <t>455788******8285</t>
  </si>
  <si>
    <t>463401******5458</t>
  </si>
  <si>
    <t>455788******2216</t>
  </si>
  <si>
    <t>455788******8980</t>
  </si>
  <si>
    <t>407067******9255</t>
  </si>
  <si>
    <t>455788******9917</t>
  </si>
  <si>
    <t>414791******4610</t>
  </si>
  <si>
    <t>455788******3937</t>
  </si>
  <si>
    <t>421410******1826</t>
  </si>
  <si>
    <t>424303******2403</t>
  </si>
  <si>
    <t>491909******4952</t>
  </si>
  <si>
    <t>404071******5793</t>
  </si>
  <si>
    <t>421355******2349</t>
  </si>
  <si>
    <t>455788******5232</t>
  </si>
  <si>
    <t>455788******6834</t>
  </si>
  <si>
    <t>455170******4842</t>
  </si>
  <si>
    <t>404293******1375</t>
  </si>
  <si>
    <t>407876******9543</t>
  </si>
  <si>
    <t>455788******9787</t>
  </si>
  <si>
    <t>414791******2720</t>
  </si>
  <si>
    <t>455788******4900</t>
  </si>
  <si>
    <t>455170******6354</t>
  </si>
  <si>
    <t>455170******2123</t>
  </si>
  <si>
    <t>428076******1097</t>
  </si>
  <si>
    <t>447409******5476</t>
  </si>
  <si>
    <t>454775******2975</t>
  </si>
  <si>
    <t>455788******7557</t>
  </si>
  <si>
    <t>428582******4884</t>
  </si>
  <si>
    <t>455788******0642</t>
  </si>
  <si>
    <t>455788******6060</t>
  </si>
  <si>
    <t>427158******3689</t>
  </si>
  <si>
    <t>455788******2457</t>
  </si>
  <si>
    <t>455170******7910</t>
  </si>
  <si>
    <t>491914******9203</t>
  </si>
  <si>
    <t>447409******0160</t>
  </si>
  <si>
    <t>455788******7731</t>
  </si>
  <si>
    <t>455103******3275</t>
  </si>
  <si>
    <t>463401******9997</t>
  </si>
  <si>
    <t>455788******7392</t>
  </si>
  <si>
    <t>477289******7409</t>
  </si>
  <si>
    <t>414791******6023</t>
  </si>
  <si>
    <t>455788******9088</t>
  </si>
  <si>
    <t>463403******8550</t>
  </si>
  <si>
    <t>415297******9385</t>
  </si>
  <si>
    <t>444354******3130</t>
  </si>
  <si>
    <t>447411******0581</t>
  </si>
  <si>
    <t>455788******1344</t>
  </si>
  <si>
    <t>455788******8722</t>
  </si>
  <si>
    <t>455788******6042</t>
  </si>
  <si>
    <t>455788******7516</t>
  </si>
  <si>
    <t>455170******4955</t>
  </si>
  <si>
    <t>525435******8474</t>
  </si>
  <si>
    <t>421410******2955</t>
  </si>
  <si>
    <t>455788******4897</t>
  </si>
  <si>
    <t>421355******1430</t>
  </si>
  <si>
    <t>455788******6653</t>
  </si>
  <si>
    <t>455788******3050</t>
  </si>
  <si>
    <t>454775******0941</t>
  </si>
  <si>
    <t>447409******6117</t>
  </si>
  <si>
    <t>421410******2288</t>
  </si>
  <si>
    <t>428076******9118</t>
  </si>
  <si>
    <t>447409******3530</t>
  </si>
  <si>
    <t>434925******5392</t>
  </si>
  <si>
    <t>455788******5172</t>
  </si>
  <si>
    <t>463402******3176</t>
  </si>
  <si>
    <t>472955******5624</t>
  </si>
  <si>
    <t>438877******8898</t>
  </si>
  <si>
    <t>433466******6616</t>
  </si>
  <si>
    <t>421355******6412</t>
  </si>
  <si>
    <t>455103******1997</t>
  </si>
  <si>
    <t>554046******2281</t>
  </si>
  <si>
    <t>455103******1949</t>
  </si>
  <si>
    <t>455788******9757</t>
  </si>
  <si>
    <t>455103******0045</t>
  </si>
  <si>
    <t>455788******7333</t>
  </si>
  <si>
    <t>455788******8752</t>
  </si>
  <si>
    <t>455788******1897</t>
  </si>
  <si>
    <t>451775******8927</t>
  </si>
  <si>
    <t>455788******1151</t>
  </si>
  <si>
    <t>421355******8518</t>
  </si>
  <si>
    <t>455788******9633</t>
  </si>
  <si>
    <t>447409******9506</t>
  </si>
  <si>
    <t>463401******9617</t>
  </si>
  <si>
    <t>455788******9416</t>
  </si>
  <si>
    <t>447409******1271</t>
  </si>
  <si>
    <t>455788******2902</t>
  </si>
  <si>
    <t>454775******6038</t>
  </si>
  <si>
    <t>455788******8230</t>
  </si>
  <si>
    <t>455788******0301</t>
  </si>
  <si>
    <t>455788******1721</t>
  </si>
  <si>
    <t>491909******7681</t>
  </si>
  <si>
    <t>455170******6127</t>
  </si>
  <si>
    <t>447410******0365</t>
  </si>
  <si>
    <t>404071******6040</t>
  </si>
  <si>
    <t>525435******5586</t>
  </si>
  <si>
    <t>511842******2921</t>
  </si>
  <si>
    <t>510308******6441</t>
  </si>
  <si>
    <t>455788******2348</t>
  </si>
  <si>
    <t>455788******7202</t>
  </si>
  <si>
    <t>421410******5342</t>
  </si>
  <si>
    <t>421410******6571</t>
  </si>
  <si>
    <t>455788******9036</t>
  </si>
  <si>
    <t>455103******6061</t>
  </si>
  <si>
    <t>455788******4957</t>
  </si>
  <si>
    <t>438168******5412</t>
  </si>
  <si>
    <t>434925******9306</t>
  </si>
  <si>
    <t>421410******0954</t>
  </si>
  <si>
    <t>455788******8219</t>
  </si>
  <si>
    <t>426154******9075</t>
  </si>
  <si>
    <t>455788******3074</t>
  </si>
  <si>
    <t>455788******6399</t>
  </si>
  <si>
    <t>447409******4968</t>
  </si>
  <si>
    <t>455788******1877</t>
  </si>
  <si>
    <t>447410******2344</t>
  </si>
  <si>
    <t>414791******1248</t>
  </si>
  <si>
    <t>491246******0201</t>
  </si>
  <si>
    <t>455788******7630</t>
  </si>
  <si>
    <t>455788******8071</t>
  </si>
  <si>
    <t>455788******3448</t>
  </si>
  <si>
    <t>491914******9682</t>
  </si>
  <si>
    <t>421355******2559</t>
  </si>
  <si>
    <t>511842******0869</t>
  </si>
  <si>
    <t>455170******1450</t>
  </si>
  <si>
    <t>455788******9484</t>
  </si>
  <si>
    <t>455788******4709</t>
  </si>
  <si>
    <t>455788******9086</t>
  </si>
  <si>
    <t>455788******8407</t>
  </si>
  <si>
    <t>455788******7679</t>
  </si>
  <si>
    <t>455788******7803</t>
  </si>
  <si>
    <t>491909******6535</t>
  </si>
  <si>
    <t>421410******8831</t>
  </si>
  <si>
    <t>421410******9139</t>
  </si>
  <si>
    <t>421410******0685</t>
  </si>
  <si>
    <t>455103******8044</t>
  </si>
  <si>
    <t>455103******1587</t>
  </si>
  <si>
    <t>455103******2649</t>
  </si>
  <si>
    <t>414791******0459</t>
  </si>
  <si>
    <t>511842******4188</t>
  </si>
  <si>
    <t>455170******1645</t>
  </si>
  <si>
    <t>455696******5868</t>
  </si>
  <si>
    <t>455103******5827</t>
  </si>
  <si>
    <t>455788******1208</t>
  </si>
  <si>
    <t>463401******6674</t>
  </si>
  <si>
    <t>455788******6808</t>
  </si>
  <si>
    <t>455788******7700</t>
  </si>
  <si>
    <t>455788******5483</t>
  </si>
  <si>
    <t>491872******5838</t>
  </si>
  <si>
    <t>455788******4996</t>
  </si>
  <si>
    <t>422052******2739</t>
  </si>
  <si>
    <t>455788******9911</t>
  </si>
  <si>
    <t>428083******4733</t>
  </si>
  <si>
    <t>426153******5898</t>
  </si>
  <si>
    <t>447409******8591</t>
  </si>
  <si>
    <t>511842******2018</t>
  </si>
  <si>
    <t>414075******2386</t>
  </si>
  <si>
    <t>455788******3924</t>
  </si>
  <si>
    <t>455170******8598</t>
  </si>
  <si>
    <t>447409******0167</t>
  </si>
  <si>
    <t>455788******0247</t>
  </si>
  <si>
    <t>428581******9998</t>
  </si>
  <si>
    <t>455788******8867</t>
  </si>
  <si>
    <t>463401******1989</t>
  </si>
  <si>
    <t>463402******1987</t>
  </si>
  <si>
    <t>421355******5670</t>
  </si>
  <si>
    <t>404071******1993</t>
  </si>
  <si>
    <t>553650******3146</t>
  </si>
  <si>
    <t>421410******1664</t>
  </si>
  <si>
    <t>407876******5200</t>
  </si>
  <si>
    <t>455788******4239</t>
  </si>
  <si>
    <t>455788******9605</t>
  </si>
  <si>
    <t>463401******4345</t>
  </si>
  <si>
    <t>428597******5170</t>
  </si>
  <si>
    <t>455788******8587</t>
  </si>
  <si>
    <t>444355******4103</t>
  </si>
  <si>
    <t>455788******8917</t>
  </si>
  <si>
    <t>438466******6361</t>
  </si>
  <si>
    <t>455788******4563</t>
  </si>
  <si>
    <t>455788******4300</t>
  </si>
  <si>
    <t>421410******6391</t>
  </si>
  <si>
    <t>428581******6517</t>
  </si>
  <si>
    <t>455788******8651</t>
  </si>
  <si>
    <t>455788******3550</t>
  </si>
  <si>
    <t>411090******9043</t>
  </si>
  <si>
    <t>447409******4874</t>
  </si>
  <si>
    <t>511842******6583</t>
  </si>
  <si>
    <t>529206******2873</t>
  </si>
  <si>
    <t>491909******9258</t>
  </si>
  <si>
    <t>455788******0264</t>
  </si>
  <si>
    <t>447409******4017</t>
  </si>
  <si>
    <t>455788******1870</t>
  </si>
  <si>
    <t>447410******2341</t>
  </si>
  <si>
    <t>421410******8024</t>
  </si>
  <si>
    <t>455788******7377</t>
  </si>
  <si>
    <t>414791******1993</t>
  </si>
  <si>
    <t>455788******4968</t>
  </si>
  <si>
    <t>491914******4029</t>
  </si>
  <si>
    <t>444697******5566</t>
  </si>
  <si>
    <t>447410******8117</t>
  </si>
  <si>
    <t>455788******0627</t>
  </si>
  <si>
    <t>455103******6037</t>
  </si>
  <si>
    <t>447409******8013</t>
  </si>
  <si>
    <t>491909******0350</t>
  </si>
  <si>
    <t>447411******8366</t>
  </si>
  <si>
    <t>455788******0156</t>
  </si>
  <si>
    <t>455788******7832</t>
  </si>
  <si>
    <t>455788******4202</t>
  </si>
  <si>
    <t>455788******7698</t>
  </si>
  <si>
    <t>477289******4952</t>
  </si>
  <si>
    <t>463402******5851</t>
  </si>
  <si>
    <t>455170******5641</t>
  </si>
  <si>
    <t>414791******7196</t>
  </si>
  <si>
    <t>428078******2945</t>
  </si>
  <si>
    <t>455788******7442</t>
  </si>
  <si>
    <t>455103******9027</t>
  </si>
  <si>
    <t>414791******5547</t>
  </si>
  <si>
    <t>455103******3154</t>
  </si>
  <si>
    <t>455788******5129</t>
  </si>
  <si>
    <t>411539******4464</t>
  </si>
  <si>
    <t>447409******1415</t>
  </si>
  <si>
    <t>455788******8471</t>
  </si>
  <si>
    <t>445330******6147</t>
  </si>
  <si>
    <t>404071******5343</t>
  </si>
  <si>
    <t>525435******0126</t>
  </si>
  <si>
    <t>447409******2217</t>
  </si>
  <si>
    <t>455788******0055</t>
  </si>
  <si>
    <t>455788******6709</t>
  </si>
  <si>
    <t>463402******5050</t>
  </si>
  <si>
    <t>455788******6713</t>
  </si>
  <si>
    <t>422224******1754</t>
  </si>
  <si>
    <t>421410******6560</t>
  </si>
  <si>
    <t>447410******1286</t>
  </si>
  <si>
    <t>414791******9725</t>
  </si>
  <si>
    <t>421355******7386</t>
  </si>
  <si>
    <t>455788******3631</t>
  </si>
  <si>
    <t>455788******0824</t>
  </si>
  <si>
    <t>455103******3727</t>
  </si>
  <si>
    <t>455788******8926</t>
  </si>
  <si>
    <t>491257******9070</t>
  </si>
  <si>
    <t>455788******5432</t>
  </si>
  <si>
    <t>455103******6449</t>
  </si>
  <si>
    <t>455788******0130</t>
  </si>
  <si>
    <t>428078******1543</t>
  </si>
  <si>
    <t>421355******3402</t>
  </si>
  <si>
    <t>455788******3724</t>
  </si>
  <si>
    <t>455788******6321</t>
  </si>
  <si>
    <t>455788******8899</t>
  </si>
  <si>
    <t>455788******1699</t>
  </si>
  <si>
    <t>455788******5466</t>
  </si>
  <si>
    <t>491909******2679</t>
  </si>
  <si>
    <t>455788******2970</t>
  </si>
  <si>
    <t>455788******1195</t>
  </si>
  <si>
    <t>455170******2189</t>
  </si>
  <si>
    <t>525435******5097</t>
  </si>
  <si>
    <t>426153******6298</t>
  </si>
  <si>
    <t>434925******6329</t>
  </si>
  <si>
    <t>421355******6840</t>
  </si>
  <si>
    <t>491246******5866</t>
  </si>
  <si>
    <t>455788******1118</t>
  </si>
  <si>
    <t>455103******7489</t>
  </si>
  <si>
    <t>491257******1536</t>
  </si>
  <si>
    <t>447410******8567</t>
  </si>
  <si>
    <t>455788******1002</t>
  </si>
  <si>
    <t>434925******6740</t>
  </si>
  <si>
    <t>455788******6708</t>
  </si>
  <si>
    <t>438466******9705</t>
  </si>
  <si>
    <t>421355******5884</t>
  </si>
  <si>
    <t>511842******9286</t>
  </si>
  <si>
    <t>525435******1777</t>
  </si>
  <si>
    <t>455788******6918</t>
  </si>
  <si>
    <t>414791******3565</t>
  </si>
  <si>
    <t>455788******7071</t>
  </si>
  <si>
    <t>455788******8994</t>
  </si>
  <si>
    <t>455170******4085</t>
  </si>
  <si>
    <t>421410******5694</t>
  </si>
  <si>
    <t>421355******9613</t>
  </si>
  <si>
    <t>463403******0851</t>
  </si>
  <si>
    <t>455788******7087</t>
  </si>
  <si>
    <t>415297******0690</t>
  </si>
  <si>
    <t>529206******1891</t>
  </si>
  <si>
    <t>553650******6343</t>
  </si>
  <si>
    <t>455788******3795</t>
  </si>
  <si>
    <t>448700******4614</t>
  </si>
  <si>
    <t>477289******8747</t>
  </si>
  <si>
    <t>466721******4855</t>
  </si>
  <si>
    <t>421355******4442</t>
  </si>
  <si>
    <t>455788******8941</t>
  </si>
  <si>
    <t>421355******0408</t>
  </si>
  <si>
    <t>447409******3873</t>
  </si>
  <si>
    <t>455788******1933</t>
  </si>
  <si>
    <t>463402******2641</t>
  </si>
  <si>
    <t>447409******5298</t>
  </si>
  <si>
    <t>455788******6269</t>
  </si>
  <si>
    <t>455788******6272</t>
  </si>
  <si>
    <t>455788******0031</t>
  </si>
  <si>
    <t>491914******4699</t>
  </si>
  <si>
    <t>438877******1453</t>
  </si>
  <si>
    <t>470458******1058</t>
  </si>
  <si>
    <t>421355******4914</t>
  </si>
  <si>
    <t>447410******3904</t>
  </si>
  <si>
    <t>455696******4930</t>
  </si>
  <si>
    <t>455788******4790</t>
  </si>
  <si>
    <t>455788******2052</t>
  </si>
  <si>
    <t>447409******3973</t>
  </si>
  <si>
    <t>455170******8407</t>
  </si>
  <si>
    <t>455788******5046</t>
  </si>
  <si>
    <t>455170******4299</t>
  </si>
  <si>
    <t>525435******6107</t>
  </si>
  <si>
    <t>455788******3384</t>
  </si>
  <si>
    <t>455788******7835</t>
  </si>
  <si>
    <t>445330******4784</t>
  </si>
  <si>
    <t>455170******9589</t>
  </si>
  <si>
    <t>455103******1767</t>
  </si>
  <si>
    <t>455788******6466</t>
  </si>
  <si>
    <t>491909******3619</t>
  </si>
  <si>
    <t>438466******6926</t>
  </si>
  <si>
    <t>455788******3249</t>
  </si>
  <si>
    <t>455788******3157</t>
  </si>
  <si>
    <t>414791******0942</t>
  </si>
  <si>
    <t>463403******8992</t>
  </si>
  <si>
    <t>455788******1113</t>
  </si>
  <si>
    <t>421355******7411</t>
  </si>
  <si>
    <t>447409******0380</t>
  </si>
  <si>
    <t>455788******4040</t>
  </si>
  <si>
    <t>447410******3907</t>
  </si>
  <si>
    <t>491246******0097</t>
  </si>
  <si>
    <t>491246******8718</t>
  </si>
  <si>
    <t>438877******4358</t>
  </si>
  <si>
    <t>455788******1321</t>
  </si>
  <si>
    <t>455788******6995</t>
  </si>
  <si>
    <t>455788******9332</t>
  </si>
  <si>
    <t>455103******1500</t>
  </si>
  <si>
    <t>421355******4180</t>
  </si>
  <si>
    <t>455788******0045</t>
  </si>
  <si>
    <t>455788******6635</t>
  </si>
  <si>
    <t>438466******0441</t>
  </si>
  <si>
    <t>491909******0825</t>
  </si>
  <si>
    <t>455788******0034</t>
  </si>
  <si>
    <t>414791******6280</t>
  </si>
  <si>
    <t>421410******3550</t>
  </si>
  <si>
    <t>455788******7065</t>
  </si>
  <si>
    <t>455788******4135</t>
  </si>
  <si>
    <t>455788******5829</t>
  </si>
  <si>
    <t>422052******5000</t>
  </si>
  <si>
    <t>421410******9599</t>
  </si>
  <si>
    <t>404071******2008</t>
  </si>
  <si>
    <t>421355******3627</t>
  </si>
  <si>
    <t>455788******0216</t>
  </si>
  <si>
    <t>447409******5974</t>
  </si>
  <si>
    <t>455788******8653</t>
  </si>
  <si>
    <t>455788******2202</t>
  </si>
  <si>
    <t>455788******4557</t>
  </si>
  <si>
    <t>491909******5730</t>
  </si>
  <si>
    <t>455788******6799</t>
  </si>
  <si>
    <t>491257******4245</t>
  </si>
  <si>
    <t>463402******8539</t>
  </si>
  <si>
    <t>455696******4237</t>
  </si>
  <si>
    <t>455788******2208</t>
  </si>
  <si>
    <t>455788******8201</t>
  </si>
  <si>
    <t>455788******9993</t>
  </si>
  <si>
    <t>SIP MC</t>
  </si>
  <si>
    <t>SBK Plin</t>
  </si>
  <si>
    <t>MIBANCO</t>
  </si>
  <si>
    <t>SBP</t>
  </si>
  <si>
    <t>CAJA CUSCO</t>
  </si>
  <si>
    <t>CSF PRIV</t>
  </si>
  <si>
    <t>CAJA AREQUIP</t>
  </si>
  <si>
    <t>Falabella</t>
  </si>
  <si>
    <t>BANCOS</t>
  </si>
  <si>
    <t>377892*****0738</t>
  </si>
  <si>
    <t>377892*****9629</t>
  </si>
  <si>
    <t>377754*****8286</t>
  </si>
  <si>
    <t>377933*****5047</t>
  </si>
  <si>
    <t>377754*****1086</t>
  </si>
  <si>
    <t>377754*****3034</t>
  </si>
  <si>
    <t>377753*****6779</t>
  </si>
  <si>
    <t>377898*****5559</t>
  </si>
  <si>
    <t>377754*****1538</t>
  </si>
  <si>
    <t>377897*****8372</t>
  </si>
  <si>
    <t>377892*****2080</t>
  </si>
  <si>
    <t>377892*****3559</t>
  </si>
  <si>
    <t>377754*****9756</t>
  </si>
  <si>
    <t>377752*****7034</t>
  </si>
  <si>
    <t>**** ****** 1941</t>
  </si>
  <si>
    <t>**** ****** 6993</t>
  </si>
  <si>
    <t>**** ****** 1764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</si>
</sst>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S/&quot;\ #,##0.00;[Red]\-&quot;S/&quot;\ #,##0.00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 * #,##0.00_ ;_ * \-#,##0.00_ ;_ * &quot;-&quot;??_ ;_ @_ "/>
    <numFmt numFmtId="165" formatCode="#,##0.00_ ;[Red]\-#,##0.00\ "/>
    <numFmt numFmtId="166" formatCode="0.00_ ;[Red]\-0.0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3399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3399"/>
      </left>
      <right style="thin">
        <color rgb="FFFF3399"/>
      </right>
      <top style="thin">
        <color rgb="FFFF3399"/>
      </top>
      <bottom style="thin">
        <color rgb="FFFF3399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0" fillId="0" borderId="2" xfId="0" applyBorder="1"/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6" fontId="2" fillId="0" borderId="0" xfId="0" applyNumberFormat="1" applyFont="1" applyAlignment="1">
      <alignment horizontal="center" vertical="center"/>
    </xf>
    <xf numFmtId="2" fontId="0" fillId="0" borderId="0" xfId="0" applyNumberFormat="1"/>
    <xf numFmtId="14" fontId="0" fillId="0" borderId="2" xfId="0" applyNumberFormat="1" applyBorder="1" applyAlignment="1">
      <alignment horizontal="left"/>
    </xf>
    <xf numFmtId="1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/>
    <xf numFmtId="0" fontId="0" fillId="0" borderId="0" xfId="0" applyAlignment="1">
      <alignment horizontal="center"/>
    </xf>
    <xf numFmtId="14" fontId="0" fillId="0" borderId="3" xfId="0" applyNumberFormat="1" applyBorder="1"/>
    <xf numFmtId="0" fontId="0" fillId="0" borderId="3" xfId="0" applyBorder="1"/>
    <xf numFmtId="1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6" fontId="0" fillId="0" borderId="0" xfId="0" applyNumberFormat="1"/>
    <xf numFmtId="14" fontId="0" fillId="0" borderId="2" xfId="0" applyNumberFormat="1" applyBorder="1"/>
    <xf numFmtId="0" fontId="10" fillId="0" borderId="0" xfId="0" applyFont="1"/>
    <xf numFmtId="0" fontId="2" fillId="7" borderId="0" xfId="0" applyFont="1" applyFill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2" fontId="2" fillId="2" borderId="1" xfId="0" applyNumberFormat="1" applyFont="1" applyFill="1" applyBorder="1" applyAlignment="1">
      <alignment vertical="center"/>
    </xf>
    <xf numFmtId="8" fontId="11" fillId="0" borderId="1" xfId="0" applyNumberFormat="1" applyFont="1" applyBorder="1" applyAlignment="1">
      <alignment vertic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6" fillId="7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43" fontId="6" fillId="7" borderId="2" xfId="3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2" fontId="0" fillId="0" borderId="2" xfId="0" applyNumberFormat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9" borderId="2" xfId="0" applyNumberFormat="1" applyFill="1" applyBorder="1" applyAlignment="1">
      <alignment vertical="center"/>
    </xf>
    <xf numFmtId="49" fontId="0" fillId="9" borderId="2" xfId="0" applyNumberFormat="1" applyFill="1" applyBorder="1" applyAlignment="1">
      <alignment vertical="center"/>
    </xf>
    <xf numFmtId="2" fontId="0" fillId="9" borderId="2" xfId="0" applyNumberFormat="1" applyFill="1" applyBorder="1" applyAlignment="1">
      <alignment vertical="center"/>
    </xf>
    <xf numFmtId="43" fontId="3" fillId="5" borderId="0" xfId="3" applyFont="1" applyFill="1" applyAlignment="1">
      <alignment horizontal="center" vertical="center"/>
    </xf>
    <xf numFmtId="43" fontId="2" fillId="4" borderId="0" xfId="3" applyFont="1" applyFill="1"/>
    <xf numFmtId="43" fontId="2" fillId="0" borderId="0" xfId="3" applyFont="1"/>
    <xf numFmtId="14" fontId="0" fillId="11" borderId="2" xfId="0" applyNumberFormat="1" applyFill="1" applyBorder="1" applyAlignment="1">
      <alignment vertical="center"/>
    </xf>
    <xf numFmtId="2" fontId="0" fillId="11" borderId="2" xfId="0" applyNumberFormat="1" applyFill="1" applyBorder="1" applyAlignment="1">
      <alignment vertical="center"/>
    </xf>
    <xf numFmtId="49" fontId="0" fillId="11" borderId="2" xfId="0" applyNumberFormat="1" applyFill="1" applyBorder="1" applyAlignment="1">
      <alignment vertical="center"/>
    </xf>
    <xf numFmtId="0" fontId="0" fillId="0" borderId="9" xfId="0" applyBorder="1"/>
    <xf numFmtId="14" fontId="0" fillId="12" borderId="2" xfId="0" applyNumberFormat="1" applyFill="1" applyBorder="1" applyAlignment="1">
      <alignment vertical="center"/>
    </xf>
    <xf numFmtId="2" fontId="0" fillId="12" borderId="2" xfId="0" applyNumberFormat="1" applyFill="1" applyBorder="1" applyAlignment="1">
      <alignment vertical="center"/>
    </xf>
    <xf numFmtId="49" fontId="0" fillId="12" borderId="2" xfId="0" applyNumberFormat="1" applyFill="1" applyBorder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0" fontId="0" fillId="0" borderId="12" xfId="0" applyBorder="1"/>
    <xf numFmtId="0" fontId="0" fillId="0" borderId="13" xfId="0" applyBorder="1"/>
    <xf numFmtId="14" fontId="0" fillId="0" borderId="13" xfId="0" applyNumberFormat="1" applyBorder="1"/>
    <xf numFmtId="2" fontId="0" fillId="0" borderId="2" xfId="0" applyNumberFormat="1" applyBorder="1"/>
    <xf numFmtId="14" fontId="0" fillId="6" borderId="2" xfId="0" applyNumberFormat="1" applyFill="1" applyBorder="1" applyAlignment="1">
      <alignment vertical="center"/>
    </xf>
    <xf numFmtId="2" fontId="0" fillId="6" borderId="2" xfId="0" applyNumberFormat="1" applyFill="1" applyBorder="1" applyAlignment="1">
      <alignment vertical="center"/>
    </xf>
    <xf numFmtId="49" fontId="0" fillId="6" borderId="2" xfId="0" applyNumberFormat="1" applyFill="1" applyBorder="1" applyAlignment="1">
      <alignment vertical="center"/>
    </xf>
    <xf numFmtId="0" fontId="3" fillId="13" borderId="14" xfId="0" applyFont="1" applyFill="1" applyBorder="1"/>
    <xf numFmtId="0" fontId="3" fillId="13" borderId="15" xfId="0" applyFont="1" applyFill="1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43" fontId="2" fillId="0" borderId="0" xfId="3" applyFont="1" applyFill="1"/>
    <xf numFmtId="0" fontId="2" fillId="14" borderId="1" xfId="0" applyFont="1" applyFill="1" applyBorder="1" applyAlignment="1">
      <alignment vertical="center"/>
    </xf>
    <xf numFmtId="14" fontId="0" fillId="0" borderId="2" xfId="0" applyNumberFormat="1" applyBorder="1" applyAlignment="1">
      <alignment vertical="center"/>
    </xf>
    <xf numFmtId="2" fontId="0" fillId="0" borderId="5" xfId="0" applyNumberFormat="1" applyBorder="1" applyAlignment="1">
      <alignment vertical="center"/>
    </xf>
    <xf numFmtId="49" fontId="0" fillId="0" borderId="16" xfId="0" applyNumberFormat="1" applyBorder="1" applyAlignment="1">
      <alignment horizontal="center" vertical="center"/>
    </xf>
    <xf numFmtId="0" fontId="2" fillId="14" borderId="8" xfId="0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49" fontId="0" fillId="0" borderId="0" xfId="0" applyNumberFormat="1"/>
    <xf numFmtId="0" fontId="0" fillId="0" borderId="17" xfId="0" applyBorder="1"/>
    <xf numFmtId="14" fontId="0" fillId="15" borderId="2" xfId="0" applyNumberFormat="1" applyFill="1" applyBorder="1" applyAlignment="1">
      <alignment vertical="center"/>
    </xf>
    <xf numFmtId="2" fontId="0" fillId="15" borderId="2" xfId="0" applyNumberFormat="1" applyFill="1" applyBorder="1" applyAlignment="1">
      <alignment vertical="center"/>
    </xf>
    <xf numFmtId="2" fontId="0" fillId="15" borderId="5" xfId="0" applyNumberFormat="1" applyFill="1" applyBorder="1" applyAlignment="1">
      <alignment vertical="center"/>
    </xf>
    <xf numFmtId="49" fontId="0" fillId="15" borderId="1" xfId="0" applyNumberFormat="1" applyFill="1" applyBorder="1" applyAlignment="1">
      <alignment horizontal="center" vertical="center"/>
    </xf>
    <xf numFmtId="49" fontId="0" fillId="15" borderId="2" xfId="0" applyNumberFormat="1" applyFill="1" applyBorder="1" applyAlignment="1">
      <alignment vertical="center"/>
    </xf>
    <xf numFmtId="2" fontId="2" fillId="9" borderId="5" xfId="0" applyNumberFormat="1" applyFont="1" applyFill="1" applyBorder="1" applyAlignment="1">
      <alignment vertical="center"/>
    </xf>
    <xf numFmtId="49" fontId="0" fillId="9" borderId="1" xfId="0" applyNumberFormat="1" applyFill="1" applyBorder="1" applyAlignment="1">
      <alignment horizontal="center" vertical="center"/>
    </xf>
    <xf numFmtId="2" fontId="0" fillId="9" borderId="5" xfId="0" applyNumberFormat="1" applyFill="1" applyBorder="1" applyAlignment="1">
      <alignment vertical="center"/>
    </xf>
    <xf numFmtId="49" fontId="2" fillId="9" borderId="1" xfId="0" applyNumberFormat="1" applyFon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2" fontId="0" fillId="12" borderId="5" xfId="0" applyNumberFormat="1" applyFill="1" applyBorder="1" applyAlignment="1">
      <alignment vertical="center"/>
    </xf>
    <xf numFmtId="0" fontId="0" fillId="0" borderId="18" xfId="0" applyBorder="1"/>
    <xf numFmtId="43" fontId="0" fillId="0" borderId="0" xfId="3" applyFont="1" applyFill="1"/>
    <xf numFmtId="43" fontId="0" fillId="0" borderId="0" xfId="3" applyFont="1" applyFill="1" applyBorder="1" applyAlignment="1">
      <alignment horizontal="center"/>
    </xf>
    <xf numFmtId="43" fontId="2" fillId="0" borderId="0" xfId="3" applyFont="1" applyFill="1" applyAlignment="1">
      <alignment horizontal="center" vertical="center"/>
    </xf>
    <xf numFmtId="43" fontId="0" fillId="0" borderId="0" xfId="3" applyFont="1"/>
    <xf numFmtId="43" fontId="0" fillId="0" borderId="0" xfId="3" applyFont="1" applyAlignment="1">
      <alignment horizontal="center"/>
    </xf>
    <xf numFmtId="2" fontId="0" fillId="11" borderId="5" xfId="0" applyNumberFormat="1" applyFill="1" applyBorder="1" applyAlignment="1">
      <alignment vertical="center"/>
    </xf>
    <xf numFmtId="49" fontId="0" fillId="11" borderId="1" xfId="0" applyNumberFormat="1" applyFill="1" applyBorder="1" applyAlignment="1">
      <alignment horizontal="center" vertical="center"/>
    </xf>
    <xf numFmtId="14" fontId="0" fillId="16" borderId="2" xfId="0" applyNumberFormat="1" applyFill="1" applyBorder="1" applyAlignment="1">
      <alignment vertical="center"/>
    </xf>
    <xf numFmtId="2" fontId="0" fillId="16" borderId="2" xfId="0" applyNumberFormat="1" applyFill="1" applyBorder="1" applyAlignment="1">
      <alignment vertical="center"/>
    </xf>
    <xf numFmtId="2" fontId="0" fillId="16" borderId="5" xfId="0" applyNumberFormat="1" applyFill="1" applyBorder="1" applyAlignment="1">
      <alignment vertical="center"/>
    </xf>
    <xf numFmtId="49" fontId="0" fillId="16" borderId="1" xfId="0" applyNumberFormat="1" applyFill="1" applyBorder="1" applyAlignment="1">
      <alignment horizontal="center" vertical="center"/>
    </xf>
    <xf numFmtId="49" fontId="0" fillId="16" borderId="2" xfId="0" applyNumberFormat="1" applyFill="1" applyBorder="1" applyAlignment="1">
      <alignment vertical="center"/>
    </xf>
    <xf numFmtId="2" fontId="2" fillId="16" borderId="5" xfId="0" applyNumberFormat="1" applyFont="1" applyFill="1" applyBorder="1" applyAlignment="1">
      <alignment vertical="center"/>
    </xf>
    <xf numFmtId="49" fontId="0" fillId="0" borderId="2" xfId="0" applyNumberFormat="1" applyBorder="1" applyAlignment="1">
      <alignment vertical="center"/>
    </xf>
    <xf numFmtId="2" fontId="12" fillId="9" borderId="2" xfId="0" applyNumberFormat="1" applyFont="1" applyFill="1" applyBorder="1" applyAlignment="1">
      <alignment vertical="center"/>
    </xf>
    <xf numFmtId="43" fontId="2" fillId="0" borderId="0" xfId="0" applyNumberFormat="1" applyFont="1"/>
    <xf numFmtId="0" fontId="3" fillId="17" borderId="19" xfId="0" applyFont="1" applyFill="1" applyBorder="1"/>
    <xf numFmtId="0" fontId="3" fillId="17" borderId="20" xfId="0" applyFont="1" applyFill="1" applyBorder="1"/>
    <xf numFmtId="0" fontId="0" fillId="0" borderId="19" xfId="0" applyBorder="1"/>
    <xf numFmtId="0" fontId="0" fillId="0" borderId="20" xfId="0" applyBorder="1"/>
    <xf numFmtId="14" fontId="0" fillId="0" borderId="20" xfId="0" applyNumberFormat="1" applyBorder="1"/>
    <xf numFmtId="43" fontId="2" fillId="0" borderId="0" xfId="3" applyFont="1" applyAlignment="1">
      <alignment horizontal="center" vertical="center"/>
    </xf>
    <xf numFmtId="0" fontId="7" fillId="0" borderId="0" xfId="0" applyFont="1" applyAlignment="1">
      <alignment horizontal="center"/>
    </xf>
    <xf numFmtId="43" fontId="2" fillId="6" borderId="0" xfId="3" applyFont="1" applyFill="1" applyAlignment="1">
      <alignment horizontal="center" vertical="center" wrapText="1"/>
    </xf>
    <xf numFmtId="43" fontId="2" fillId="6" borderId="0" xfId="3" applyFont="1" applyFill="1" applyAlignment="1">
      <alignment horizontal="center" vertical="center"/>
    </xf>
    <xf numFmtId="43" fontId="2" fillId="3" borderId="0" xfId="3" applyFont="1" applyFill="1" applyAlignment="1">
      <alignment horizontal="center" vertical="center"/>
    </xf>
    <xf numFmtId="21" fontId="0" fillId="0" borderId="20" xfId="0" applyNumberFormat="1" applyBorder="1"/>
    <xf numFmtId="0" fontId="2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0" fillId="0" borderId="22" xfId="0" applyNumberFormat="1" applyBorder="1"/>
    <xf numFmtId="2" fontId="0" fillId="0" borderId="22" xfId="0" applyNumberFormat="1" applyBorder="1"/>
    <xf numFmtId="43" fontId="2" fillId="4" borderId="22" xfId="3" applyFont="1" applyFill="1" applyBorder="1"/>
    <xf numFmtId="4" fontId="0" fillId="0" borderId="22" xfId="0" applyNumberFormat="1" applyBorder="1"/>
    <xf numFmtId="43" fontId="0" fillId="0" borderId="22" xfId="3" applyFont="1" applyBorder="1"/>
    <xf numFmtId="0" fontId="0" fillId="0" borderId="22" xfId="0" applyBorder="1"/>
    <xf numFmtId="0" fontId="0" fillId="0" borderId="21" xfId="0" applyBorder="1"/>
    <xf numFmtId="43" fontId="0" fillId="0" borderId="20" xfId="3" applyFont="1" applyFill="1" applyBorder="1"/>
    <xf numFmtId="4" fontId="2" fillId="0" borderId="20" xfId="0" applyNumberFormat="1" applyFont="1" applyBorder="1"/>
    <xf numFmtId="0" fontId="3" fillId="8" borderId="0" xfId="0" applyFont="1" applyFill="1" applyAlignment="1">
      <alignment horizontal="center" vertical="center" wrapText="1"/>
    </xf>
    <xf numFmtId="43" fontId="3" fillId="8" borderId="0" xfId="3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3" fontId="0" fillId="9" borderId="0" xfId="3" applyFont="1" applyFill="1"/>
    <xf numFmtId="0" fontId="3" fillId="17" borderId="21" xfId="0" applyFont="1" applyFill="1" applyBorder="1"/>
    <xf numFmtId="0" fontId="3" fillId="13" borderId="9" xfId="0" applyFont="1" applyFill="1" applyBorder="1"/>
    <xf numFmtId="0" fontId="0" fillId="18" borderId="23" xfId="0" applyFill="1" applyBorder="1"/>
    <xf numFmtId="0" fontId="0" fillId="18" borderId="24" xfId="0" applyFill="1" applyBorder="1"/>
    <xf numFmtId="14" fontId="0" fillId="18" borderId="24" xfId="0" applyNumberFormat="1" applyFill="1" applyBorder="1"/>
    <xf numFmtId="0" fontId="0" fillId="18" borderId="25" xfId="0" applyFill="1" applyBorder="1"/>
    <xf numFmtId="0" fontId="0" fillId="0" borderId="23" xfId="0" applyBorder="1"/>
    <xf numFmtId="0" fontId="0" fillId="0" borderId="24" xfId="0" applyBorder="1"/>
    <xf numFmtId="14" fontId="0" fillId="0" borderId="24" xfId="0" applyNumberFormat="1" applyBorder="1"/>
    <xf numFmtId="0" fontId="0" fillId="0" borderId="25" xfId="0" applyBorder="1"/>
    <xf numFmtId="0" fontId="0" fillId="19" borderId="24" xfId="0" applyFill="1" applyBorder="1"/>
    <xf numFmtId="0" fontId="0" fillId="20" borderId="20" xfId="0" applyFill="1" applyBorder="1"/>
    <xf numFmtId="43" fontId="0" fillId="0" borderId="20" xfId="3" applyFont="1" applyBorder="1"/>
    <xf numFmtId="14" fontId="0" fillId="20" borderId="20" xfId="0" applyNumberFormat="1" applyFill="1" applyBorder="1"/>
    <xf numFmtId="43" fontId="0" fillId="20" borderId="20" xfId="3" applyFont="1" applyFill="1" applyBorder="1"/>
    <xf numFmtId="2" fontId="2" fillId="0" borderId="20" xfId="3" applyNumberFormat="1" applyFont="1" applyBorder="1"/>
    <xf numFmtId="0" fontId="0" fillId="4" borderId="20" xfId="0" applyFill="1" applyBorder="1"/>
    <xf numFmtId="43" fontId="2" fillId="0" borderId="20" xfId="3" applyFont="1" applyBorder="1"/>
    <xf numFmtId="4" fontId="2" fillId="0" borderId="20" xfId="3" applyNumberFormat="1" applyFont="1" applyBorder="1"/>
    <xf numFmtId="4" fontId="3" fillId="17" borderId="20" xfId="0" applyNumberFormat="1" applyFont="1" applyFill="1" applyBorder="1"/>
    <xf numFmtId="43" fontId="3" fillId="13" borderId="15" xfId="3" applyFont="1" applyFill="1" applyBorder="1"/>
    <xf numFmtId="43" fontId="0" fillId="0" borderId="15" xfId="3" applyFont="1" applyBorder="1"/>
    <xf numFmtId="0" fontId="0" fillId="4" borderId="15" xfId="0" applyFill="1" applyBorder="1"/>
    <xf numFmtId="4" fontId="2" fillId="0" borderId="15" xfId="3" applyNumberFormat="1" applyFont="1" applyBorder="1"/>
    <xf numFmtId="0" fontId="3" fillId="10" borderId="10" xfId="0" applyFont="1" applyFill="1" applyBorder="1"/>
    <xf numFmtId="0" fontId="3" fillId="10" borderId="11" xfId="0" applyFont="1" applyFill="1" applyBorder="1"/>
    <xf numFmtId="43" fontId="3" fillId="10" borderId="11" xfId="3" applyFont="1" applyFill="1" applyBorder="1"/>
    <xf numFmtId="0" fontId="3" fillId="10" borderId="17" xfId="0" applyFont="1" applyFill="1" applyBorder="1"/>
    <xf numFmtId="43" fontId="0" fillId="0" borderId="11" xfId="3" applyFont="1" applyBorder="1"/>
    <xf numFmtId="43" fontId="0" fillId="0" borderId="13" xfId="3" applyFont="1" applyBorder="1"/>
    <xf numFmtId="43" fontId="2" fillId="21" borderId="0" xfId="3" applyFont="1" applyFill="1"/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4">
    <cellStyle name="Millares" xfId="3" builtinId="3"/>
    <cellStyle name="Millares 2" xfId="1" xr:uid="{600FBC9D-9D24-4C6F-AF22-AF6A501F7719}"/>
    <cellStyle name="Moneda 2" xfId="2" xr:uid="{69C43B4A-33F5-4C0F-9BE5-8281D1152E7B}"/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66FF99"/>
      <color rgb="FFCCCCFF"/>
      <color rgb="FFFFCCCC"/>
      <color rgb="FF33CCFF"/>
      <color rgb="FFFF3399"/>
      <color rgb="FF9999FF"/>
      <color rgb="FFFFCC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" refreshedDate="46146.465317361108" createdVersion="8" refreshedVersion="8" minRefreshableVersion="3" recordCount="13" xr:uid="{22A9CE5F-CE76-4258-A987-3DBCF4D549C7}">
  <cacheSource type="worksheet">
    <worksheetSource ref="A1:X14" sheet="AMEX"/>
  </cacheSource>
  <cacheFields count="24">
    <cacheField name="Codigo" numFmtId="0">
      <sharedItems containsSemiMixedTypes="0" containsString="0" containsNumber="1" containsInteger="1" minValue="1044162" maxValue="1044162"/>
    </cacheField>
    <cacheField name="Producto" numFmtId="0">
      <sharedItems/>
    </cacheField>
    <cacheField name="Tipo_Mov" numFmtId="0">
      <sharedItems/>
    </cacheField>
    <cacheField name="Fecha_Proceso" numFmtId="14">
      <sharedItems containsSemiMixedTypes="0" containsNonDate="0" containsDate="1" containsString="0" minDate="2026-04-01T00:00:00" maxDate="2026-04-19T00:00:00"/>
    </cacheField>
    <cacheField name="Fecha_Lote" numFmtId="14">
      <sharedItems containsNonDate="0" containsDate="1" containsString="0" containsBlank="1" minDate="2026-04-01T00:00:00" maxDate="2026-04-19T00:00:00"/>
    </cacheField>
    <cacheField name="Lote_Manual" numFmtId="0">
      <sharedItems containsString="0" containsBlank="1" containsNumber="1" containsInteger="1" minValue="9996" maxValue="9996"/>
    </cacheField>
    <cacheField name="Lote_Pos" numFmtId="0">
      <sharedItems containsString="0" containsBlank="1" containsNumber="1" containsInteger="1" minValue="870" maxValue="887"/>
    </cacheField>
    <cacheField name="Terminal" numFmtId="0">
      <sharedItems/>
    </cacheField>
    <cacheField name="Voucher" numFmtId="0">
      <sharedItems containsString="0" containsBlank="1" containsNumber="1" containsInteger="1" minValue="2990" maxValue="4070"/>
    </cacheField>
    <cacheField name="Autorizacion" numFmtId="0">
      <sharedItems containsString="0" containsBlank="1" containsNumber="1" containsInteger="1" minValue="139381" maxValue="802638"/>
    </cacheField>
    <cacheField name="Cuotas" numFmtId="0">
      <sharedItems containsString="0" containsBlank="1" containsNumber="1" containsInteger="1" minValue="2" maxValue="6"/>
    </cacheField>
    <cacheField name="Tarjeta" numFmtId="0">
      <sharedItems/>
    </cacheField>
    <cacheField name="Origen" numFmtId="0">
      <sharedItems/>
    </cacheField>
    <cacheField name="Transaccion" numFmtId="0">
      <sharedItems/>
    </cacheField>
    <cacheField name="Fecha_Consumo" numFmtId="14">
      <sharedItems containsNonDate="0" containsDate="1" containsString="0" containsBlank="1" minDate="2026-01-03T00:00:00" maxDate="2026-04-19T00:00:00" count="21">
        <d v="2026-04-01T00:00:00"/>
        <m/>
        <d v="2026-04-02T00:00:00"/>
        <d v="2026-04-03T00:00:00"/>
        <d v="2026-04-07T00:00:00"/>
        <d v="2026-04-10T00:00:00"/>
        <d v="2026-04-11T00:00:00"/>
        <d v="2026-04-18T00:00:00"/>
        <d v="2026-01-25T00:00:00" u="1"/>
        <d v="2026-03-02T00:00:00" u="1"/>
        <d v="2026-01-04T00:00:00" u="1"/>
        <d v="2026-01-28T00:00:00" u="1"/>
        <d v="2026-03-03T00:00:00" u="1"/>
        <d v="2026-01-05T00:00:00" u="1"/>
        <d v="2026-01-24T00:00:00" u="1"/>
        <d v="2026-03-08T00:00:00" u="1"/>
        <d v="2026-01-10T00:00:00" u="1"/>
        <d v="2026-01-03T00:00:00" u="1"/>
        <d v="2026-02-27T00:00:00" u="1"/>
        <d v="2026-03-04T00:00:00" u="1"/>
        <d v="2026-01-06T00:00:00" u="1"/>
      </sharedItems>
    </cacheField>
    <cacheField name="Importe" numFmtId="43">
      <sharedItems containsSemiMixedTypes="0" containsString="0" containsNumber="1" containsInteger="1" minValue="0" maxValue="4999"/>
    </cacheField>
    <cacheField name="Comision" numFmtId="43">
      <sharedItems containsSemiMixedTypes="0" containsString="0" containsNumber="1" minValue="-5" maxValue="199.46"/>
    </cacheField>
    <cacheField name="Comision_Merchant" numFmtId="43">
      <sharedItems containsSemiMixedTypes="0" containsString="0" containsNumber="1" minValue="-5" maxValue="39.89"/>
    </cacheField>
    <cacheField name="IGV" numFmtId="43">
      <sharedItems containsSemiMixedTypes="0" containsString="0" containsNumber="1" minValue="-0.9" maxValue="7.18"/>
    </cacheField>
    <cacheField name="Neto_Parcial" numFmtId="43">
      <sharedItems containsSemiMixedTypes="0" containsString="0" containsNumber="1" minValue="-5.9" maxValue="4792.3599999999997"/>
    </cacheField>
    <cacheField name="Neto_Total" numFmtId="0">
      <sharedItems containsSemiMixedTypes="0" containsString="0" containsNumber="1" minValue="0" maxValue="8626.06"/>
    </cacheField>
    <cacheField name="Fecha_Abono" numFmtId="0">
      <sharedItems containsSemiMixedTypes="0" containsString="0" containsNumber="1" containsInteger="1" minValue="20260407" maxValue="20260421"/>
    </cacheField>
    <cacheField name="Observaciones" numFmtId="0">
      <sharedItems containsMixedTypes="1" containsNumber="1" containsInteger="1" minValue="104101" maxValue="104101"/>
    </cacheField>
    <cacheField name="TIEND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" refreshedDate="46146.465915624998" createdVersion="8" refreshedVersion="8" minRefreshableVersion="3" recordCount="8" xr:uid="{F9396142-3196-4ADC-A2F1-9BDAC228CAAF}">
  <cacheSource type="worksheet">
    <worksheetSource ref="A1:Z9" sheet="DINNERS"/>
  </cacheSource>
  <cacheFields count="26">
    <cacheField name="Código de comercio" numFmtId="0">
      <sharedItems containsString="0" containsBlank="1" containsNumber="1" containsInteger="1" minValue="2000389606" maxValue="2000389606"/>
    </cacheField>
    <cacheField name="Nombre del comercio" numFmtId="0">
      <sharedItems containsBlank="1"/>
    </cacheField>
    <cacheField name="Red" numFmtId="0">
      <sharedItems containsBlank="1"/>
    </cacheField>
    <cacheField name="Origen" numFmtId="0">
      <sharedItems containsBlank="1"/>
    </cacheField>
    <cacheField name="Tipo de transacción" numFmtId="0">
      <sharedItems containsBlank="1"/>
    </cacheField>
    <cacheField name="Fecha de recepción" numFmtId="14">
      <sharedItems containsNonDate="0" containsDate="1" containsString="0" containsBlank="1" minDate="2026-03-25T00:00:00" maxDate="2026-04-15T00:00:00"/>
    </cacheField>
    <cacheField name="Fecha de proceso" numFmtId="14">
      <sharedItems containsNonDate="0" containsDate="1" containsString="0" containsBlank="1" minDate="2026-03-25T00:00:00" maxDate="2026-04-15T00:00:00"/>
    </cacheField>
    <cacheField name="Marca" numFmtId="0">
      <sharedItems containsBlank="1"/>
    </cacheField>
    <cacheField name="N° de tarjeta" numFmtId="0">
      <sharedItems containsBlank="1"/>
    </cacheField>
    <cacheField name="Tipo de tarjeta" numFmtId="0">
      <sharedItems containsBlank="1"/>
    </cacheField>
    <cacheField name="Código de autorización" numFmtId="0">
      <sharedItems containsString="0" containsBlank="1" containsNumber="1" containsInteger="1" minValue="19507" maxValue="73303"/>
    </cacheField>
    <cacheField name="Orden de pago" numFmtId="0">
      <sharedItems containsString="0" containsBlank="1" containsNumber="1" containsInteger="1" minValue="2603270015894775" maxValue="2604160016147574"/>
    </cacheField>
    <cacheField name="Moneda" numFmtId="0">
      <sharedItems containsBlank="1"/>
    </cacheField>
    <cacheField name="Fecha de ticket" numFmtId="14">
      <sharedItems containsNonDate="0" containsDate="1" containsString="0" containsBlank="1" minDate="2026-01-02T00:00:00" maxDate="2026-04-14T00:00:00" count="17">
        <d v="2026-04-13T00:00:00"/>
        <d v="2026-03-28T00:00:00"/>
        <d v="2026-03-27T00:00:00"/>
        <d v="2026-03-24T00:00:00"/>
        <m/>
        <d v="2026-03-09T00:00:00" u="1"/>
        <d v="2026-01-11T00:00:00" u="1"/>
        <d v="2026-01-28T00:00:00" u="1"/>
        <d v="2026-01-02T00:00:00" u="1"/>
        <d v="2026-03-10T00:00:00" u="1"/>
        <d v="2026-01-12T00:00:00" u="1"/>
        <d v="2026-01-24T00:00:00" u="1"/>
        <d v="2026-03-08T00:00:00" u="1"/>
        <d v="2026-03-01T00:00:00" u="1"/>
        <d v="2026-01-29T00:00:00" u="1"/>
        <d v="2026-01-08T00:00:00" u="1"/>
        <d v="2026-03-11T00:00:00" u="1"/>
      </sharedItems>
    </cacheField>
    <cacheField name="N° ticket" numFmtId="0">
      <sharedItems containsString="0" containsBlank="1" containsNumber="1" containsInteger="1" minValue="2441" maxValue="3842"/>
    </cacheField>
    <cacheField name="Estado de ticket" numFmtId="0">
      <sharedItems containsBlank="1"/>
    </cacheField>
    <cacheField name="N° de cuotas" numFmtId="0">
      <sharedItems containsString="0" containsBlank="1" containsNumber="1" containsInteger="1" minValue="3" maxValue="3"/>
    </cacheField>
    <cacheField name="Plazo de pago" numFmtId="0">
      <sharedItems containsBlank="1"/>
    </cacheField>
    <cacheField name="Fecha de pago" numFmtId="14">
      <sharedItems containsNonDate="0" containsDate="1" containsString="0" containsBlank="1" minDate="2026-03-27T00:00:00" maxDate="2026-04-17T00:00:00"/>
    </cacheField>
    <cacheField name="Tipo de comisión" numFmtId="0">
      <sharedItems containsBlank="1"/>
    </cacheField>
    <cacheField name="Valor de comisión" numFmtId="0">
      <sharedItems containsString="0" containsBlank="1" containsNumber="1" minValue="3.95" maxValue="3.95"/>
    </cacheField>
    <cacheField name="Importe del consumo" numFmtId="0">
      <sharedItems containsString="0" containsBlank="1" containsNumber="1" containsInteger="1" minValue="89" maxValue="899"/>
    </cacheField>
    <cacheField name="Comisión del consumo" numFmtId="0">
      <sharedItems containsString="0" containsBlank="1" containsNumber="1" minValue="3.52" maxValue="35.51"/>
    </cacheField>
    <cacheField name="IGV del consumo" numFmtId="0">
      <sharedItems containsString="0" containsBlank="1" containsNumber="1" minValue="0.63" maxValue="6.39"/>
    </cacheField>
    <cacheField name="Importe neto de pago" numFmtId="0">
      <sharedItems containsString="0" containsBlank="1" containsNumber="1" minValue="84.85" maxValue="857.1"/>
    </cacheField>
    <cacheField name="Produc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" refreshedDate="46146.466375000004" createdVersion="8" refreshedVersion="8" minRefreshableVersion="3" recordCount="408" xr:uid="{3ED77A3D-A39E-4FAC-AC46-818DD2290D87}">
  <cacheSource type="worksheet">
    <worksheetSource ref="A1:AG409" sheet="MC"/>
  </cacheSource>
  <cacheFields count="33">
    <cacheField name="Codigo" numFmtId="0">
      <sharedItems containsSemiMixedTypes="0" containsString="0" containsNumber="1" containsInteger="1" minValue="1044162" maxValue="1044162"/>
    </cacheField>
    <cacheField name="Producto" numFmtId="0">
      <sharedItems/>
    </cacheField>
    <cacheField name="Tipo_Mov" numFmtId="0">
      <sharedItems/>
    </cacheField>
    <cacheField name="Fecha_Proceso" numFmtId="14">
      <sharedItems containsSemiMixedTypes="0" containsNonDate="0" containsDate="1" containsString="0" minDate="2026-04-01T00:00:00" maxDate="2026-04-21T00:00:00"/>
    </cacheField>
    <cacheField name="Fecha_Lote" numFmtId="14">
      <sharedItems containsSemiMixedTypes="0" containsNonDate="0" containsDate="1" containsString="0" minDate="2026-04-01T00:00:00" maxDate="2026-04-21T00:00:00"/>
    </cacheField>
    <cacheField name="Lote_Manual" numFmtId="0">
      <sharedItems containsNonDate="0" containsString="0" containsBlank="1"/>
    </cacheField>
    <cacheField name="Lote_Pos" numFmtId="0">
      <sharedItems containsSemiMixedTypes="0" containsString="0" containsNumber="1" containsInteger="1" minValue="870" maxValue="889"/>
    </cacheField>
    <cacheField name="Terminal" numFmtId="0">
      <sharedItems containsMixedTypes="1" containsNumber="1" containsInteger="1" minValue="65656565" maxValue="65656565"/>
    </cacheField>
    <cacheField name="Voucher" numFmtId="0">
      <sharedItems containsSemiMixedTypes="0" containsString="0" containsNumber="1" containsInteger="1" minValue="2958" maxValue="4216"/>
    </cacheField>
    <cacheField name="Autorizacion" numFmtId="0">
      <sharedItems containsMixedTypes="1" containsNumber="1" containsInteger="1" minValue="383" maxValue="996638"/>
    </cacheField>
    <cacheField name="Cuotas" numFmtId="0">
      <sharedItems containsString="0" containsBlank="1" containsNumber="1" containsInteger="1" minValue="2" maxValue="12"/>
    </cacheField>
    <cacheField name="Tarjeta" numFmtId="0">
      <sharedItems/>
    </cacheField>
    <cacheField name="Origen" numFmtId="0">
      <sharedItems/>
    </cacheField>
    <cacheField name="Transaccion" numFmtId="0">
      <sharedItems/>
    </cacheField>
    <cacheField name="Fecha_Consumo" numFmtId="14">
      <sharedItems containsSemiMixedTypes="0" containsNonDate="0" containsDate="1" containsString="0" minDate="2026-04-01T00:00:00" maxDate="2026-04-21T00:00:00" count="2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</sharedItems>
    </cacheField>
    <cacheField name="Importe" numFmtId="43">
      <sharedItems containsSemiMixedTypes="0" containsString="0" containsNumber="1" minValue="19" maxValue="4999"/>
    </cacheField>
    <cacheField name="Status" numFmtId="43">
      <sharedItems/>
    </cacheField>
    <cacheField name="Comision" numFmtId="43">
      <sharedItems containsSemiMixedTypes="0" containsString="0" containsNumber="1" minValue="0.55000000000000004" maxValue="231.95"/>
    </cacheField>
    <cacheField name="Comision_Afecta" numFmtId="43">
      <sharedItems containsSemiMixedTypes="0" containsString="0" containsNumber="1" minValue="0.25" maxValue="41.66"/>
    </cacheField>
    <cacheField name="IGV" numFmtId="43">
      <sharedItems containsSemiMixedTypes="0" containsString="0" containsNumber="1" minValue="0.05" maxValue="7.5"/>
    </cacheField>
    <cacheField name="Neto_Parcial" numFmtId="43">
      <sharedItems containsSemiMixedTypes="0" containsString="0" containsNumber="1" minValue="18.399999999999999" maxValue="4847.42"/>
    </cacheField>
    <cacheField name="Neto_Total" numFmtId="0">
      <sharedItems containsSemiMixedTypes="0" containsString="0" containsNumber="1" minValue="0" maxValue="25415.360000000001"/>
    </cacheField>
    <cacheField name="Fecha_Abono" numFmtId="0">
      <sharedItems containsNonDate="0" containsDate="1" containsString="0" containsBlank="1" minDate="2026-04-06T00:00:00" maxDate="2026-04-22T00:00:00"/>
    </cacheField>
    <cacheField name="Fecha_Abono_8Dig" numFmtId="0">
      <sharedItems containsSemiMixedTypes="0" containsString="0" containsNumber="1" containsInteger="1" minValue="20260406" maxValue="20260421"/>
    </cacheField>
    <cacheField name="Observaciones" numFmtId="0">
      <sharedItems containsString="0" containsBlank="1" containsNumber="1" containsInteger="1" minValue="104101" maxValue="104101"/>
    </cacheField>
    <cacheField name="Tipo_Tarjeta" numFmtId="0">
      <sharedItems containsBlank="1"/>
    </cacheField>
    <cacheField name="Serie_Terminal" numFmtId="0">
      <sharedItems containsSemiMixedTypes="0" containsString="0" containsNumber="1" containsInteger="1" minValue="3908900" maxValue="3908900"/>
    </cacheField>
    <cacheField name="Banco_Emisor" numFmtId="0">
      <sharedItems/>
    </cacheField>
    <cacheField name="Cuota sin interes" numFmtId="0">
      <sharedItems containsBlank="1"/>
    </cacheField>
    <cacheField name="Entidad" numFmtId="0">
      <sharedItems containsBlank="1"/>
    </cacheField>
    <cacheField name="Hora TRX" numFmtId="21">
      <sharedItems containsSemiMixedTypes="0" containsNonDate="0" containsDate="1" containsString="0" minDate="1899-12-30T10:19:28" maxDate="1899-12-30T21:56:23"/>
    </cacheField>
    <cacheField name="Nombre comercial" numFmtId="0">
      <sharedItems/>
    </cacheField>
    <cacheField name="BANC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044162"/>
    <s v=""/>
    <s v="A"/>
    <d v="2026-04-01T00:00:00"/>
    <d v="2026-04-01T00:00:00"/>
    <m/>
    <n v="870"/>
    <s v="PS0002"/>
    <n v="2990"/>
    <n v="232578"/>
    <m/>
    <s v="377892*****0738"/>
    <s v=""/>
    <s v="COMPRA"/>
    <x v="0"/>
    <n v="459"/>
    <n v="18.309999999999999"/>
    <n v="3.66"/>
    <n v="0.66"/>
    <n v="440.03"/>
    <n v="0"/>
    <n v="20260407"/>
    <s v=""/>
    <s v="HONOR MALL DEL SUR"/>
  </r>
  <r>
    <n v="1044162"/>
    <s v=""/>
    <s v="C"/>
    <d v="2026-04-01T00:00:00"/>
    <d v="2026-04-01T00:00:00"/>
    <n v="9996"/>
    <m/>
    <s v=""/>
    <m/>
    <m/>
    <m/>
    <s v=""/>
    <s v=""/>
    <s v="S.E.A."/>
    <x v="0"/>
    <n v="0"/>
    <n v="-5"/>
    <n v="-5"/>
    <n v="-0.9"/>
    <n v="-5.9"/>
    <n v="0"/>
    <n v="20260407"/>
    <s v="Descuento Pendiente"/>
    <s v="HONOR MALL DEL SUR"/>
  </r>
  <r>
    <n v="1044162"/>
    <s v=""/>
    <s v="A"/>
    <d v="2026-04-01T00:00:00"/>
    <m/>
    <m/>
    <m/>
    <s v=""/>
    <m/>
    <m/>
    <m/>
    <s v=""/>
    <s v=""/>
    <s v=""/>
    <x v="1"/>
    <n v="0"/>
    <n v="0"/>
    <n v="0"/>
    <n v="0"/>
    <n v="-5.9"/>
    <n v="434.13"/>
    <n v="20260407"/>
    <n v="104101"/>
    <s v="HONOR MALL DEL SUR"/>
  </r>
  <r>
    <n v="1044162"/>
    <s v=""/>
    <s v="A"/>
    <d v="2026-04-02T00:00:00"/>
    <d v="2026-04-02T00:00:00"/>
    <m/>
    <n v="871"/>
    <s v="PS0002"/>
    <n v="3011"/>
    <n v="662867"/>
    <m/>
    <s v="377892*****9629"/>
    <s v=""/>
    <s v="COMPRA"/>
    <x v="2"/>
    <n v="1248"/>
    <n v="49.8"/>
    <n v="9.9600000000000009"/>
    <n v="1.79"/>
    <n v="1196.4100000000001"/>
    <n v="0"/>
    <n v="20260407"/>
    <s v=""/>
    <s v="HONOR MALL DEL SUR"/>
  </r>
  <r>
    <n v="1044162"/>
    <s v=""/>
    <s v="A"/>
    <d v="2026-04-02T00:00:00"/>
    <d v="2026-04-02T00:00:00"/>
    <m/>
    <n v="871"/>
    <s v="PS0002"/>
    <n v="3013"/>
    <n v="253782"/>
    <m/>
    <s v="377754*****8286"/>
    <s v=""/>
    <s v="COMPRA"/>
    <x v="2"/>
    <n v="1999"/>
    <n v="79.760000000000005"/>
    <n v="15.95"/>
    <n v="2.87"/>
    <n v="1916.37"/>
    <n v="3112.78"/>
    <n v="20260407"/>
    <n v="104101"/>
    <s v="HONOR MALL DEL SUR"/>
  </r>
  <r>
    <n v="1044162"/>
    <s v=""/>
    <s v="A"/>
    <d v="2026-04-03T00:00:00"/>
    <d v="2026-04-03T00:00:00"/>
    <m/>
    <n v="872"/>
    <s v="PS0002"/>
    <n v="3117"/>
    <n v="802638"/>
    <m/>
    <s v="377933*****5047"/>
    <s v=""/>
    <s v="COMPRA"/>
    <x v="3"/>
    <n v="498"/>
    <n v="22.16"/>
    <n v="14.69"/>
    <n v="2.64"/>
    <n v="473.2"/>
    <n v="0"/>
    <n v="20260407"/>
    <s v=""/>
    <s v="HONOR MALL DEL SUR"/>
  </r>
  <r>
    <n v="1044162"/>
    <s v=""/>
    <s v="A"/>
    <d v="2026-04-03T00:00:00"/>
    <d v="2026-04-03T00:00:00"/>
    <m/>
    <n v="872"/>
    <s v="PS0002"/>
    <n v="3121"/>
    <n v="394561"/>
    <m/>
    <s v="377754*****1086"/>
    <s v=""/>
    <s v="COMPRA"/>
    <x v="3"/>
    <n v="89"/>
    <n v="3.55"/>
    <n v="0.71"/>
    <n v="0.13"/>
    <n v="85.32"/>
    <n v="558.52"/>
    <n v="20260407"/>
    <n v="104101"/>
    <s v="HONOR MALL DEL SUR"/>
  </r>
  <r>
    <n v="1044162"/>
    <s v=""/>
    <s v="A"/>
    <d v="2026-04-07T00:00:00"/>
    <d v="2026-04-07T00:00:00"/>
    <m/>
    <n v="876"/>
    <s v="PS0002"/>
    <n v="3383"/>
    <n v="163256"/>
    <n v="2"/>
    <s v="377754*****3034"/>
    <s v=""/>
    <s v="COMPRA"/>
    <x v="4"/>
    <n v="1399"/>
    <n v="55.82"/>
    <n v="11.16"/>
    <n v="2.0099999999999998"/>
    <n v="1341.17"/>
    <n v="1341.17"/>
    <n v="20260409"/>
    <n v="104101"/>
    <s v="HONOR MALL DEL SUR"/>
  </r>
  <r>
    <n v="1044162"/>
    <s v=""/>
    <s v="A"/>
    <d v="2026-04-10T00:00:00"/>
    <d v="2026-04-10T00:00:00"/>
    <m/>
    <n v="879"/>
    <s v="PS0002"/>
    <n v="3539"/>
    <n v="495280"/>
    <m/>
    <s v="377753*****6779"/>
    <s v=""/>
    <s v="COMPRA"/>
    <x v="5"/>
    <n v="149"/>
    <n v="5.95"/>
    <n v="1.19"/>
    <n v="0.21"/>
    <n v="142.84"/>
    <n v="0"/>
    <n v="20260414"/>
    <s v=""/>
    <s v="HONOR MALL DEL SUR"/>
  </r>
  <r>
    <n v="1044162"/>
    <s v=""/>
    <s v="A"/>
    <d v="2026-04-10T00:00:00"/>
    <d v="2026-04-10T00:00:00"/>
    <m/>
    <n v="879"/>
    <s v="PS0002"/>
    <n v="3574"/>
    <n v="306143"/>
    <n v="6"/>
    <s v="377898*****5559"/>
    <s v=""/>
    <s v="COMPRA"/>
    <x v="5"/>
    <n v="1999"/>
    <n v="79.760000000000005"/>
    <n v="15.95"/>
    <n v="2.87"/>
    <n v="1916.37"/>
    <n v="2059.21"/>
    <n v="20260414"/>
    <n v="104101"/>
    <s v="HONOR MALL DEL SUR"/>
  </r>
  <r>
    <n v="1044162"/>
    <s v=""/>
    <s v="A"/>
    <d v="2026-04-11T00:00:00"/>
    <d v="2026-04-11T00:00:00"/>
    <m/>
    <n v="880"/>
    <s v="PS0002"/>
    <n v="3699"/>
    <n v="382666"/>
    <n v="3"/>
    <s v="377754*****1538"/>
    <s v=""/>
    <s v="COMPRA"/>
    <x v="6"/>
    <n v="1399"/>
    <n v="55.82"/>
    <n v="11.16"/>
    <n v="2.0099999999999998"/>
    <n v="1341.17"/>
    <n v="1341.17"/>
    <n v="20260414"/>
    <n v="104101"/>
    <s v="HONOR MALL DEL SUR"/>
  </r>
  <r>
    <n v="1044162"/>
    <s v=""/>
    <s v="A"/>
    <d v="2026-04-18T00:00:00"/>
    <d v="2026-04-18T00:00:00"/>
    <m/>
    <n v="887"/>
    <s v="PS0002"/>
    <n v="4053"/>
    <n v="359311"/>
    <n v="2"/>
    <s v="377897*****8372"/>
    <s v=""/>
    <s v="COMPRA"/>
    <x v="7"/>
    <n v="3999"/>
    <n v="159.56"/>
    <n v="31.91"/>
    <n v="5.74"/>
    <n v="3833.7"/>
    <n v="0"/>
    <n v="20260421"/>
    <s v=""/>
    <s v="HONOR MALL DEL SUR"/>
  </r>
  <r>
    <n v="1044162"/>
    <s v=""/>
    <s v="A"/>
    <d v="2026-04-18T00:00:00"/>
    <d v="2026-04-18T00:00:00"/>
    <m/>
    <n v="887"/>
    <s v="PS0002"/>
    <n v="4070"/>
    <n v="139381"/>
    <m/>
    <s v="377892*****2080"/>
    <s v=""/>
    <s v="COMPRA"/>
    <x v="7"/>
    <n v="4999"/>
    <n v="199.46"/>
    <n v="39.89"/>
    <n v="7.18"/>
    <n v="4792.3599999999997"/>
    <n v="8626.06"/>
    <n v="20260421"/>
    <n v="104101"/>
    <s v="HONOR MALL DEL SU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00389606"/>
    <s v="HONOR MALL DEL SUR"/>
    <s v="IZIPAY"/>
    <s v=""/>
    <s v="CONSUMO"/>
    <d v="2026-04-14T00:00:00"/>
    <d v="2026-04-14T00:00:00"/>
    <s v="DINERS"/>
    <s v="**** ****** 1941"/>
    <s v="LOCAL"/>
    <n v="38147"/>
    <n v="2604160016147574"/>
    <s v="SOLES"/>
    <x v="0"/>
    <n v="3842"/>
    <s v="PROCESADO"/>
    <n v="3"/>
    <s v="2 días"/>
    <d v="2026-04-16T00:00:00"/>
    <s v="PORCENTUAL"/>
    <n v="3.95"/>
    <n v="89"/>
    <n v="3.52"/>
    <n v="0.63"/>
    <n v="84.85"/>
    <s v="CUOTAS SIN INTERESES"/>
  </r>
  <r>
    <n v="2000389606"/>
    <s v="HONOR MALL DEL SUR"/>
    <s v="IZIPAY"/>
    <s v=""/>
    <s v="CONSUMO"/>
    <d v="2026-03-29T00:00:00"/>
    <d v="2026-03-29T00:00:00"/>
    <s v="DINERS"/>
    <s v="**** ****** 6993"/>
    <s v="LOCAL"/>
    <n v="19507"/>
    <n v="2603310015940319"/>
    <s v="SOLES"/>
    <x v="1"/>
    <n v="2645"/>
    <s v="PROCESADO"/>
    <n v="3"/>
    <s v="2 días"/>
    <d v="2026-03-31T00:00:00"/>
    <s v="PORCENTUAL"/>
    <n v="3.95"/>
    <n v="898"/>
    <n v="35.47"/>
    <n v="6.38"/>
    <n v="856.15"/>
    <s v="CUOTAS SIN INTERESES"/>
  </r>
  <r>
    <n v="2000389606"/>
    <s v="HONOR MALL DEL SUR"/>
    <s v="IZIPAY"/>
    <s v=""/>
    <s v="CONSUMO"/>
    <d v="2026-03-28T00:00:00"/>
    <d v="2026-03-28T00:00:00"/>
    <s v="DINERS"/>
    <s v="**** ****** 6993"/>
    <s v="LOCAL"/>
    <n v="73303"/>
    <n v="2603300015927711"/>
    <s v="SOLES"/>
    <x v="2"/>
    <n v="2572"/>
    <s v="PROCESADO"/>
    <n v="3"/>
    <s v="2 días"/>
    <d v="2026-03-30T00:00:00"/>
    <s v="PORCENTUAL"/>
    <n v="3.95"/>
    <n v="898"/>
    <n v="35.47"/>
    <n v="6.38"/>
    <n v="856.15"/>
    <s v="CUOTAS SIN INTERESES"/>
  </r>
  <r>
    <n v="2000389606"/>
    <s v="HONOR MALL DEL SUR"/>
    <s v="IZIPAY"/>
    <s v=""/>
    <s v="CONSUMO"/>
    <d v="2026-03-25T00:00:00"/>
    <d v="2026-03-25T00:00:00"/>
    <s v="DINERS"/>
    <s v="**** ****** 1764"/>
    <s v="LOCAL"/>
    <n v="69619"/>
    <n v="2603270015894775"/>
    <s v="SOLES"/>
    <x v="3"/>
    <n v="2441"/>
    <s v="PROCESADO"/>
    <n v="3"/>
    <s v="2 días"/>
    <d v="2026-03-27T00:00:00"/>
    <s v="PORCENTUAL"/>
    <n v="3.95"/>
    <n v="899"/>
    <n v="35.51"/>
    <n v="6.39"/>
    <n v="857.1"/>
    <s v="CUOTAS SIN INTERESES"/>
  </r>
  <r>
    <m/>
    <m/>
    <m/>
    <m/>
    <m/>
    <m/>
    <m/>
    <m/>
    <m/>
    <m/>
    <m/>
    <m/>
    <m/>
    <x v="4"/>
    <m/>
    <m/>
    <m/>
    <m/>
    <m/>
    <m/>
    <m/>
    <m/>
    <m/>
    <m/>
    <m/>
    <m/>
  </r>
  <r>
    <m/>
    <m/>
    <m/>
    <m/>
    <m/>
    <m/>
    <m/>
    <m/>
    <m/>
    <m/>
    <m/>
    <m/>
    <m/>
    <x v="4"/>
    <m/>
    <m/>
    <m/>
    <m/>
    <m/>
    <m/>
    <m/>
    <m/>
    <m/>
    <m/>
    <m/>
    <m/>
  </r>
  <r>
    <m/>
    <m/>
    <m/>
    <m/>
    <m/>
    <m/>
    <m/>
    <m/>
    <m/>
    <m/>
    <m/>
    <m/>
    <m/>
    <x v="4"/>
    <m/>
    <m/>
    <m/>
    <m/>
    <m/>
    <m/>
    <m/>
    <m/>
    <m/>
    <m/>
    <m/>
    <m/>
  </r>
  <r>
    <m/>
    <m/>
    <m/>
    <m/>
    <m/>
    <m/>
    <m/>
    <m/>
    <m/>
    <m/>
    <m/>
    <m/>
    <m/>
    <x v="4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n v="1044162"/>
    <s v="MC"/>
    <s v="A"/>
    <d v="2026-04-01T00:00:00"/>
    <d v="2026-04-01T00:00:00"/>
    <m/>
    <n v="870"/>
    <s v="PS0002"/>
    <n v="2960"/>
    <n v="81258"/>
    <n v="3"/>
    <s v="553650******2982"/>
    <s v="Nac"/>
    <s v="COM"/>
    <x v="0"/>
    <n v="1248"/>
    <s v="Abonado"/>
    <n v="57.91"/>
    <n v="4.25"/>
    <n v="0.77"/>
    <n v="1189.32"/>
    <n v="1189.32"/>
    <d v="2026-04-06T00:00:00"/>
    <n v="20260406"/>
    <n v="104101"/>
    <s v="CREDITO"/>
    <n v="3908900"/>
    <s v="BBVA"/>
    <s v="SI"/>
    <m/>
    <d v="1899-12-30T13:14:21"/>
    <s v="HONOR MALL DEL SUR"/>
    <s v="BBVA"/>
  </r>
  <r>
    <n v="1044162"/>
    <s v="VA"/>
    <s v="A"/>
    <d v="2026-04-01T00:00:00"/>
    <d v="2026-04-01T00:00:00"/>
    <m/>
    <n v="870"/>
    <s v="PS0002"/>
    <n v="2958"/>
    <n v="266228"/>
    <m/>
    <s v="455788******8285"/>
    <s v="Nac"/>
    <s v="COM"/>
    <x v="0"/>
    <n v="448.9"/>
    <s v="Abonado"/>
    <n v="12.97"/>
    <n v="5.79"/>
    <n v="1.04"/>
    <n v="434.89"/>
    <n v="0"/>
    <m/>
    <n v="20260406"/>
    <m/>
    <s v="DEBITO"/>
    <n v="3908900"/>
    <s v="BCP"/>
    <m/>
    <m/>
    <d v="1899-12-30T12:47:25"/>
    <s v="HONOR MALL DEL SUR"/>
    <s v="BBVA"/>
  </r>
  <r>
    <n v="1044162"/>
    <s v="VA"/>
    <s v="A"/>
    <d v="2026-04-01T00:00:00"/>
    <d v="2026-04-01T00:00:00"/>
    <m/>
    <n v="870"/>
    <s v="PS0002"/>
    <n v="2963"/>
    <n v="8897"/>
    <m/>
    <s v="463401******5458"/>
    <s v="Nac"/>
    <s v="COM"/>
    <x v="0"/>
    <n v="4999"/>
    <s v="Abonado"/>
    <n v="144.47"/>
    <n v="39.49"/>
    <n v="7.11"/>
    <n v="4847.42"/>
    <n v="0"/>
    <m/>
    <n v="20260406"/>
    <m/>
    <s v="CREDITO"/>
    <n v="3908900"/>
    <s v="BCP"/>
    <m/>
    <m/>
    <d v="1899-12-30T13:26:05"/>
    <s v="HONOR MALL DEL SUR"/>
    <s v="BBVA"/>
  </r>
  <r>
    <n v="1044162"/>
    <s v="VA"/>
    <s v="A"/>
    <d v="2026-04-01T00:00:00"/>
    <d v="2026-04-01T00:00:00"/>
    <m/>
    <n v="870"/>
    <s v="PS0002"/>
    <n v="2965"/>
    <n v="877095"/>
    <m/>
    <s v="455788******2216"/>
    <s v="Nac"/>
    <s v="COM"/>
    <x v="0"/>
    <n v="429"/>
    <s v="Abonado"/>
    <n v="12.4"/>
    <n v="5.54"/>
    <n v="1"/>
    <n v="415.6"/>
    <n v="0"/>
    <m/>
    <n v="20260406"/>
    <m/>
    <s v="DEBITO"/>
    <n v="3908900"/>
    <s v="BCP"/>
    <m/>
    <m/>
    <d v="1899-12-30T13:38:55"/>
    <s v="HONOR MALL DEL SUR"/>
    <s v="BBVA"/>
  </r>
  <r>
    <n v="1044162"/>
    <s v="VA"/>
    <s v="A"/>
    <d v="2026-04-01T00:00:00"/>
    <d v="2026-04-01T00:00:00"/>
    <m/>
    <n v="870"/>
    <s v="PS0002"/>
    <n v="2967"/>
    <n v="309566"/>
    <m/>
    <s v="455788******8980"/>
    <s v="Nac"/>
    <s v="COM"/>
    <x v="0"/>
    <n v="149"/>
    <s v="Abonado"/>
    <n v="4.3099999999999996"/>
    <n v="1.93"/>
    <n v="0.35"/>
    <n v="144.34"/>
    <n v="0"/>
    <m/>
    <n v="20260406"/>
    <m/>
    <s v="DEBITO"/>
    <n v="3908900"/>
    <s v="BCP"/>
    <m/>
    <m/>
    <d v="1899-12-30T13:50:15"/>
    <s v="HONOR MALL DEL SUR"/>
    <s v="BBVA"/>
  </r>
  <r>
    <n v="1044162"/>
    <s v="VA"/>
    <s v="A"/>
    <d v="2026-04-01T00:00:00"/>
    <d v="2026-04-01T00:00:00"/>
    <m/>
    <n v="870"/>
    <s v="PS0002"/>
    <n v="2969"/>
    <n v="23243"/>
    <m/>
    <s v="407067******9255"/>
    <s v="Nac"/>
    <s v="COM"/>
    <x v="0"/>
    <n v="629"/>
    <s v="Abonado"/>
    <n v="18.18"/>
    <n v="3.71"/>
    <n v="0.67"/>
    <n v="610.15"/>
    <n v="0"/>
    <m/>
    <n v="20260406"/>
    <m/>
    <s v="CREDITO"/>
    <n v="3908900"/>
    <s v="SCOTIABANK"/>
    <m/>
    <m/>
    <d v="1899-12-30T14:38:44"/>
    <s v="HONOR MALL DEL SUR"/>
    <s v="BBVA"/>
  </r>
  <r>
    <n v="1044162"/>
    <s v="VA"/>
    <s v="A"/>
    <d v="2026-04-01T00:00:00"/>
    <d v="2026-04-01T00:00:00"/>
    <m/>
    <n v="870"/>
    <s v="PS0002"/>
    <n v="2973"/>
    <n v="514762"/>
    <m/>
    <s v="455788******9917"/>
    <s v="Nac"/>
    <s v="COM"/>
    <x v="0"/>
    <n v="1699"/>
    <s v="Abonado"/>
    <n v="49.1"/>
    <n v="21.92"/>
    <n v="3.95"/>
    <n v="1645.95"/>
    <n v="0"/>
    <m/>
    <n v="20260406"/>
    <m/>
    <s v="DEBITO"/>
    <n v="3908900"/>
    <s v="BCP"/>
    <m/>
    <m/>
    <d v="1899-12-30T15:02:31"/>
    <s v="HONOR MALL DEL SUR"/>
    <s v="BBVA"/>
  </r>
  <r>
    <n v="1044162"/>
    <s v="VA"/>
    <s v="A"/>
    <d v="2026-04-01T00:00:00"/>
    <d v="2026-04-01T00:00:00"/>
    <m/>
    <n v="870"/>
    <s v="PS0002"/>
    <n v="2984"/>
    <n v="715830"/>
    <m/>
    <s v="455788******7152"/>
    <s v="Nac"/>
    <s v="COM"/>
    <x v="0"/>
    <n v="63"/>
    <s v="Abonado"/>
    <n v="1.82"/>
    <n v="0.81"/>
    <n v="0.15"/>
    <n v="61.03"/>
    <n v="0"/>
    <m/>
    <n v="20260406"/>
    <m/>
    <s v="DEBITO"/>
    <n v="3908900"/>
    <s v="BCP"/>
    <m/>
    <m/>
    <d v="1899-12-30T17:39:53"/>
    <s v="HONOR MALL DEL SUR"/>
    <s v="BBVA"/>
  </r>
  <r>
    <n v="1044162"/>
    <s v="VA"/>
    <s v="A"/>
    <d v="2026-04-01T00:00:00"/>
    <d v="2026-04-01T00:00:00"/>
    <m/>
    <n v="870"/>
    <s v="PS0002"/>
    <n v="2986"/>
    <n v="174143"/>
    <m/>
    <s v="483039******9147"/>
    <s v="Nac"/>
    <s v="COM"/>
    <x v="0"/>
    <n v="566"/>
    <s v="Abonado"/>
    <n v="16.36"/>
    <n v="4.47"/>
    <n v="0.8"/>
    <n v="548.84"/>
    <n v="0"/>
    <m/>
    <n v="20260406"/>
    <m/>
    <s v="DEBITO"/>
    <n v="3908900"/>
    <s v="IBK PRIVADA"/>
    <m/>
    <m/>
    <d v="1899-12-30T17:40:38"/>
    <s v="HONOR MALL DEL SUR"/>
    <s v="BBVA"/>
  </r>
  <r>
    <n v="1044162"/>
    <s v="VA"/>
    <s v="A"/>
    <d v="2026-04-01T00:00:00"/>
    <d v="2026-04-01T00:00:00"/>
    <m/>
    <n v="870"/>
    <s v="PS0002"/>
    <n v="2988"/>
    <n v="355874"/>
    <m/>
    <s v="414791******4610"/>
    <s v="Nac"/>
    <s v="COM"/>
    <x v="0"/>
    <n v="1149"/>
    <s v="Abonado"/>
    <n v="33.21"/>
    <n v="6.78"/>
    <n v="1.22"/>
    <n v="1114.57"/>
    <n v="0"/>
    <m/>
    <n v="20260406"/>
    <m/>
    <s v="CREDITO"/>
    <n v="3908900"/>
    <s v="BBVA"/>
    <m/>
    <m/>
    <d v="1899-12-30T18:37:35"/>
    <s v="HONOR MALL DEL SUR"/>
    <s v="BBVA"/>
  </r>
  <r>
    <n v="1044162"/>
    <s v="VA"/>
    <s v="A"/>
    <d v="2026-04-01T00:00:00"/>
    <d v="2026-04-01T00:00:00"/>
    <m/>
    <n v="870"/>
    <s v="PS0002"/>
    <n v="2992"/>
    <n v="899964"/>
    <m/>
    <s v="455788******3937"/>
    <s v="Nac"/>
    <s v="COM"/>
    <x v="0"/>
    <n v="629"/>
    <s v="Abonado"/>
    <n v="18.18"/>
    <n v="8.1199999999999992"/>
    <n v="1.46"/>
    <n v="609.36"/>
    <n v="0"/>
    <m/>
    <n v="20260406"/>
    <m/>
    <s v="DEBITO"/>
    <n v="3908900"/>
    <s v="BCP"/>
    <m/>
    <m/>
    <d v="1899-12-30T19:08:31"/>
    <s v="HONOR MALL DEL SUR"/>
    <s v="BBVA"/>
  </r>
  <r>
    <n v="1044162"/>
    <s v="VA"/>
    <s v="A"/>
    <d v="2026-04-01T00:00:00"/>
    <d v="2026-04-01T00:00:00"/>
    <m/>
    <n v="870"/>
    <s v="PS0002"/>
    <n v="2995"/>
    <n v="118963"/>
    <m/>
    <s v="421410******1826"/>
    <s v="Nac"/>
    <s v="COM"/>
    <x v="0"/>
    <n v="459"/>
    <s v="Abonado"/>
    <n v="13.27"/>
    <n v="5.93"/>
    <n v="1.07"/>
    <n v="444.66"/>
    <n v="0"/>
    <m/>
    <n v="20260406"/>
    <m/>
    <s v="DEBITO"/>
    <n v="3908900"/>
    <s v="NACION"/>
    <m/>
    <m/>
    <d v="1899-12-30T19:59:26"/>
    <s v="HONOR MALL DEL SUR"/>
    <s v="BBVA"/>
  </r>
  <r>
    <n v="1044162"/>
    <s v="VA"/>
    <s v="A"/>
    <d v="2026-04-01T00:00:00"/>
    <d v="2026-04-01T00:00:00"/>
    <m/>
    <n v="870"/>
    <s v="PS0002"/>
    <n v="2997"/>
    <n v="200306"/>
    <m/>
    <s v="483039******9147"/>
    <s v="Nac"/>
    <s v="COM"/>
    <x v="0"/>
    <n v="1000"/>
    <s v="Abonado"/>
    <n v="28.9"/>
    <n v="7.9"/>
    <n v="1.42"/>
    <n v="969.68"/>
    <n v="0"/>
    <m/>
    <n v="20260406"/>
    <m/>
    <s v="DEBITO"/>
    <n v="3908900"/>
    <s v="IBK PRIVADA"/>
    <m/>
    <m/>
    <d v="1899-12-30T20:02:01"/>
    <s v="HONOR MALL DEL SUR"/>
    <s v="BBVA"/>
  </r>
  <r>
    <n v="1044162"/>
    <s v="VA"/>
    <s v="A"/>
    <d v="2026-04-01T00:00:00"/>
    <d v="2026-04-01T00:00:00"/>
    <m/>
    <n v="870"/>
    <s v="PS0002"/>
    <n v="3000"/>
    <n v="31007"/>
    <m/>
    <s v="424303******2403"/>
    <s v="Nac"/>
    <s v="COM"/>
    <x v="0"/>
    <n v="31.17"/>
    <s v="Abonado"/>
    <n v="0.9"/>
    <n v="0.4"/>
    <n v="7.0000000000000007E-2"/>
    <n v="30.2"/>
    <n v="0"/>
    <m/>
    <n v="20260406"/>
    <m/>
    <s v="DEBITO"/>
    <n v="3908900"/>
    <s v="VISA LOC"/>
    <m/>
    <m/>
    <d v="1899-12-30T20:32:24"/>
    <s v="HONOR MALL DEL SUR"/>
    <s v="BBVA"/>
  </r>
  <r>
    <n v="1044162"/>
    <s v="VA"/>
    <s v="A"/>
    <d v="2026-04-01T00:00:00"/>
    <d v="2026-04-01T00:00:00"/>
    <m/>
    <n v="870"/>
    <s v="PS0002"/>
    <n v="3002"/>
    <n v="178615"/>
    <m/>
    <s v="491909******4952"/>
    <s v="Nac"/>
    <s v="COM"/>
    <x v="0"/>
    <n v="89"/>
    <s v="Abonado"/>
    <n v="2.57"/>
    <n v="0.7"/>
    <n v="0.13"/>
    <n v="86.3"/>
    <n v="11962.99"/>
    <d v="2026-04-06T00:00:00"/>
    <n v="20260406"/>
    <n v="104101"/>
    <s v="CREDITO"/>
    <n v="3908900"/>
    <s v="BBVA"/>
    <m/>
    <m/>
    <d v="1899-12-30T21:56:23"/>
    <s v="HONOR MALL DEL SUR"/>
    <s v="BBVA"/>
  </r>
  <r>
    <n v="1044162"/>
    <s v="VK"/>
    <s v="A"/>
    <d v="2026-04-01T00:00:00"/>
    <d v="2026-04-01T00:00:00"/>
    <m/>
    <n v="870"/>
    <s v="PS0002"/>
    <n v="2971"/>
    <n v="53609"/>
    <m/>
    <s v="404071******5793"/>
    <s v="Nac"/>
    <s v="COM"/>
    <x v="0"/>
    <n v="1799"/>
    <s v="Abonado"/>
    <n v="51.99"/>
    <n v="14.21"/>
    <n v="2.56"/>
    <n v="1744.45"/>
    <n v="1744.45"/>
    <d v="2026-04-06T00:00:00"/>
    <n v="20260406"/>
    <n v="104101"/>
    <s v="CREDITO"/>
    <n v="3908900"/>
    <s v="SIP MC"/>
    <m/>
    <m/>
    <d v="1899-12-30T14:47:56"/>
    <s v="HONOR MALL DEL SUR"/>
    <s v="BBVA"/>
  </r>
  <r>
    <n v="1044162"/>
    <s v="VA"/>
    <s v="A"/>
    <d v="2026-04-02T00:00:00"/>
    <d v="2026-04-02T00:00:00"/>
    <m/>
    <n v="871"/>
    <s v="PS0002"/>
    <n v="3007"/>
    <n v="745542"/>
    <m/>
    <s v="421355******2349"/>
    <s v="Nac"/>
    <s v="COM"/>
    <x v="1"/>
    <n v="229.8"/>
    <s v="Abonado"/>
    <n v="6.64"/>
    <n v="2.96"/>
    <n v="0.53"/>
    <n v="222.63"/>
    <n v="0"/>
    <m/>
    <n v="20260406"/>
    <m/>
    <s v="DEBITO"/>
    <n v="3908900"/>
    <s v="IBK PRIVADA"/>
    <m/>
    <m/>
    <d v="1899-12-30T10:22:43"/>
    <s v="HONOR MALL DEL SUR"/>
    <s v="BBVA"/>
  </r>
  <r>
    <n v="1044162"/>
    <s v="VA"/>
    <s v="A"/>
    <d v="2026-04-02T00:00:00"/>
    <d v="2026-04-02T00:00:00"/>
    <m/>
    <n v="871"/>
    <s v="PS0002"/>
    <n v="3009"/>
    <n v="709926"/>
    <m/>
    <s v="455788******5232"/>
    <s v="Nac"/>
    <s v="COM"/>
    <x v="1"/>
    <n v="798.9"/>
    <s v="Abonado"/>
    <n v="23.09"/>
    <n v="10.31"/>
    <n v="1.86"/>
    <n v="773.95"/>
    <n v="0"/>
    <m/>
    <n v="20260406"/>
    <m/>
    <s v="DEBITO"/>
    <n v="3908900"/>
    <s v="BCP"/>
    <m/>
    <m/>
    <d v="1899-12-30T12:03:56"/>
    <s v="HONOR MALL DEL SUR"/>
    <s v="BBVA"/>
  </r>
  <r>
    <n v="1044162"/>
    <s v="VA"/>
    <s v="A"/>
    <d v="2026-04-02T00:00:00"/>
    <d v="2026-04-02T00:00:00"/>
    <m/>
    <n v="871"/>
    <s v="PS0002"/>
    <n v="3015"/>
    <n v="913723"/>
    <m/>
    <s v="455788******6834"/>
    <s v="Nac"/>
    <s v="COM"/>
    <x v="1"/>
    <n v="1248"/>
    <s v="Abonado"/>
    <n v="36.07"/>
    <n v="16.100000000000001"/>
    <n v="2.9"/>
    <n v="1209.03"/>
    <n v="0"/>
    <m/>
    <n v="20260406"/>
    <m/>
    <s v="DEBITO"/>
    <n v="3908900"/>
    <s v="BCP"/>
    <m/>
    <m/>
    <d v="1899-12-30T14:14:18"/>
    <s v="HONOR MALL DEL SUR"/>
    <s v="BBVA"/>
  </r>
  <r>
    <n v="1044162"/>
    <s v="VA"/>
    <s v="A"/>
    <d v="2026-04-02T00:00:00"/>
    <d v="2026-04-02T00:00:00"/>
    <m/>
    <n v="871"/>
    <s v="PS0002"/>
    <n v="3017"/>
    <n v="178502"/>
    <m/>
    <s v="455170******4842"/>
    <s v="Nac"/>
    <s v="COM"/>
    <x v="1"/>
    <n v="179.9"/>
    <s v="Abonado"/>
    <n v="5.2"/>
    <n v="2.3199999999999998"/>
    <n v="0.42"/>
    <n v="174.28"/>
    <n v="0"/>
    <m/>
    <n v="20260406"/>
    <m/>
    <s v="DEBITO"/>
    <n v="3908900"/>
    <s v="BBVA"/>
    <m/>
    <m/>
    <d v="1899-12-30T14:43:10"/>
    <s v="HONOR MALL DEL SUR"/>
    <s v="BBVA"/>
  </r>
  <r>
    <n v="1044162"/>
    <s v="VA"/>
    <s v="A"/>
    <d v="2026-04-02T00:00:00"/>
    <d v="2026-04-02T00:00:00"/>
    <m/>
    <n v="871"/>
    <s v="PS0002"/>
    <n v="3028"/>
    <n v="478383"/>
    <m/>
    <s v="404293******1375"/>
    <s v="Nac"/>
    <s v="COM"/>
    <x v="1"/>
    <n v="500"/>
    <s v="Abonado"/>
    <n v="14.45"/>
    <n v="3.95"/>
    <n v="0.71"/>
    <n v="484.84"/>
    <n v="0"/>
    <m/>
    <n v="20260406"/>
    <m/>
    <s v="CREDITO"/>
    <n v="3908900"/>
    <s v="BBVA"/>
    <m/>
    <m/>
    <d v="1899-12-30T16:17:44"/>
    <s v="HONOR MALL DEL SUR"/>
    <s v="BBVA"/>
  </r>
  <r>
    <n v="1044162"/>
    <s v="VA"/>
    <s v="A"/>
    <d v="2026-04-02T00:00:00"/>
    <d v="2026-04-02T00:00:00"/>
    <m/>
    <n v="871"/>
    <s v="PS0002"/>
    <n v="3030"/>
    <n v="7967"/>
    <m/>
    <s v="407876******9543"/>
    <s v="Nac"/>
    <s v="COM"/>
    <x v="1"/>
    <n v="1238"/>
    <s v="Abonado"/>
    <n v="35.78"/>
    <n v="7.31"/>
    <n v="1.32"/>
    <n v="1200.9000000000001"/>
    <n v="0"/>
    <m/>
    <n v="20260406"/>
    <m/>
    <s v="CREDITO"/>
    <n v="3908900"/>
    <s v="BFALABELLA"/>
    <m/>
    <m/>
    <d v="1899-12-30T16:25:54"/>
    <s v="HONOR MALL DEL SUR"/>
    <s v="BBVA"/>
  </r>
  <r>
    <n v="1044162"/>
    <s v="VA"/>
    <s v="A"/>
    <d v="2026-04-02T00:00:00"/>
    <d v="2026-04-02T00:00:00"/>
    <m/>
    <n v="871"/>
    <n v="65656565"/>
    <n v="3032"/>
    <n v="207848"/>
    <m/>
    <s v="455788******9787"/>
    <s v="Nac"/>
    <s v="COM"/>
    <x v="1"/>
    <n v="500"/>
    <s v="Abonado"/>
    <n v="14.45"/>
    <n v="6.45"/>
    <n v="1.1599999999999999"/>
    <n v="484.39"/>
    <n v="0"/>
    <m/>
    <n v="20260406"/>
    <m/>
    <s v="DEBITO"/>
    <n v="3908900"/>
    <s v="BCP"/>
    <m/>
    <s v="Yape"/>
    <d v="1899-12-30T17:03:51"/>
    <s v="HONOR MALL DEL SUR"/>
    <s v="BBVA"/>
  </r>
  <r>
    <n v="1044162"/>
    <s v="VA"/>
    <s v="A"/>
    <d v="2026-04-02T00:00:00"/>
    <d v="2026-04-02T00:00:00"/>
    <m/>
    <n v="871"/>
    <n v="65656565"/>
    <n v="3035"/>
    <n v="177500"/>
    <m/>
    <s v="455788******9787"/>
    <s v="Nac"/>
    <s v="COM"/>
    <x v="1"/>
    <n v="500"/>
    <s v="Abonado"/>
    <n v="14.45"/>
    <n v="6.45"/>
    <n v="1.1599999999999999"/>
    <n v="484.39"/>
    <n v="0"/>
    <m/>
    <n v="20260406"/>
    <m/>
    <s v="DEBITO"/>
    <n v="3908900"/>
    <s v="BCP"/>
    <m/>
    <s v="Yape"/>
    <d v="1899-12-30T17:04:35"/>
    <s v="HONOR MALL DEL SUR"/>
    <s v="BBVA"/>
  </r>
  <r>
    <n v="1044162"/>
    <s v="VA"/>
    <s v="A"/>
    <d v="2026-04-02T00:00:00"/>
    <d v="2026-04-02T00:00:00"/>
    <m/>
    <n v="871"/>
    <n v="65656565"/>
    <n v="3038"/>
    <n v="178388"/>
    <m/>
    <s v="455788******9787"/>
    <s v="Nac"/>
    <s v="COM"/>
    <x v="1"/>
    <n v="248"/>
    <s v="Abonado"/>
    <n v="7.16"/>
    <n v="3.19"/>
    <n v="0.56999999999999995"/>
    <n v="240.27"/>
    <n v="0"/>
    <m/>
    <n v="20260406"/>
    <m/>
    <s v="DEBITO"/>
    <n v="3908900"/>
    <s v="BCP"/>
    <m/>
    <s v="Yape"/>
    <d v="1899-12-30T17:05:10"/>
    <s v="HONOR MALL DEL SUR"/>
    <s v="BBVA"/>
  </r>
  <r>
    <n v="1044162"/>
    <s v="VA"/>
    <s v="A"/>
    <d v="2026-04-02T00:00:00"/>
    <d v="2026-04-02T00:00:00"/>
    <m/>
    <n v="871"/>
    <s v="PS0002"/>
    <n v="3041"/>
    <n v="638357"/>
    <n v="3"/>
    <s v="414791******2720"/>
    <s v="Nac"/>
    <s v="COM"/>
    <x v="1"/>
    <n v="949"/>
    <s v="Abonado"/>
    <n v="44.04"/>
    <n v="5.6"/>
    <n v="1.01"/>
    <n v="903.95"/>
    <n v="0"/>
    <m/>
    <n v="20260406"/>
    <m/>
    <s v="CREDITO"/>
    <n v="3908900"/>
    <s v="BBVA"/>
    <s v="SI"/>
    <m/>
    <d v="1899-12-30T17:09:00"/>
    <s v="HONOR MALL DEL SUR"/>
    <s v="BBVA"/>
  </r>
  <r>
    <n v="1044162"/>
    <s v="VA"/>
    <s v="A"/>
    <d v="2026-04-02T00:00:00"/>
    <d v="2026-04-02T00:00:00"/>
    <m/>
    <n v="871"/>
    <n v="65656565"/>
    <n v="3043"/>
    <n v="274117"/>
    <m/>
    <s v="455788******4900"/>
    <s v="Nac"/>
    <s v="COM"/>
    <x v="1"/>
    <n v="89"/>
    <s v="Abonado"/>
    <n v="2.57"/>
    <n v="1.1499999999999999"/>
    <n v="0.21"/>
    <n v="86.22"/>
    <n v="0"/>
    <m/>
    <n v="20260406"/>
    <m/>
    <s v="DEBITO"/>
    <n v="3908900"/>
    <s v="BCP"/>
    <m/>
    <s v="Yape"/>
    <d v="1899-12-30T17:52:25"/>
    <s v="HONOR MALL DEL SUR"/>
    <s v="BBVA"/>
  </r>
  <r>
    <n v="1044162"/>
    <s v="VA"/>
    <s v="A"/>
    <d v="2026-04-02T00:00:00"/>
    <d v="2026-04-02T00:00:00"/>
    <m/>
    <n v="871"/>
    <s v="PS0002"/>
    <n v="3046"/>
    <n v="919758"/>
    <m/>
    <s v="455170******6354"/>
    <s v="Nac"/>
    <s v="COM"/>
    <x v="1"/>
    <n v="949"/>
    <s v="Abonado"/>
    <n v="27.43"/>
    <n v="12.25"/>
    <n v="2.21"/>
    <n v="919.36"/>
    <n v="0"/>
    <m/>
    <n v="20260406"/>
    <m/>
    <s v="DEBITO"/>
    <n v="3908900"/>
    <s v="BBVA"/>
    <m/>
    <m/>
    <d v="1899-12-30T18:34:10"/>
    <s v="HONOR MALL DEL SUR"/>
    <s v="BBVA"/>
  </r>
  <r>
    <n v="1044162"/>
    <s v="VA"/>
    <s v="A"/>
    <d v="2026-04-02T00:00:00"/>
    <d v="2026-04-02T00:00:00"/>
    <m/>
    <n v="871"/>
    <s v="PS0002"/>
    <n v="3048"/>
    <n v="949814"/>
    <m/>
    <s v="455170******2123"/>
    <s v="Nac"/>
    <s v="COM"/>
    <x v="1"/>
    <n v="1149"/>
    <s v="Abonado"/>
    <n v="33.21"/>
    <n v="14.83"/>
    <n v="2.67"/>
    <n v="1113.1199999999999"/>
    <n v="0"/>
    <m/>
    <n v="20260406"/>
    <m/>
    <s v="DEBITO"/>
    <n v="3908900"/>
    <s v="BBVA"/>
    <m/>
    <m/>
    <d v="1899-12-30T18:42:38"/>
    <s v="HONOR MALL DEL SUR"/>
    <s v="BBVA"/>
  </r>
  <r>
    <n v="1044162"/>
    <s v="VA"/>
    <s v="A"/>
    <d v="2026-04-02T00:00:00"/>
    <d v="2026-04-02T00:00:00"/>
    <m/>
    <n v="871"/>
    <s v="PS0002"/>
    <n v="3050"/>
    <n v="9535"/>
    <m/>
    <s v="428076******1097"/>
    <s v="Nac"/>
    <s v="COM"/>
    <x v="1"/>
    <n v="69"/>
    <s v="Abonado"/>
    <n v="1.99"/>
    <n v="0.26"/>
    <n v="0.05"/>
    <n v="66.959999999999994"/>
    <n v="0"/>
    <m/>
    <n v="20260406"/>
    <m/>
    <s v="CREDITO"/>
    <n v="3908900"/>
    <s v="BCP"/>
    <m/>
    <m/>
    <d v="1899-12-30T19:02:02"/>
    <s v="HONOR MALL DEL SUR"/>
    <s v="BBVA"/>
  </r>
  <r>
    <n v="1044162"/>
    <s v="VA"/>
    <s v="A"/>
    <d v="2026-04-02T00:00:00"/>
    <d v="2026-04-02T00:00:00"/>
    <m/>
    <n v="871"/>
    <s v="PS0002"/>
    <n v="3052"/>
    <n v="68960"/>
    <n v="8"/>
    <s v="447409******5476"/>
    <s v="Nac"/>
    <s v="COM"/>
    <x v="1"/>
    <n v="1799"/>
    <s v="Abonado"/>
    <n v="51.99"/>
    <n v="14.21"/>
    <n v="2.56"/>
    <n v="1744.45"/>
    <n v="0"/>
    <m/>
    <n v="20260406"/>
    <m/>
    <s v="CREDITO"/>
    <n v="3908900"/>
    <s v="BFALABELLA"/>
    <s v="NO"/>
    <m/>
    <d v="1899-12-30T19:16:11"/>
    <s v="HONOR MALL DEL SUR"/>
    <s v="BBVA"/>
  </r>
  <r>
    <n v="1044162"/>
    <s v="VA"/>
    <s v="A"/>
    <d v="2026-04-02T00:00:00"/>
    <d v="2026-04-02T00:00:00"/>
    <m/>
    <n v="871"/>
    <s v="PS0002"/>
    <n v="3054"/>
    <n v="304168"/>
    <m/>
    <s v="454775******2975"/>
    <s v="Nac"/>
    <s v="COM"/>
    <x v="1"/>
    <n v="1799"/>
    <s v="Abonado"/>
    <n v="51.99"/>
    <n v="14.21"/>
    <n v="2.56"/>
    <n v="1744.45"/>
    <n v="0"/>
    <m/>
    <n v="20260406"/>
    <m/>
    <s v="CREDITO"/>
    <n v="3908900"/>
    <s v="IBK PRIVADA"/>
    <m/>
    <m/>
    <d v="1899-12-30T19:30:33"/>
    <s v="HONOR MALL DEL SUR"/>
    <s v="BBVA"/>
  </r>
  <r>
    <n v="1044162"/>
    <s v="VA"/>
    <s v="A"/>
    <d v="2026-04-02T00:00:00"/>
    <d v="2026-04-02T00:00:00"/>
    <m/>
    <n v="871"/>
    <s v="PS0002"/>
    <n v="3056"/>
    <n v="481828"/>
    <m/>
    <s v="455788******7557"/>
    <s v="Nac"/>
    <s v="COM"/>
    <x v="1"/>
    <n v="1799"/>
    <s v="Abonado"/>
    <n v="51.99"/>
    <n v="23.21"/>
    <n v="4.18"/>
    <n v="1742.83"/>
    <n v="0"/>
    <m/>
    <n v="20260406"/>
    <m/>
    <s v="DEBITO"/>
    <n v="3908900"/>
    <s v="BCP"/>
    <m/>
    <m/>
    <d v="1899-12-30T19:41:28"/>
    <s v="HONOR MALL DEL SUR"/>
    <s v="BBVA"/>
  </r>
  <r>
    <n v="1044162"/>
    <s v="VA"/>
    <s v="A"/>
    <d v="2026-04-02T00:00:00"/>
    <d v="2026-04-02T00:00:00"/>
    <m/>
    <n v="871"/>
    <s v="PS0002"/>
    <n v="3058"/>
    <n v="132397"/>
    <m/>
    <s v="428582******4884"/>
    <s v="Nac"/>
    <s v="COM"/>
    <x v="1"/>
    <n v="1799"/>
    <s v="Abonado"/>
    <n v="51.99"/>
    <n v="23.21"/>
    <n v="4.18"/>
    <n v="1742.83"/>
    <n v="0"/>
    <m/>
    <n v="20260406"/>
    <m/>
    <s v="DEBITO"/>
    <n v="3908900"/>
    <s v="SCOTIABANK"/>
    <m/>
    <m/>
    <d v="1899-12-30T19:51:37"/>
    <s v="HONOR MALL DEL SUR"/>
    <s v="BBVA"/>
  </r>
  <r>
    <n v="1044162"/>
    <s v="VA"/>
    <s v="A"/>
    <d v="2026-04-02T00:00:00"/>
    <d v="2026-04-02T00:00:00"/>
    <m/>
    <n v="871"/>
    <s v="PS0002"/>
    <n v="3060"/>
    <n v="617661"/>
    <m/>
    <s v="455788******0642"/>
    <s v="Nac"/>
    <s v="COM"/>
    <x v="1"/>
    <n v="499"/>
    <s v="Abonado"/>
    <n v="14.42"/>
    <n v="6.44"/>
    <n v="1.1599999999999999"/>
    <n v="483.42"/>
    <n v="0"/>
    <m/>
    <n v="20260406"/>
    <m/>
    <s v="DEBITO"/>
    <n v="3908900"/>
    <s v="BCP"/>
    <m/>
    <m/>
    <d v="1899-12-30T20:58:20"/>
    <s v="HONOR MALL DEL SUR"/>
    <s v="BBVA"/>
  </r>
  <r>
    <n v="1044162"/>
    <s v="VA"/>
    <s v="A"/>
    <d v="2026-04-02T00:00:00"/>
    <d v="2026-04-02T00:00:00"/>
    <m/>
    <n v="871"/>
    <s v="PS0002"/>
    <n v="3062"/>
    <n v="611910"/>
    <m/>
    <s v="455788******6060"/>
    <s v="Nac"/>
    <s v="COM"/>
    <x v="1"/>
    <n v="1149"/>
    <s v="Abonado"/>
    <n v="33.21"/>
    <n v="14.83"/>
    <n v="2.67"/>
    <n v="1113.1199999999999"/>
    <n v="0"/>
    <m/>
    <n v="20260406"/>
    <m/>
    <s v="DEBITO"/>
    <n v="3908900"/>
    <s v="BCP"/>
    <m/>
    <m/>
    <d v="1899-12-30T21:02:21"/>
    <s v="HONOR MALL DEL SUR"/>
    <s v="BBVA"/>
  </r>
  <r>
    <n v="1044162"/>
    <s v="VA"/>
    <s v="A"/>
    <d v="2026-04-02T00:00:00"/>
    <d v="2026-04-02T00:00:00"/>
    <m/>
    <n v="871"/>
    <n v="65656565"/>
    <n v="3064"/>
    <n v="122082"/>
    <m/>
    <s v="427158******3689"/>
    <s v="Nac"/>
    <s v="COM"/>
    <x v="1"/>
    <n v="125.8"/>
    <s v="Abonado"/>
    <n v="3.63"/>
    <n v="1.62"/>
    <n v="0.28999999999999998"/>
    <n v="121.88"/>
    <n v="0"/>
    <m/>
    <n v="20260406"/>
    <m/>
    <s v="DEBITO"/>
    <n v="3908900"/>
    <s v="SCOTIABANK"/>
    <m/>
    <s v="SBK Plin"/>
    <d v="1899-12-30T21:20:10"/>
    <s v="HONOR MALL DEL SUR"/>
    <s v="BBVA"/>
  </r>
  <r>
    <n v="1044162"/>
    <s v="VA"/>
    <s v="A"/>
    <d v="2026-04-02T00:00:00"/>
    <d v="2026-04-02T00:00:00"/>
    <m/>
    <n v="871"/>
    <s v="PS0002"/>
    <n v="3067"/>
    <n v="650498"/>
    <m/>
    <s v="455788******2457"/>
    <s v="Nac"/>
    <s v="COM"/>
    <x v="1"/>
    <n v="1699"/>
    <s v="Abonado"/>
    <n v="49.1"/>
    <n v="21.92"/>
    <n v="3.95"/>
    <n v="1645.95"/>
    <n v="0"/>
    <m/>
    <n v="20260406"/>
    <m/>
    <s v="DEBITO"/>
    <n v="3908900"/>
    <s v="BCP"/>
    <m/>
    <m/>
    <d v="1899-12-30T21:26:26"/>
    <s v="HONOR MALL DEL SUR"/>
    <s v="BBVA"/>
  </r>
  <r>
    <n v="1044162"/>
    <s v="VA"/>
    <s v="A"/>
    <d v="2026-04-02T00:00:00"/>
    <d v="2026-04-02T00:00:00"/>
    <m/>
    <n v="871"/>
    <s v="PS0002"/>
    <n v="3069"/>
    <n v="519375"/>
    <m/>
    <s v="455170******7910"/>
    <s v="Nac"/>
    <s v="COM"/>
    <x v="1"/>
    <n v="688"/>
    <s v="Abonado"/>
    <n v="19.88"/>
    <n v="8.8699999999999992"/>
    <n v="1.6"/>
    <n v="666.52"/>
    <n v="0"/>
    <m/>
    <n v="20260406"/>
    <m/>
    <s v="DEBITO"/>
    <n v="3908900"/>
    <s v="BBVA"/>
    <m/>
    <m/>
    <d v="1899-12-30T21:32:23"/>
    <s v="HONOR MALL DEL SUR"/>
    <s v="BBVA"/>
  </r>
  <r>
    <n v="1044162"/>
    <s v="VA"/>
    <s v="A"/>
    <d v="2026-04-02T00:00:00"/>
    <d v="2026-04-02T00:00:00"/>
    <m/>
    <n v="871"/>
    <s v="PS0002"/>
    <n v="3071"/>
    <n v="544773"/>
    <n v="3"/>
    <s v="491914******9203"/>
    <s v="Nac"/>
    <s v="COM"/>
    <x v="1"/>
    <n v="1799"/>
    <s v="Abonado"/>
    <n v="83.47"/>
    <n v="10.61"/>
    <n v="1.91"/>
    <n v="1713.62"/>
    <n v="0"/>
    <m/>
    <n v="20260406"/>
    <m/>
    <s v="CREDITO"/>
    <n v="3908900"/>
    <s v="BBVA"/>
    <s v="SI"/>
    <m/>
    <d v="1899-12-30T21:41:37"/>
    <s v="HONOR MALL DEL SUR"/>
    <s v="BBVA"/>
  </r>
  <r>
    <n v="1044162"/>
    <s v="VA"/>
    <s v="A"/>
    <d v="2026-04-02T00:00:00"/>
    <d v="2026-04-02T00:00:00"/>
    <m/>
    <n v="871"/>
    <s v="PS0002"/>
    <n v="3073"/>
    <n v="120728"/>
    <m/>
    <s v="447409******0160"/>
    <s v="Nac"/>
    <s v="COM"/>
    <x v="1"/>
    <n v="1399"/>
    <s v="Abonado"/>
    <n v="40.43"/>
    <n v="11.05"/>
    <n v="1.99"/>
    <n v="1356.58"/>
    <n v="0"/>
    <m/>
    <n v="20260406"/>
    <m/>
    <s v="CREDITO"/>
    <n v="3908900"/>
    <s v="BFALABELLA"/>
    <m/>
    <m/>
    <d v="1899-12-30T21:48:31"/>
    <s v="HONOR MALL DEL SUR"/>
    <s v="BBVA"/>
  </r>
  <r>
    <n v="1044162"/>
    <s v="VA"/>
    <s v="A"/>
    <d v="2026-04-02T00:00:00"/>
    <d v="2026-04-02T00:00:00"/>
    <m/>
    <n v="871"/>
    <s v="PS0002"/>
    <n v="3075"/>
    <n v="700875"/>
    <m/>
    <s v="455788******7731"/>
    <s v="Nac"/>
    <s v="COM"/>
    <x v="1"/>
    <n v="89"/>
    <s v="Abonado"/>
    <n v="2.57"/>
    <n v="1.1499999999999999"/>
    <n v="0.21"/>
    <n v="86.22"/>
    <n v="22526.16"/>
    <d v="2026-04-06T00:00:00"/>
    <n v="20260406"/>
    <n v="104101"/>
    <s v="DEBITO"/>
    <n v="3908900"/>
    <s v="BCP"/>
    <m/>
    <m/>
    <d v="1899-12-30T21:51:37"/>
    <s v="HONOR MALL DEL SUR"/>
    <s v="BBVA"/>
  </r>
  <r>
    <n v="1044162"/>
    <s v="VA"/>
    <s v="A"/>
    <d v="2026-04-03T00:00:00"/>
    <d v="2026-04-03T00:00:00"/>
    <m/>
    <n v="872"/>
    <s v="PS0002"/>
    <n v="3081"/>
    <n v="300437"/>
    <m/>
    <s v="455788******8255"/>
    <s v="Nac"/>
    <s v="COM"/>
    <x v="2"/>
    <n v="149"/>
    <s v="Abonado"/>
    <n v="4.3099999999999996"/>
    <n v="1.93"/>
    <n v="0.35"/>
    <n v="144.34"/>
    <n v="0"/>
    <m/>
    <n v="20260406"/>
    <m/>
    <s v="DEBITO"/>
    <n v="3908900"/>
    <s v="BCP"/>
    <m/>
    <m/>
    <d v="1899-12-30T12:50:27"/>
    <s v="HONOR MALL DEL SUR"/>
    <s v="BBVA"/>
  </r>
  <r>
    <n v="1044162"/>
    <s v="VA"/>
    <s v="A"/>
    <d v="2026-04-03T00:00:00"/>
    <d v="2026-04-03T00:00:00"/>
    <m/>
    <n v="872"/>
    <s v="PS0002"/>
    <n v="3083"/>
    <n v="125202"/>
    <m/>
    <s v="483039******7905"/>
    <s v="Nac"/>
    <s v="COM"/>
    <x v="2"/>
    <n v="800"/>
    <s v="Abonado"/>
    <n v="23.12"/>
    <n v="6.32"/>
    <n v="1.1399999999999999"/>
    <n v="775.74"/>
    <n v="0"/>
    <m/>
    <n v="20260406"/>
    <m/>
    <s v="DEBITO"/>
    <n v="3908900"/>
    <s v="IBK PRIVADA"/>
    <m/>
    <m/>
    <d v="1899-12-30T12:50:58"/>
    <s v="HONOR MALL DEL SUR"/>
    <s v="BBVA"/>
  </r>
  <r>
    <n v="1044162"/>
    <s v="VA"/>
    <s v="A"/>
    <d v="2026-04-03T00:00:00"/>
    <d v="2026-04-03T00:00:00"/>
    <m/>
    <n v="872"/>
    <s v="PS0002"/>
    <n v="3085"/>
    <n v="906581"/>
    <m/>
    <s v="455103******3275"/>
    <s v="Nac"/>
    <s v="COM"/>
    <x v="2"/>
    <n v="1238"/>
    <s v="Abonado"/>
    <n v="35.78"/>
    <n v="15.97"/>
    <n v="2.87"/>
    <n v="1199.3499999999999"/>
    <n v="0"/>
    <m/>
    <n v="20260406"/>
    <m/>
    <s v="DEBITO"/>
    <n v="3908900"/>
    <s v="BBVA"/>
    <m/>
    <m/>
    <d v="1899-12-30T13:21:01"/>
    <s v="HONOR MALL DEL SUR"/>
    <s v="BBVA"/>
  </r>
  <r>
    <n v="1044162"/>
    <s v="VA"/>
    <s v="A"/>
    <d v="2026-04-03T00:00:00"/>
    <d v="2026-04-03T00:00:00"/>
    <m/>
    <n v="872"/>
    <s v="PS0002"/>
    <n v="3087"/>
    <n v="9817"/>
    <m/>
    <s v="463401******9997"/>
    <s v="Nac"/>
    <s v="COM"/>
    <x v="2"/>
    <n v="459"/>
    <s v="Abonado"/>
    <n v="13.27"/>
    <n v="3.63"/>
    <n v="0.65"/>
    <n v="445.08"/>
    <n v="0"/>
    <m/>
    <n v="20260406"/>
    <m/>
    <s v="CREDITO"/>
    <n v="3908900"/>
    <s v="BCP"/>
    <m/>
    <m/>
    <d v="1899-12-30T13:23:17"/>
    <s v="HONOR MALL DEL SUR"/>
    <s v="BBVA"/>
  </r>
  <r>
    <n v="1044162"/>
    <s v="VA"/>
    <s v="A"/>
    <d v="2026-04-03T00:00:00"/>
    <d v="2026-04-03T00:00:00"/>
    <m/>
    <n v="872"/>
    <s v="PS0002"/>
    <n v="3089"/>
    <n v="504416"/>
    <m/>
    <s v="455788******7392"/>
    <s v="Nac"/>
    <s v="COM"/>
    <x v="2"/>
    <n v="89"/>
    <s v="Abonado"/>
    <n v="2.57"/>
    <n v="1.1499999999999999"/>
    <n v="0.21"/>
    <n v="86.22"/>
    <n v="0"/>
    <m/>
    <n v="20260406"/>
    <m/>
    <s v="DEBITO"/>
    <n v="3908900"/>
    <s v="BCP"/>
    <m/>
    <m/>
    <d v="1899-12-30T14:07:15"/>
    <s v="HONOR MALL DEL SUR"/>
    <s v="BBVA"/>
  </r>
  <r>
    <n v="1044162"/>
    <s v="VA"/>
    <s v="A"/>
    <d v="2026-04-03T00:00:00"/>
    <d v="2026-04-03T00:00:00"/>
    <m/>
    <n v="872"/>
    <s v="PS0002"/>
    <n v="3091"/>
    <n v="540714"/>
    <m/>
    <s v="455788******7392"/>
    <s v="Nac"/>
    <s v="COM"/>
    <x v="2"/>
    <n v="179.9"/>
    <s v="Abonado"/>
    <n v="5.2"/>
    <n v="2.3199999999999998"/>
    <n v="0.42"/>
    <n v="174.28"/>
    <n v="0"/>
    <m/>
    <n v="20260406"/>
    <m/>
    <s v="DEBITO"/>
    <n v="3908900"/>
    <s v="BCP"/>
    <m/>
    <m/>
    <d v="1899-12-30T14:33:08"/>
    <s v="HONOR MALL DEL SUR"/>
    <s v="BBVA"/>
  </r>
  <r>
    <n v="1044162"/>
    <s v="VA"/>
    <s v="A"/>
    <d v="2026-04-03T00:00:00"/>
    <d v="2026-04-03T00:00:00"/>
    <m/>
    <n v="872"/>
    <s v="PS0002"/>
    <n v="3093"/>
    <n v="473771"/>
    <m/>
    <s v="477289******7409"/>
    <s v="Nac"/>
    <s v="COM"/>
    <x v="2"/>
    <n v="529"/>
    <s v="Abonado"/>
    <n v="15.29"/>
    <n v="2.06"/>
    <n v="0.37"/>
    <n v="513.34"/>
    <n v="0"/>
    <m/>
    <n v="20260406"/>
    <m/>
    <s v="CREDITO"/>
    <n v="3908900"/>
    <s v="IBK PRIVADA"/>
    <m/>
    <m/>
    <d v="1899-12-30T14:47:28"/>
    <s v="HONOR MALL DEL SUR"/>
    <s v="BBVA"/>
  </r>
  <r>
    <n v="1044162"/>
    <s v="VA"/>
    <s v="A"/>
    <d v="2026-04-03T00:00:00"/>
    <d v="2026-04-03T00:00:00"/>
    <m/>
    <n v="872"/>
    <s v="PS0002"/>
    <n v="3095"/>
    <n v="193129"/>
    <m/>
    <s v="414791******6023"/>
    <s v="Nac"/>
    <s v="COM"/>
    <x v="2"/>
    <n v="529"/>
    <s v="Abonado"/>
    <n v="15.29"/>
    <n v="3.12"/>
    <n v="0.56000000000000005"/>
    <n v="513.15"/>
    <n v="0"/>
    <m/>
    <n v="20260406"/>
    <m/>
    <s v="CREDITO"/>
    <n v="3908900"/>
    <s v="BBVA"/>
    <m/>
    <m/>
    <d v="1899-12-30T15:04:52"/>
    <s v="HONOR MALL DEL SUR"/>
    <s v="BBVA"/>
  </r>
  <r>
    <n v="1044162"/>
    <s v="VA"/>
    <s v="A"/>
    <d v="2026-04-03T00:00:00"/>
    <d v="2026-04-03T00:00:00"/>
    <m/>
    <n v="872"/>
    <s v="PS0002"/>
    <n v="3097"/>
    <n v="523462"/>
    <m/>
    <s v="455788******9088"/>
    <s v="Nac"/>
    <s v="COM"/>
    <x v="2"/>
    <n v="629"/>
    <s v="Abonado"/>
    <n v="18.18"/>
    <n v="8.1199999999999992"/>
    <n v="1.46"/>
    <n v="609.36"/>
    <n v="0"/>
    <m/>
    <n v="20260406"/>
    <m/>
    <s v="DEBITO"/>
    <n v="3908900"/>
    <s v="BCP"/>
    <m/>
    <m/>
    <d v="1899-12-30T15:12:57"/>
    <s v="HONOR MALL DEL SUR"/>
    <s v="BBVA"/>
  </r>
  <r>
    <n v="1044162"/>
    <s v="VA"/>
    <s v="A"/>
    <d v="2026-04-03T00:00:00"/>
    <d v="2026-04-03T00:00:00"/>
    <m/>
    <n v="872"/>
    <s v="PS0002"/>
    <n v="3108"/>
    <n v="2244"/>
    <m/>
    <s v="463403******8550"/>
    <s v="Nac"/>
    <s v="COM"/>
    <x v="2"/>
    <n v="89"/>
    <s v="Abonado"/>
    <n v="2.57"/>
    <n v="0.52"/>
    <n v="0.09"/>
    <n v="86.34"/>
    <n v="0"/>
    <m/>
    <n v="20260406"/>
    <m/>
    <s v="CREDITO"/>
    <n v="3908900"/>
    <s v="BCP"/>
    <m/>
    <m/>
    <d v="1899-12-30T16:02:19"/>
    <s v="HONOR MALL DEL SUR"/>
    <s v="BBVA"/>
  </r>
  <r>
    <n v="1044162"/>
    <s v="VA"/>
    <s v="A"/>
    <d v="2026-04-03T00:00:00"/>
    <d v="2026-04-03T00:00:00"/>
    <m/>
    <n v="872"/>
    <s v="PS0002"/>
    <n v="3111"/>
    <n v="25173"/>
    <m/>
    <s v="415297******9385"/>
    <s v="Nac"/>
    <s v="COM"/>
    <x v="2"/>
    <n v="1149"/>
    <s v="Abonado"/>
    <n v="33.21"/>
    <n v="14.83"/>
    <n v="2.67"/>
    <n v="1113.1199999999999"/>
    <n v="0"/>
    <m/>
    <n v="20260406"/>
    <m/>
    <s v="DEBITO"/>
    <n v="3908900"/>
    <s v="IBK PRIVADA"/>
    <m/>
    <m/>
    <d v="1899-12-30T16:13:22"/>
    <s v="HONOR MALL DEL SUR"/>
    <s v="BBVA"/>
  </r>
  <r>
    <n v="1044162"/>
    <s v="VA"/>
    <s v="A"/>
    <d v="2026-04-03T00:00:00"/>
    <d v="2026-04-03T00:00:00"/>
    <m/>
    <n v="872"/>
    <s v="PS0002"/>
    <n v="3113"/>
    <n v="485728"/>
    <m/>
    <s v="444354******3130"/>
    <s v="Nac"/>
    <s v="COM"/>
    <x v="2"/>
    <n v="1699"/>
    <s v="Abonado"/>
    <n v="49.1"/>
    <n v="10.02"/>
    <n v="1.8"/>
    <n v="1648.1"/>
    <n v="0"/>
    <m/>
    <n v="20260406"/>
    <m/>
    <s v="CREDITO"/>
    <n v="3908900"/>
    <s v="BBVA"/>
    <m/>
    <m/>
    <d v="1899-12-30T17:06:07"/>
    <s v="HONOR MALL DEL SUR"/>
    <s v="BBVA"/>
  </r>
  <r>
    <n v="1044162"/>
    <s v="VA"/>
    <s v="A"/>
    <d v="2026-04-03T00:00:00"/>
    <d v="2026-04-03T00:00:00"/>
    <m/>
    <n v="872"/>
    <s v="PS0002"/>
    <n v="3115"/>
    <n v="500956"/>
    <m/>
    <s v="444354******3130"/>
    <s v="Nac"/>
    <s v="COM"/>
    <x v="2"/>
    <n v="99"/>
    <s v="Abonado"/>
    <n v="2.86"/>
    <n v="0.57999999999999996"/>
    <n v="0.1"/>
    <n v="96.04"/>
    <n v="0"/>
    <m/>
    <n v="20260406"/>
    <m/>
    <s v="CREDITO"/>
    <n v="3908900"/>
    <s v="BBVA"/>
    <m/>
    <m/>
    <d v="1899-12-30T17:12:16"/>
    <s v="HONOR MALL DEL SUR"/>
    <s v="BBVA"/>
  </r>
  <r>
    <n v="1044162"/>
    <s v="VA"/>
    <s v="A"/>
    <d v="2026-04-03T00:00:00"/>
    <d v="2026-04-03T00:00:00"/>
    <m/>
    <n v="872"/>
    <s v="PS0002"/>
    <n v="3119"/>
    <n v="418997"/>
    <m/>
    <s v="447411******0581"/>
    <s v="Nac"/>
    <s v="COM"/>
    <x v="2"/>
    <n v="568"/>
    <s v="Abonado"/>
    <n v="16.420000000000002"/>
    <n v="7.33"/>
    <n v="1.32"/>
    <n v="550.26"/>
    <n v="0"/>
    <m/>
    <n v="20260406"/>
    <m/>
    <s v="DEBITO"/>
    <n v="3908900"/>
    <s v="BFALABELLA"/>
    <m/>
    <m/>
    <d v="1899-12-30T17:31:12"/>
    <s v="HONOR MALL DEL SUR"/>
    <s v="BBVA"/>
  </r>
  <r>
    <n v="1044162"/>
    <s v="VA"/>
    <s v="A"/>
    <d v="2026-04-03T00:00:00"/>
    <d v="2026-04-03T00:00:00"/>
    <m/>
    <n v="872"/>
    <n v="65656565"/>
    <n v="3125"/>
    <n v="903667"/>
    <m/>
    <s v="455788******1344"/>
    <s v="Nac"/>
    <s v="COM"/>
    <x v="2"/>
    <n v="500"/>
    <s v="Abonado"/>
    <n v="14.45"/>
    <n v="6.45"/>
    <n v="1.1599999999999999"/>
    <n v="484.39"/>
    <n v="0"/>
    <m/>
    <n v="20260406"/>
    <m/>
    <s v="DEBITO"/>
    <n v="3908900"/>
    <s v="BCP"/>
    <m/>
    <s v="Yape"/>
    <d v="1899-12-30T19:33:10"/>
    <s v="HONOR MALL DEL SUR"/>
    <s v="BBVA"/>
  </r>
  <r>
    <n v="1044162"/>
    <s v="VA"/>
    <s v="A"/>
    <d v="2026-04-03T00:00:00"/>
    <d v="2026-04-03T00:00:00"/>
    <m/>
    <n v="872"/>
    <n v="65656565"/>
    <n v="3128"/>
    <n v="904871"/>
    <m/>
    <s v="455788******1344"/>
    <s v="Nac"/>
    <s v="COM"/>
    <x v="2"/>
    <n v="449"/>
    <s v="Abonado"/>
    <n v="12.97"/>
    <n v="5.79"/>
    <n v="1.04"/>
    <n v="434.99"/>
    <n v="0"/>
    <m/>
    <n v="20260406"/>
    <m/>
    <s v="DEBITO"/>
    <n v="3908900"/>
    <s v="BCP"/>
    <m/>
    <s v="Yape"/>
    <d v="1899-12-30T19:33:54"/>
    <s v="HONOR MALL DEL SUR"/>
    <s v="BBVA"/>
  </r>
  <r>
    <n v="1044162"/>
    <s v="VA"/>
    <s v="A"/>
    <d v="2026-04-03T00:00:00"/>
    <d v="2026-04-03T00:00:00"/>
    <m/>
    <n v="872"/>
    <s v="PS0002"/>
    <n v="3131"/>
    <n v="911370"/>
    <m/>
    <s v="455788******8722"/>
    <s v="Nac"/>
    <s v="COM"/>
    <x v="2"/>
    <n v="1699"/>
    <s v="Abonado"/>
    <n v="49.1"/>
    <n v="21.92"/>
    <n v="3.95"/>
    <n v="1645.95"/>
    <n v="0"/>
    <m/>
    <n v="20260406"/>
    <m/>
    <s v="DEBITO"/>
    <n v="3908900"/>
    <s v="BCP"/>
    <m/>
    <m/>
    <d v="1899-12-30T19:37:54"/>
    <s v="HONOR MALL DEL SUR"/>
    <s v="BBVA"/>
  </r>
  <r>
    <n v="1044162"/>
    <s v="VA"/>
    <s v="A"/>
    <d v="2026-04-03T00:00:00"/>
    <d v="2026-04-03T00:00:00"/>
    <m/>
    <n v="872"/>
    <s v="PS0002"/>
    <n v="3133"/>
    <n v="5793"/>
    <m/>
    <s v="455788******6042"/>
    <s v="Nac"/>
    <s v="COM"/>
    <x v="2"/>
    <n v="1008"/>
    <s v="Abonado"/>
    <n v="29.13"/>
    <n v="13"/>
    <n v="2.34"/>
    <n v="976.53"/>
    <n v="0"/>
    <m/>
    <n v="20260406"/>
    <m/>
    <s v="DEBITO"/>
    <n v="3908900"/>
    <s v="BCP"/>
    <m/>
    <m/>
    <d v="1899-12-30T19:54:07"/>
    <s v="HONOR MALL DEL SUR"/>
    <s v="BBVA"/>
  </r>
  <r>
    <n v="1044162"/>
    <s v="VA"/>
    <s v="A"/>
    <d v="2026-04-03T00:00:00"/>
    <d v="2026-04-03T00:00:00"/>
    <m/>
    <n v="872"/>
    <n v="65656565"/>
    <n v="3135"/>
    <n v="107237"/>
    <m/>
    <s v="455788******7516"/>
    <s v="Nac"/>
    <s v="COM"/>
    <x v="2"/>
    <n v="159"/>
    <s v="Abonado"/>
    <n v="4.59"/>
    <n v="2.0499999999999998"/>
    <n v="0.37"/>
    <n v="154.04"/>
    <n v="0"/>
    <m/>
    <n v="20260406"/>
    <m/>
    <s v="DEBITO"/>
    <n v="3908900"/>
    <s v="BCP"/>
    <m/>
    <s v="Yape"/>
    <d v="1899-12-30T20:58:12"/>
    <s v="HONOR MALL DEL SUR"/>
    <s v="BBVA"/>
  </r>
  <r>
    <n v="1044162"/>
    <s v="VA"/>
    <s v="A"/>
    <d v="2026-04-03T00:00:00"/>
    <d v="2026-04-03T00:00:00"/>
    <m/>
    <n v="872"/>
    <n v="65656565"/>
    <n v="3140"/>
    <n v="213351"/>
    <m/>
    <s v="455170******4955"/>
    <s v="Nac"/>
    <s v="COM"/>
    <x v="2"/>
    <n v="529"/>
    <s v="Abonado"/>
    <n v="15.28"/>
    <n v="6.82"/>
    <n v="1.23"/>
    <n v="512.49"/>
    <n v="12163.11"/>
    <d v="2026-04-06T00:00:00"/>
    <n v="20260406"/>
    <n v="104101"/>
    <s v="DEBITO"/>
    <n v="3908900"/>
    <s v="BBVA"/>
    <m/>
    <s v="BBVA Plin"/>
    <d v="1899-12-30T21:36:46"/>
    <s v="HONOR MALL DEL SUR"/>
    <s v="BBVA"/>
  </r>
  <r>
    <n v="1044162"/>
    <s v="MC"/>
    <s v="A"/>
    <d v="2026-04-04T00:00:00"/>
    <d v="2026-04-04T00:00:00"/>
    <m/>
    <n v="873"/>
    <s v="PS0002"/>
    <n v="3150"/>
    <n v="548270"/>
    <m/>
    <s v="525435******8474"/>
    <s v="Nac"/>
    <s v="COM"/>
    <x v="3"/>
    <n v="129"/>
    <s v="Abonado"/>
    <n v="3.73"/>
    <n v="1.02"/>
    <n v="0.18"/>
    <n v="125.09"/>
    <n v="125.09"/>
    <d v="2026-04-06T00:00:00"/>
    <n v="20260406"/>
    <n v="104101"/>
    <s v="CREDITO"/>
    <n v="3908900"/>
    <s v="BRIPLEY"/>
    <m/>
    <m/>
    <d v="1899-12-30T10:51:06"/>
    <s v="HONOR MALL DEL SUR"/>
    <s v="BBVA"/>
  </r>
  <r>
    <n v="1044162"/>
    <s v="VA"/>
    <s v="A"/>
    <d v="2026-04-04T00:00:00"/>
    <d v="2026-04-04T00:00:00"/>
    <m/>
    <n v="873"/>
    <s v="PS0002"/>
    <n v="3152"/>
    <n v="35184"/>
    <m/>
    <s v="421410******2955"/>
    <s v="Nac"/>
    <s v="COM"/>
    <x v="3"/>
    <n v="529"/>
    <s v="Abonado"/>
    <n v="15.29"/>
    <n v="6.83"/>
    <n v="1.23"/>
    <n v="512.48"/>
    <n v="0"/>
    <m/>
    <n v="20260406"/>
    <m/>
    <s v="DEBITO"/>
    <n v="3908900"/>
    <s v="NACION"/>
    <m/>
    <m/>
    <d v="1899-12-30T11:17:36"/>
    <s v="HONOR MALL DEL SUR"/>
    <s v="BBVA"/>
  </r>
  <r>
    <n v="1044162"/>
    <s v="VA"/>
    <s v="A"/>
    <d v="2026-04-04T00:00:00"/>
    <d v="2026-04-04T00:00:00"/>
    <m/>
    <n v="873"/>
    <s v="PS0002"/>
    <n v="3154"/>
    <n v="688895"/>
    <m/>
    <s v="455788******4897"/>
    <s v="Nac"/>
    <s v="COM"/>
    <x v="3"/>
    <n v="459"/>
    <s v="Abonado"/>
    <n v="13.27"/>
    <n v="5.93"/>
    <n v="1.07"/>
    <n v="444.66"/>
    <n v="0"/>
    <m/>
    <n v="20260406"/>
    <m/>
    <s v="DEBITO"/>
    <n v="3908900"/>
    <s v="BCP"/>
    <m/>
    <m/>
    <d v="1899-12-30T11:45:31"/>
    <s v="HONOR MALL DEL SUR"/>
    <s v="BBVA"/>
  </r>
  <r>
    <n v="1044162"/>
    <s v="VA"/>
    <s v="A"/>
    <d v="2026-04-04T00:00:00"/>
    <d v="2026-04-04T00:00:00"/>
    <m/>
    <n v="873"/>
    <s v="PS0002"/>
    <n v="3156"/>
    <n v="120628"/>
    <m/>
    <s v="483039******9147"/>
    <s v="Nac"/>
    <s v="COM"/>
    <x v="3"/>
    <n v="534"/>
    <s v="Abonado"/>
    <n v="15.43"/>
    <n v="4.22"/>
    <n v="0.76"/>
    <n v="517.80999999999995"/>
    <n v="0"/>
    <m/>
    <n v="20260406"/>
    <m/>
    <s v="DEBITO"/>
    <n v="3908900"/>
    <s v="IBK PRIVADA"/>
    <m/>
    <m/>
    <d v="1899-12-30T12:05:24"/>
    <s v="HONOR MALL DEL SUR"/>
    <s v="BBVA"/>
  </r>
  <r>
    <n v="1044162"/>
    <s v="VA"/>
    <s v="A"/>
    <d v="2026-04-04T00:00:00"/>
    <d v="2026-04-04T00:00:00"/>
    <m/>
    <n v="873"/>
    <s v="PS0002"/>
    <n v="3158"/>
    <n v="121508"/>
    <m/>
    <s v="483039******7905"/>
    <s v="Nac"/>
    <s v="COM"/>
    <x v="3"/>
    <n v="597"/>
    <s v="Abonado"/>
    <n v="17.25"/>
    <n v="4.71"/>
    <n v="0.85"/>
    <n v="578.9"/>
    <n v="0"/>
    <m/>
    <n v="20260406"/>
    <m/>
    <s v="DEBITO"/>
    <n v="3908900"/>
    <s v="IBK PRIVADA"/>
    <m/>
    <m/>
    <d v="1899-12-30T12:14:04"/>
    <s v="HONOR MALL DEL SUR"/>
    <s v="BBVA"/>
  </r>
  <r>
    <n v="1044162"/>
    <s v="VA"/>
    <s v="A"/>
    <d v="2026-04-04T00:00:00"/>
    <d v="2026-04-04T00:00:00"/>
    <m/>
    <n v="873"/>
    <s v="PS0002"/>
    <n v="3160"/>
    <n v="623572"/>
    <m/>
    <s v="421355******1430"/>
    <s v="Nac"/>
    <s v="COM"/>
    <x v="3"/>
    <n v="89"/>
    <s v="Abonado"/>
    <n v="2.57"/>
    <n v="1.1499999999999999"/>
    <n v="0.21"/>
    <n v="86.22"/>
    <n v="0"/>
    <m/>
    <n v="20260406"/>
    <m/>
    <s v="DEBITO"/>
    <n v="3908900"/>
    <s v="IBK PRIVADA"/>
    <m/>
    <m/>
    <d v="1899-12-30T13:03:03"/>
    <s v="HONOR MALL DEL SUR"/>
    <s v="BBVA"/>
  </r>
  <r>
    <n v="1044162"/>
    <s v="VA"/>
    <s v="A"/>
    <d v="2026-04-04T00:00:00"/>
    <d v="2026-04-04T00:00:00"/>
    <m/>
    <n v="873"/>
    <s v="PS0002"/>
    <n v="3162"/>
    <n v="943369"/>
    <m/>
    <s v="455788******6653"/>
    <s v="Nac"/>
    <s v="COM"/>
    <x v="3"/>
    <n v="268"/>
    <s v="Abonado"/>
    <n v="7.75"/>
    <n v="3.46"/>
    <n v="0.62"/>
    <n v="259.63"/>
    <n v="0"/>
    <m/>
    <n v="20260406"/>
    <m/>
    <s v="DEBITO"/>
    <n v="3908900"/>
    <s v="BCP"/>
    <m/>
    <m/>
    <d v="1899-12-30T13:14:11"/>
    <s v="HONOR MALL DEL SUR"/>
    <s v="BBVA"/>
  </r>
  <r>
    <n v="1044162"/>
    <s v="VA"/>
    <s v="A"/>
    <d v="2026-04-04T00:00:00"/>
    <d v="2026-04-04T00:00:00"/>
    <m/>
    <n v="873"/>
    <s v="PS0002"/>
    <n v="3164"/>
    <n v="67110"/>
    <m/>
    <s v="455788******3050"/>
    <s v="Nac"/>
    <s v="COM"/>
    <x v="3"/>
    <n v="69"/>
    <s v="Abonado"/>
    <n v="1.99"/>
    <n v="0.89"/>
    <n v="0.16"/>
    <n v="66.849999999999994"/>
    <n v="0"/>
    <m/>
    <n v="20260406"/>
    <m/>
    <s v="DEBITO"/>
    <n v="3908900"/>
    <s v="BCP"/>
    <m/>
    <m/>
    <d v="1899-12-30T15:09:18"/>
    <s v="HONOR MALL DEL SUR"/>
    <s v="BBVA"/>
  </r>
  <r>
    <n v="1044162"/>
    <s v="VA"/>
    <s v="A"/>
    <d v="2026-04-04T00:00:00"/>
    <d v="2026-04-04T00:00:00"/>
    <m/>
    <n v="873"/>
    <s v="PS0002"/>
    <n v="3175"/>
    <n v="512272"/>
    <n v="5"/>
    <s v="454775******0941"/>
    <s v="Nac"/>
    <s v="COM"/>
    <x v="3"/>
    <n v="529"/>
    <s v="Abonado"/>
    <n v="15.29"/>
    <n v="4.18"/>
    <n v="0.75"/>
    <n v="512.96"/>
    <n v="0"/>
    <m/>
    <n v="20260406"/>
    <m/>
    <s v="CREDITO"/>
    <n v="3908900"/>
    <s v="IBK PRIVADA"/>
    <s v="NO"/>
    <m/>
    <d v="1899-12-30T15:51:14"/>
    <s v="HONOR MALL DEL SUR"/>
    <s v="BBVA"/>
  </r>
  <r>
    <n v="1044162"/>
    <s v="VA"/>
    <s v="A"/>
    <d v="2026-04-04T00:00:00"/>
    <d v="2026-04-04T00:00:00"/>
    <m/>
    <n v="873"/>
    <s v="PS0002"/>
    <n v="3177"/>
    <n v="564684"/>
    <m/>
    <s v="447409******6117"/>
    <s v="Nac"/>
    <s v="COM"/>
    <x v="3"/>
    <n v="629"/>
    <s v="Abonado"/>
    <n v="18.18"/>
    <n v="4.97"/>
    <n v="0.89"/>
    <n v="609.92999999999995"/>
    <n v="0"/>
    <m/>
    <n v="20260406"/>
    <m/>
    <s v="CREDITO"/>
    <n v="3908900"/>
    <s v="BFALABELLA"/>
    <m/>
    <m/>
    <d v="1899-12-30T16:06:51"/>
    <s v="HONOR MALL DEL SUR"/>
    <s v="BBVA"/>
  </r>
  <r>
    <n v="1044162"/>
    <s v="VA"/>
    <s v="A"/>
    <d v="2026-04-04T00:00:00"/>
    <d v="2026-04-04T00:00:00"/>
    <m/>
    <n v="873"/>
    <s v="PS0002"/>
    <n v="3179"/>
    <n v="98141"/>
    <m/>
    <s v="421410******2288"/>
    <s v="Nac"/>
    <s v="COM"/>
    <x v="3"/>
    <n v="1799"/>
    <s v="Abonado"/>
    <n v="51.99"/>
    <n v="23.21"/>
    <n v="4.18"/>
    <n v="1742.83"/>
    <n v="0"/>
    <m/>
    <n v="20260406"/>
    <m/>
    <s v="DEBITO"/>
    <n v="3908900"/>
    <s v="NACION"/>
    <m/>
    <m/>
    <d v="1899-12-30T16:19:18"/>
    <s v="HONOR MALL DEL SUR"/>
    <s v="BBVA"/>
  </r>
  <r>
    <n v="1044162"/>
    <s v="VA"/>
    <s v="A"/>
    <d v="2026-04-04T00:00:00"/>
    <d v="2026-04-04T00:00:00"/>
    <m/>
    <n v="873"/>
    <s v="PS0002"/>
    <n v="3183"/>
    <n v="8454"/>
    <m/>
    <s v="428076******9118"/>
    <s v="Nac"/>
    <s v="COM"/>
    <x v="3"/>
    <n v="1999"/>
    <s v="Abonado"/>
    <n v="57.77"/>
    <n v="7.79"/>
    <n v="1.4"/>
    <n v="1939.83"/>
    <n v="0"/>
    <m/>
    <n v="20260406"/>
    <m/>
    <s v="CREDITO"/>
    <n v="3908900"/>
    <s v="BCP"/>
    <m/>
    <m/>
    <d v="1899-12-30T16:31:58"/>
    <s v="HONOR MALL DEL SUR"/>
    <s v="BBVA"/>
  </r>
  <r>
    <n v="1044162"/>
    <s v="VA"/>
    <s v="A"/>
    <d v="2026-04-04T00:00:00"/>
    <d v="2026-04-04T00:00:00"/>
    <m/>
    <n v="873"/>
    <s v="PS0002"/>
    <n v="3185"/>
    <n v="589811"/>
    <n v="2"/>
    <s v="447409******3530"/>
    <s v="Nac"/>
    <s v="COM"/>
    <x v="3"/>
    <n v="89"/>
    <s v="Abonado"/>
    <n v="2.57"/>
    <n v="0.7"/>
    <n v="0.13"/>
    <n v="86.3"/>
    <n v="0"/>
    <m/>
    <n v="20260406"/>
    <m/>
    <s v="CREDITO"/>
    <n v="3908900"/>
    <s v="BFALABELLA"/>
    <s v="NO"/>
    <m/>
    <d v="1899-12-30T16:55:56"/>
    <s v="HONOR MALL DEL SUR"/>
    <s v="BBVA"/>
  </r>
  <r>
    <n v="1044162"/>
    <s v="VA"/>
    <s v="A"/>
    <d v="2026-04-04T00:00:00"/>
    <d v="2026-04-04T00:00:00"/>
    <m/>
    <n v="873"/>
    <s v="PS0002"/>
    <n v="3187"/>
    <n v="7759"/>
    <n v="2"/>
    <s v="434925******5392"/>
    <s v="Nac"/>
    <s v="COM"/>
    <x v="3"/>
    <n v="129"/>
    <s v="Abonado"/>
    <n v="3.73"/>
    <n v="1.02"/>
    <n v="0.18"/>
    <n v="125.09"/>
    <n v="0"/>
    <m/>
    <n v="20260406"/>
    <m/>
    <s v="CREDITO"/>
    <n v="3908900"/>
    <s v="BCP"/>
    <s v="NO"/>
    <m/>
    <d v="1899-12-30T18:09:23"/>
    <s v="HONOR MALL DEL SUR"/>
    <s v="BBVA"/>
  </r>
  <r>
    <n v="1044162"/>
    <s v="VA"/>
    <s v="A"/>
    <d v="2026-04-04T00:00:00"/>
    <d v="2026-04-04T00:00:00"/>
    <m/>
    <n v="873"/>
    <n v="65656565"/>
    <n v="3189"/>
    <n v="400849"/>
    <m/>
    <s v="455788******5172"/>
    <s v="Nac"/>
    <s v="COM"/>
    <x v="3"/>
    <n v="75"/>
    <s v="Abonado"/>
    <n v="2.16"/>
    <n v="0.96"/>
    <n v="0.17"/>
    <n v="72.67"/>
    <n v="0"/>
    <m/>
    <n v="20260406"/>
    <m/>
    <s v="DEBITO"/>
    <n v="3908900"/>
    <s v="BCP"/>
    <m/>
    <s v="Yape"/>
    <d v="1899-12-30T18:21:01"/>
    <s v="HONOR MALL DEL SUR"/>
    <s v="BBVA"/>
  </r>
  <r>
    <n v="1044162"/>
    <s v="VA"/>
    <s v="A"/>
    <d v="2026-04-04T00:00:00"/>
    <d v="2026-04-04T00:00:00"/>
    <m/>
    <n v="873"/>
    <s v="PS0002"/>
    <n v="3192"/>
    <n v="9235"/>
    <m/>
    <s v="463402******3176"/>
    <s v="Nac"/>
    <s v="COM"/>
    <x v="3"/>
    <n v="1799"/>
    <s v="Abonado"/>
    <n v="51.99"/>
    <n v="14.21"/>
    <n v="2.56"/>
    <n v="1744.45"/>
    <n v="0"/>
    <m/>
    <n v="20260406"/>
    <m/>
    <s v="CREDITO"/>
    <n v="3908900"/>
    <s v="BCP"/>
    <m/>
    <m/>
    <d v="1899-12-30T18:43:55"/>
    <s v="HONOR MALL DEL SUR"/>
    <s v="BBVA"/>
  </r>
  <r>
    <n v="1044162"/>
    <s v="VA"/>
    <s v="A"/>
    <d v="2026-04-04T00:00:00"/>
    <d v="2026-04-04T00:00:00"/>
    <m/>
    <n v="873"/>
    <s v="PS0002"/>
    <n v="3195"/>
    <n v="417769"/>
    <m/>
    <s v="472955******5624"/>
    <s v="Nac"/>
    <s v="COM"/>
    <x v="3"/>
    <n v="179"/>
    <s v="Abonado"/>
    <n v="5.17"/>
    <n v="2.31"/>
    <n v="0.42"/>
    <n v="173.41"/>
    <n v="0"/>
    <m/>
    <n v="20260406"/>
    <m/>
    <s v="DEBITO"/>
    <n v="3908900"/>
    <s v="VISA LOC"/>
    <m/>
    <m/>
    <d v="1899-12-30T18:46:32"/>
    <s v="HONOR MALL DEL SUR"/>
    <s v="BBVA"/>
  </r>
  <r>
    <n v="1044162"/>
    <s v="VA"/>
    <s v="A"/>
    <d v="2026-04-04T00:00:00"/>
    <d v="2026-04-04T00:00:00"/>
    <m/>
    <n v="873"/>
    <s v="PS0002"/>
    <n v="3197"/>
    <n v="4494"/>
    <m/>
    <s v="463402******3176"/>
    <s v="Nac"/>
    <s v="COM"/>
    <x v="3"/>
    <n v="659"/>
    <s v="Abonado"/>
    <n v="19.05"/>
    <n v="5.21"/>
    <n v="0.94"/>
    <n v="639.01"/>
    <n v="0"/>
    <m/>
    <n v="20260406"/>
    <m/>
    <s v="CREDITO"/>
    <n v="3908900"/>
    <s v="BCP"/>
    <m/>
    <m/>
    <d v="1899-12-30T18:52:16"/>
    <s v="HONOR MALL DEL SUR"/>
    <s v="BBVA"/>
  </r>
  <r>
    <n v="1044162"/>
    <s v="VA"/>
    <s v="A"/>
    <d v="2026-04-04T00:00:00"/>
    <d v="2026-04-04T00:00:00"/>
    <m/>
    <n v="873"/>
    <s v="PS0002"/>
    <n v="3200"/>
    <n v="604385"/>
    <m/>
    <s v="438877******8898"/>
    <s v="Nac"/>
    <s v="COM"/>
    <x v="3"/>
    <n v="89"/>
    <s v="Abonado"/>
    <n v="2.57"/>
    <n v="1.1499999999999999"/>
    <n v="0.21"/>
    <n v="86.22"/>
    <n v="0"/>
    <m/>
    <n v="20260406"/>
    <m/>
    <s v="DEBITO"/>
    <n v="3908900"/>
    <s v="VISA LOC"/>
    <m/>
    <m/>
    <d v="1899-12-30T19:12:46"/>
    <s v="HONOR MALL DEL SUR"/>
    <s v="BBVA"/>
  </r>
  <r>
    <n v="1044162"/>
    <s v="VA"/>
    <s v="A"/>
    <d v="2026-04-04T00:00:00"/>
    <d v="2026-04-04T00:00:00"/>
    <m/>
    <n v="873"/>
    <s v="PS0002"/>
    <n v="3202"/>
    <n v="382465"/>
    <m/>
    <s v="433466******6616"/>
    <s v="Nac"/>
    <s v="COM"/>
    <x v="3"/>
    <n v="1799"/>
    <s v="Abonado"/>
    <n v="51.99"/>
    <n v="14.21"/>
    <n v="2.56"/>
    <n v="1744.45"/>
    <n v="0"/>
    <m/>
    <n v="20260406"/>
    <m/>
    <s v="DEBITO"/>
    <n v="3908900"/>
    <s v="MIBANCO"/>
    <m/>
    <m/>
    <d v="1899-12-30T19:34:54"/>
    <s v="HONOR MALL DEL SUR"/>
    <s v="BBVA"/>
  </r>
  <r>
    <n v="1044162"/>
    <s v="VA"/>
    <s v="A"/>
    <d v="2026-04-04T00:00:00"/>
    <d v="2026-04-04T00:00:00"/>
    <m/>
    <n v="873"/>
    <s v="PS0002"/>
    <n v="3204"/>
    <n v="139954"/>
    <m/>
    <s v="421355******6412"/>
    <s v="Nac"/>
    <s v="COM"/>
    <x v="3"/>
    <n v="89"/>
    <s v="Abonado"/>
    <n v="2.57"/>
    <n v="1.1499999999999999"/>
    <n v="0.21"/>
    <n v="86.22"/>
    <n v="0"/>
    <m/>
    <n v="20260406"/>
    <m/>
    <s v="DEBITO"/>
    <n v="3908900"/>
    <s v="IBK PRIVADA"/>
    <m/>
    <m/>
    <d v="1899-12-30T20:41:01"/>
    <s v="HONOR MALL DEL SUR"/>
    <s v="BBVA"/>
  </r>
  <r>
    <n v="1044162"/>
    <s v="VA"/>
    <s v="A"/>
    <d v="2026-04-04T00:00:00"/>
    <d v="2026-04-04T00:00:00"/>
    <m/>
    <n v="873"/>
    <s v="PS0002"/>
    <n v="3206"/>
    <n v="482919"/>
    <m/>
    <s v="455103******1997"/>
    <s v="Nac"/>
    <s v="COM"/>
    <x v="3"/>
    <n v="529"/>
    <s v="Abonado"/>
    <n v="15.29"/>
    <n v="6.83"/>
    <n v="1.23"/>
    <n v="512.48"/>
    <n v="12542.4"/>
    <d v="2026-04-06T00:00:00"/>
    <n v="20260406"/>
    <n v="104101"/>
    <s v="DEBITO"/>
    <n v="3908900"/>
    <s v="BBVA"/>
    <m/>
    <m/>
    <d v="1899-12-30T21:08:14"/>
    <s v="HONOR MALL DEL SUR"/>
    <s v="BBVA"/>
  </r>
  <r>
    <n v="1044162"/>
    <s v="MC"/>
    <s v="A"/>
    <d v="2026-04-05T00:00:00"/>
    <d v="2026-04-05T00:00:00"/>
    <m/>
    <n v="874"/>
    <s v="PS0002"/>
    <n v="3231"/>
    <s v="R02254"/>
    <m/>
    <s v="554046******2281"/>
    <s v="Nac"/>
    <s v="COM"/>
    <x v="4"/>
    <n v="89"/>
    <s v="Abonado"/>
    <n v="2.57"/>
    <n v="0.52"/>
    <n v="0.09"/>
    <n v="86.34"/>
    <n v="86.34"/>
    <d v="2026-04-06T00:00:00"/>
    <n v="20260406"/>
    <n v="104101"/>
    <s v="CREDITO"/>
    <n v="3908900"/>
    <s v="SBP"/>
    <m/>
    <m/>
    <d v="1899-12-30T14:57:53"/>
    <s v="HONOR MALL DEL SUR"/>
    <s v="BBVA"/>
  </r>
  <r>
    <n v="1044162"/>
    <s v="VA"/>
    <s v="A"/>
    <d v="2026-04-05T00:00:00"/>
    <d v="2026-04-05T00:00:00"/>
    <m/>
    <n v="874"/>
    <s v="PS0002"/>
    <n v="3212"/>
    <n v="701831"/>
    <m/>
    <s v="455103******1949"/>
    <s v="Nac"/>
    <s v="COM"/>
    <x v="4"/>
    <n v="89"/>
    <s v="Abonado"/>
    <n v="2.57"/>
    <n v="1.1499999999999999"/>
    <n v="0.21"/>
    <n v="86.22"/>
    <n v="0"/>
    <m/>
    <n v="20260406"/>
    <m/>
    <s v="DEBITO"/>
    <n v="3908900"/>
    <s v="BBVA"/>
    <m/>
    <m/>
    <d v="1899-12-30T11:29:57"/>
    <s v="HONOR MALL DEL SUR"/>
    <s v="BBVA"/>
  </r>
  <r>
    <n v="1044162"/>
    <s v="VA"/>
    <s v="A"/>
    <d v="2026-04-05T00:00:00"/>
    <d v="2026-04-05T00:00:00"/>
    <m/>
    <n v="874"/>
    <n v="65656565"/>
    <n v="3214"/>
    <n v="448688"/>
    <m/>
    <s v="455788******9757"/>
    <s v="Nac"/>
    <s v="COM"/>
    <x v="4"/>
    <n v="58"/>
    <s v="Abonado"/>
    <n v="1.67"/>
    <n v="0.74"/>
    <n v="0.13"/>
    <n v="56.2"/>
    <n v="0"/>
    <m/>
    <n v="20260406"/>
    <m/>
    <s v="DEBITO"/>
    <n v="3908900"/>
    <s v="BCP"/>
    <m/>
    <s v="Yape"/>
    <d v="1899-12-30T11:32:20"/>
    <s v="HONOR MALL DEL SUR"/>
    <s v="BBVA"/>
  </r>
  <r>
    <n v="1044162"/>
    <s v="VA"/>
    <s v="A"/>
    <d v="2026-04-05T00:00:00"/>
    <d v="2026-04-05T00:00:00"/>
    <m/>
    <n v="874"/>
    <s v="PS0002"/>
    <n v="3217"/>
    <n v="783035"/>
    <m/>
    <s v="455103******0045"/>
    <s v="Nac"/>
    <s v="COM"/>
    <x v="4"/>
    <n v="1149"/>
    <s v="Abonado"/>
    <n v="33.21"/>
    <n v="14.83"/>
    <n v="2.67"/>
    <n v="1113.1199999999999"/>
    <n v="0"/>
    <m/>
    <n v="20260406"/>
    <m/>
    <s v="DEBITO"/>
    <n v="3908900"/>
    <s v="BBVA"/>
    <m/>
    <m/>
    <d v="1899-12-30T11:53:21"/>
    <s v="HONOR MALL DEL SUR"/>
    <s v="BBVA"/>
  </r>
  <r>
    <n v="1044162"/>
    <s v="VA"/>
    <s v="A"/>
    <d v="2026-04-05T00:00:00"/>
    <d v="2026-04-05T00:00:00"/>
    <m/>
    <n v="874"/>
    <s v="PS0002"/>
    <n v="3219"/>
    <n v="508326"/>
    <m/>
    <s v="455788******7333"/>
    <s v="Nac"/>
    <s v="COM"/>
    <x v="4"/>
    <n v="1000"/>
    <s v="Abonado"/>
    <n v="28.9"/>
    <n v="12.9"/>
    <n v="2.3199999999999998"/>
    <n v="968.78"/>
    <n v="0"/>
    <m/>
    <n v="20260406"/>
    <m/>
    <s v="DEBITO"/>
    <n v="3908900"/>
    <s v="BCP"/>
    <m/>
    <m/>
    <d v="1899-12-30T13:24:52"/>
    <s v="HONOR MALL DEL SUR"/>
    <s v="BBVA"/>
  </r>
  <r>
    <n v="1044162"/>
    <s v="VA"/>
    <s v="A"/>
    <d v="2026-04-05T00:00:00"/>
    <d v="2026-04-05T00:00:00"/>
    <m/>
    <n v="874"/>
    <s v="PS0002"/>
    <n v="3221"/>
    <n v="501579"/>
    <m/>
    <s v="455788******8752"/>
    <s v="Nac"/>
    <s v="COM"/>
    <x v="4"/>
    <n v="69"/>
    <s v="Abonado"/>
    <n v="1.99"/>
    <n v="0.89"/>
    <n v="0.16"/>
    <n v="66.849999999999994"/>
    <n v="0"/>
    <m/>
    <n v="20260406"/>
    <m/>
    <s v="DEBITO"/>
    <n v="3908900"/>
    <s v="BCP"/>
    <m/>
    <m/>
    <d v="1899-12-30T13:31:04"/>
    <s v="HONOR MALL DEL SUR"/>
    <s v="BBVA"/>
  </r>
  <r>
    <n v="1044162"/>
    <s v="VA"/>
    <s v="A"/>
    <d v="2026-04-05T00:00:00"/>
    <d v="2026-04-05T00:00:00"/>
    <m/>
    <n v="874"/>
    <s v="PS0002"/>
    <n v="3223"/>
    <n v="485376"/>
    <m/>
    <s v="455788******1897"/>
    <s v="Nac"/>
    <s v="COM"/>
    <x v="4"/>
    <n v="189"/>
    <s v="Abonado"/>
    <n v="5.46"/>
    <n v="2.44"/>
    <n v="0.44"/>
    <n v="183.1"/>
    <n v="0"/>
    <m/>
    <n v="20260406"/>
    <m/>
    <s v="DEBITO"/>
    <n v="3908900"/>
    <s v="BCP"/>
    <m/>
    <m/>
    <d v="1899-12-30T13:35:41"/>
    <s v="HONOR MALL DEL SUR"/>
    <s v="BBVA"/>
  </r>
  <r>
    <n v="1044162"/>
    <s v="VA"/>
    <s v="A"/>
    <d v="2026-04-05T00:00:00"/>
    <d v="2026-04-05T00:00:00"/>
    <m/>
    <n v="874"/>
    <s v="PS0002"/>
    <n v="3227"/>
    <n v="133082"/>
    <m/>
    <s v="451775******8927"/>
    <s v="Nac"/>
    <s v="COM"/>
    <x v="4"/>
    <n v="1248"/>
    <s v="Abonado"/>
    <n v="36.07"/>
    <n v="16.100000000000001"/>
    <n v="2.9"/>
    <n v="1209.03"/>
    <n v="0"/>
    <m/>
    <n v="20260406"/>
    <m/>
    <s v="DEBITO"/>
    <n v="3908900"/>
    <s v="BIF"/>
    <m/>
    <m/>
    <d v="1899-12-30T14:48:36"/>
    <s v="HONOR MALL DEL SUR"/>
    <s v="BBVA"/>
  </r>
  <r>
    <n v="1044162"/>
    <s v="VA"/>
    <s v="A"/>
    <d v="2026-04-05T00:00:00"/>
    <d v="2026-04-05T00:00:00"/>
    <m/>
    <n v="874"/>
    <s v="PS0002"/>
    <n v="3229"/>
    <n v="776907"/>
    <m/>
    <s v="455788******1151"/>
    <s v="Nac"/>
    <s v="COM"/>
    <x v="4"/>
    <n v="388"/>
    <s v="Abonado"/>
    <n v="11.21"/>
    <n v="5"/>
    <n v="0.9"/>
    <n v="375.89"/>
    <n v="0"/>
    <m/>
    <n v="20260406"/>
    <m/>
    <s v="DEBITO"/>
    <n v="3908900"/>
    <s v="BCP"/>
    <m/>
    <m/>
    <d v="1899-12-30T14:54:58"/>
    <s v="HONOR MALL DEL SUR"/>
    <s v="BBVA"/>
  </r>
  <r>
    <n v="1044162"/>
    <s v="VA"/>
    <s v="A"/>
    <d v="2026-04-05T00:00:00"/>
    <d v="2026-04-05T00:00:00"/>
    <m/>
    <n v="874"/>
    <s v="PS0002"/>
    <n v="3233"/>
    <n v="739276"/>
    <m/>
    <s v="421355******8518"/>
    <s v="Nac"/>
    <s v="COM"/>
    <x v="4"/>
    <n v="498"/>
    <s v="Abonado"/>
    <n v="14.39"/>
    <n v="6.42"/>
    <n v="1.1599999999999999"/>
    <n v="482.45"/>
    <n v="0"/>
    <m/>
    <n v="20260406"/>
    <m/>
    <s v="DEBITO"/>
    <n v="3908900"/>
    <s v="IBK PRIVADA"/>
    <m/>
    <m/>
    <d v="1899-12-30T15:10:55"/>
    <s v="HONOR MALL DEL SUR"/>
    <s v="BBVA"/>
  </r>
  <r>
    <n v="1044162"/>
    <s v="VA"/>
    <s v="A"/>
    <d v="2026-04-05T00:00:00"/>
    <d v="2026-04-05T00:00:00"/>
    <m/>
    <n v="874"/>
    <n v="65656565"/>
    <n v="3235"/>
    <n v="679034"/>
    <m/>
    <s v="455788******9633"/>
    <s v="Nac"/>
    <s v="COM"/>
    <x v="4"/>
    <n v="529"/>
    <s v="Abonado"/>
    <n v="15.28"/>
    <n v="6.82"/>
    <n v="1.23"/>
    <n v="512.49"/>
    <n v="0"/>
    <m/>
    <n v="20260406"/>
    <m/>
    <s v="DEBITO"/>
    <n v="3908900"/>
    <s v="BCP"/>
    <m/>
    <s v="Yape"/>
    <d v="1899-12-30T15:13:45"/>
    <s v="HONOR MALL DEL SUR"/>
    <s v="BBVA"/>
  </r>
  <r>
    <n v="1044162"/>
    <s v="VA"/>
    <s v="A"/>
    <d v="2026-04-05T00:00:00"/>
    <d v="2026-04-05T00:00:00"/>
    <m/>
    <n v="874"/>
    <s v="PS0002"/>
    <n v="3247"/>
    <n v="905153"/>
    <n v="6"/>
    <s v="447409******9506"/>
    <s v="Nac"/>
    <s v="COM"/>
    <x v="4"/>
    <n v="1149"/>
    <s v="Abonado"/>
    <n v="33.21"/>
    <n v="9.08"/>
    <n v="1.63"/>
    <n v="1114.1600000000001"/>
    <n v="0"/>
    <m/>
    <n v="20260406"/>
    <m/>
    <s v="CREDITO"/>
    <n v="3908900"/>
    <s v="BFALABELLA"/>
    <s v="NO"/>
    <m/>
    <d v="1899-12-30T16:31:18"/>
    <s v="HONOR MALL DEL SUR"/>
    <s v="BBVA"/>
  </r>
  <r>
    <n v="1044162"/>
    <s v="VA"/>
    <s v="A"/>
    <d v="2026-04-05T00:00:00"/>
    <d v="2026-04-05T00:00:00"/>
    <m/>
    <n v="874"/>
    <s v="PS0002"/>
    <n v="3250"/>
    <n v="2972"/>
    <m/>
    <s v="463401******9617"/>
    <s v="Nac"/>
    <s v="COM"/>
    <x v="4"/>
    <n v="659"/>
    <s v="Abonado"/>
    <n v="19.05"/>
    <n v="5.21"/>
    <n v="0.94"/>
    <n v="639.01"/>
    <n v="0"/>
    <m/>
    <n v="20260406"/>
    <m/>
    <s v="CREDITO"/>
    <n v="3908900"/>
    <s v="BCP"/>
    <m/>
    <m/>
    <d v="1899-12-30T16:46:20"/>
    <s v="HONOR MALL DEL SUR"/>
    <s v="BBVA"/>
  </r>
  <r>
    <n v="1044162"/>
    <s v="VA"/>
    <s v="A"/>
    <d v="2026-04-05T00:00:00"/>
    <d v="2026-04-05T00:00:00"/>
    <m/>
    <n v="874"/>
    <s v="PS0002"/>
    <n v="3252"/>
    <n v="830980"/>
    <m/>
    <s v="455788******9416"/>
    <s v="Nac"/>
    <s v="COM"/>
    <x v="4"/>
    <n v="68"/>
    <s v="Abonado"/>
    <n v="1.97"/>
    <n v="0.88"/>
    <n v="0.16"/>
    <n v="65.87"/>
    <n v="0"/>
    <m/>
    <n v="20260406"/>
    <m/>
    <s v="DEBITO"/>
    <n v="3908900"/>
    <s v="BCP"/>
    <m/>
    <m/>
    <d v="1899-12-30T16:55:58"/>
    <s v="HONOR MALL DEL SUR"/>
    <s v="BBVA"/>
  </r>
  <r>
    <n v="1044162"/>
    <s v="VA"/>
    <s v="A"/>
    <d v="2026-04-05T00:00:00"/>
    <d v="2026-04-05T00:00:00"/>
    <m/>
    <n v="874"/>
    <s v="PS0002"/>
    <n v="3256"/>
    <n v="953968"/>
    <m/>
    <s v="447409******1271"/>
    <s v="Nac"/>
    <s v="COM"/>
    <x v="4"/>
    <n v="629"/>
    <s v="Abonado"/>
    <n v="18.18"/>
    <n v="4.97"/>
    <n v="0.89"/>
    <n v="609.92999999999995"/>
    <n v="0"/>
    <m/>
    <n v="20260406"/>
    <m/>
    <s v="CREDITO"/>
    <n v="3908900"/>
    <s v="BFALABELLA"/>
    <m/>
    <m/>
    <d v="1899-12-30T18:19:55"/>
    <s v="HONOR MALL DEL SUR"/>
    <s v="BBVA"/>
  </r>
  <r>
    <n v="1044162"/>
    <s v="VA"/>
    <s v="A"/>
    <d v="2026-04-05T00:00:00"/>
    <d v="2026-04-05T00:00:00"/>
    <m/>
    <n v="874"/>
    <s v="PS0002"/>
    <n v="3258"/>
    <n v="935271"/>
    <m/>
    <s v="455788******2902"/>
    <s v="Nac"/>
    <s v="COM"/>
    <x v="4"/>
    <n v="150"/>
    <s v="Abonado"/>
    <n v="4.34"/>
    <n v="1.94"/>
    <n v="0.35"/>
    <n v="145.31"/>
    <n v="0"/>
    <m/>
    <n v="20260406"/>
    <m/>
    <s v="DEBITO"/>
    <n v="3908900"/>
    <s v="BCP"/>
    <m/>
    <m/>
    <d v="1899-12-30T18:28:03"/>
    <s v="HONOR MALL DEL SUR"/>
    <s v="BBVA"/>
  </r>
  <r>
    <n v="1044162"/>
    <s v="VA"/>
    <s v="A"/>
    <d v="2026-04-05T00:00:00"/>
    <d v="2026-04-05T00:00:00"/>
    <m/>
    <n v="874"/>
    <s v="PS0002"/>
    <n v="3260"/>
    <n v="292172"/>
    <m/>
    <s v="454775******6038"/>
    <s v="Nac"/>
    <s v="COM"/>
    <x v="4"/>
    <n v="200"/>
    <s v="Abonado"/>
    <n v="5.78"/>
    <n v="1.58"/>
    <n v="0.28000000000000003"/>
    <n v="193.94"/>
    <n v="0"/>
    <m/>
    <n v="20260406"/>
    <m/>
    <s v="CREDITO"/>
    <n v="3908900"/>
    <s v="IBK PRIVADA"/>
    <m/>
    <m/>
    <d v="1899-12-30T18:29:13"/>
    <s v="HONOR MALL DEL SUR"/>
    <s v="BBVA"/>
  </r>
  <r>
    <n v="1044162"/>
    <s v="VA"/>
    <s v="A"/>
    <d v="2026-04-05T00:00:00"/>
    <d v="2026-04-05T00:00:00"/>
    <m/>
    <n v="874"/>
    <s v="PS0002"/>
    <n v="3264"/>
    <n v="985329"/>
    <m/>
    <s v="455788******2902"/>
    <s v="Nac"/>
    <s v="COM"/>
    <x v="4"/>
    <n v="99"/>
    <s v="Abonado"/>
    <n v="2.86"/>
    <n v="1.28"/>
    <n v="0.23"/>
    <n v="95.91"/>
    <n v="0"/>
    <m/>
    <n v="20260406"/>
    <m/>
    <s v="DEBITO"/>
    <n v="3908900"/>
    <s v="BCP"/>
    <m/>
    <m/>
    <d v="1899-12-30T18:33:27"/>
    <s v="HONOR MALL DEL SUR"/>
    <s v="BBVA"/>
  </r>
  <r>
    <n v="1044162"/>
    <s v="VA"/>
    <s v="A"/>
    <d v="2026-04-05T00:00:00"/>
    <d v="2026-04-05T00:00:00"/>
    <m/>
    <n v="874"/>
    <n v="65656565"/>
    <n v="3266"/>
    <n v="996638"/>
    <m/>
    <s v="455788******8230"/>
    <s v="Nac"/>
    <s v="COM"/>
    <x v="4"/>
    <n v="149"/>
    <s v="Abonado"/>
    <n v="4.3"/>
    <n v="1.92"/>
    <n v="0.35"/>
    <n v="144.35"/>
    <n v="0"/>
    <m/>
    <n v="20260406"/>
    <m/>
    <s v="DEBITO"/>
    <n v="3908900"/>
    <s v="BCP"/>
    <m/>
    <s v="Yape"/>
    <d v="1899-12-30T18:49:46"/>
    <s v="HONOR MALL DEL SUR"/>
    <s v="BBVA"/>
  </r>
  <r>
    <n v="1044162"/>
    <s v="VA"/>
    <s v="A"/>
    <d v="2026-04-05T00:00:00"/>
    <d v="2026-04-05T00:00:00"/>
    <m/>
    <n v="874"/>
    <s v="PS0002"/>
    <n v="3269"/>
    <n v="37521"/>
    <m/>
    <s v="455788******0301"/>
    <s v="Nac"/>
    <s v="COM"/>
    <x v="4"/>
    <n v="1149"/>
    <s v="Abonado"/>
    <n v="33.21"/>
    <n v="14.83"/>
    <n v="2.67"/>
    <n v="1113.1199999999999"/>
    <n v="0"/>
    <m/>
    <n v="20260406"/>
    <m/>
    <s v="DEBITO"/>
    <n v="3908900"/>
    <s v="BCP"/>
    <m/>
    <m/>
    <d v="1899-12-30T19:03:27"/>
    <s v="HONOR MALL DEL SUR"/>
    <s v="BBVA"/>
  </r>
  <r>
    <n v="1044162"/>
    <s v="VA"/>
    <s v="A"/>
    <d v="2026-04-05T00:00:00"/>
    <d v="2026-04-05T00:00:00"/>
    <m/>
    <n v="874"/>
    <s v="PS0002"/>
    <n v="3271"/>
    <n v="191109"/>
    <m/>
    <s v="483039******4399"/>
    <s v="Nac"/>
    <s v="COM"/>
    <x v="4"/>
    <n v="440"/>
    <s v="Abonado"/>
    <n v="12.72"/>
    <n v="3.48"/>
    <n v="0.63"/>
    <n v="426.65"/>
    <n v="0"/>
    <m/>
    <n v="20260406"/>
    <m/>
    <s v="DEBITO"/>
    <n v="3908900"/>
    <s v="IBK PRIVADA"/>
    <m/>
    <m/>
    <d v="1899-12-30T19:10:05"/>
    <s v="HONOR MALL DEL SUR"/>
    <s v="BBVA"/>
  </r>
  <r>
    <n v="1044162"/>
    <s v="VA"/>
    <s v="A"/>
    <d v="2026-04-05T00:00:00"/>
    <d v="2026-04-05T00:00:00"/>
    <m/>
    <n v="874"/>
    <s v="PS0002"/>
    <n v="3273"/>
    <n v="51705"/>
    <m/>
    <s v="455788******1721"/>
    <s v="Nac"/>
    <s v="COM"/>
    <x v="4"/>
    <n v="1699"/>
    <s v="Abonado"/>
    <n v="49.1"/>
    <n v="21.92"/>
    <n v="3.95"/>
    <n v="1645.95"/>
    <n v="0"/>
    <m/>
    <n v="20260406"/>
    <m/>
    <s v="DEBITO"/>
    <n v="3908900"/>
    <s v="BCP"/>
    <m/>
    <m/>
    <d v="1899-12-30T19:34:33"/>
    <s v="HONOR MALL DEL SUR"/>
    <s v="BBVA"/>
  </r>
  <r>
    <n v="1044162"/>
    <s v="VA"/>
    <s v="A"/>
    <d v="2026-04-05T00:00:00"/>
    <d v="2026-04-05T00:00:00"/>
    <m/>
    <n v="874"/>
    <s v="PS0002"/>
    <n v="3275"/>
    <n v="311549"/>
    <n v="3"/>
    <s v="491909******7681"/>
    <s v="Nac"/>
    <s v="COM"/>
    <x v="4"/>
    <n v="1699"/>
    <s v="Abonado"/>
    <n v="78.83"/>
    <n v="13.42"/>
    <n v="2.42"/>
    <n v="1617.75"/>
    <n v="0"/>
    <m/>
    <n v="20260406"/>
    <m/>
    <s v="CREDITO"/>
    <n v="3908900"/>
    <s v="BBVA"/>
    <s v="SI"/>
    <m/>
    <d v="1899-12-30T19:47:54"/>
    <s v="HONOR MALL DEL SUR"/>
    <s v="BBVA"/>
  </r>
  <r>
    <n v="1044162"/>
    <s v="VA"/>
    <s v="A"/>
    <d v="2026-04-05T00:00:00"/>
    <d v="2026-04-05T00:00:00"/>
    <m/>
    <n v="874"/>
    <s v="PS0002"/>
    <n v="3277"/>
    <n v="370118"/>
    <m/>
    <s v="455170******6127"/>
    <s v="Nac"/>
    <s v="COM"/>
    <x v="4"/>
    <n v="199"/>
    <s v="Abonado"/>
    <n v="5.75"/>
    <n v="2.57"/>
    <n v="0.46"/>
    <n v="192.79"/>
    <n v="0"/>
    <m/>
    <n v="20260406"/>
    <m/>
    <s v="DEBITO"/>
    <n v="3908900"/>
    <s v="BBVA"/>
    <m/>
    <m/>
    <d v="1899-12-30T20:05:37"/>
    <s v="HONOR MALL DEL SUR"/>
    <s v="BBVA"/>
  </r>
  <r>
    <n v="1044162"/>
    <s v="VA"/>
    <s v="A"/>
    <d v="2026-04-05T00:00:00"/>
    <d v="2026-04-05T00:00:00"/>
    <m/>
    <n v="874"/>
    <s v="PS0002"/>
    <n v="3280"/>
    <n v="44036"/>
    <n v="3"/>
    <s v="447410******0365"/>
    <s v="Nac"/>
    <s v="COM"/>
    <x v="4"/>
    <n v="1399"/>
    <s v="Abonado"/>
    <n v="40.43"/>
    <n v="8.25"/>
    <n v="1.49"/>
    <n v="1357.08"/>
    <n v="14415.95"/>
    <d v="2026-04-06T00:00:00"/>
    <n v="20260406"/>
    <n v="104101"/>
    <s v="CREDITO"/>
    <n v="3908900"/>
    <s v="BFALABELLA"/>
    <s v="NO"/>
    <m/>
    <d v="1899-12-30T21:16:45"/>
    <s v="HONOR MALL DEL SUR"/>
    <s v="BBVA"/>
  </r>
  <r>
    <n v="1044162"/>
    <s v="VK"/>
    <s v="A"/>
    <d v="2026-04-05T00:00:00"/>
    <d v="2026-04-05T00:00:00"/>
    <m/>
    <n v="874"/>
    <s v="PS0002"/>
    <n v="3254"/>
    <n v="86329"/>
    <m/>
    <s v="404071******6040"/>
    <s v="Nac"/>
    <s v="COM"/>
    <x v="4"/>
    <n v="629"/>
    <s v="Abonado"/>
    <n v="18.18"/>
    <n v="4.97"/>
    <n v="0.89"/>
    <n v="609.92999999999995"/>
    <n v="609.92999999999995"/>
    <d v="2026-04-06T00:00:00"/>
    <n v="20260406"/>
    <n v="104101"/>
    <s v="CREDITO"/>
    <n v="3908900"/>
    <s v="SIP MC"/>
    <m/>
    <m/>
    <d v="1899-12-30T17:20:57"/>
    <s v="HONOR MALL DEL SUR"/>
    <s v="BBVA"/>
  </r>
  <r>
    <n v="1044162"/>
    <s v="MC"/>
    <s v="A"/>
    <d v="2026-04-06T00:00:00"/>
    <d v="2026-04-06T00:00:00"/>
    <m/>
    <n v="875"/>
    <s v="PS0002"/>
    <n v="3323"/>
    <n v="139570"/>
    <n v="4"/>
    <s v="525435******5586"/>
    <s v="Nac"/>
    <s v="COM"/>
    <x v="5"/>
    <n v="688"/>
    <s v="Abonado"/>
    <n v="19.88"/>
    <n v="5.43"/>
    <n v="0.98"/>
    <n v="667.14"/>
    <n v="0"/>
    <m/>
    <n v="20260407"/>
    <m/>
    <s v="CREDITO"/>
    <n v="3908900"/>
    <s v="BRIPLEY"/>
    <s v="NO"/>
    <m/>
    <d v="1899-12-30T18:28:27"/>
    <s v="HONOR MALL DEL SUR"/>
    <s v="BBVA"/>
  </r>
  <r>
    <n v="1044162"/>
    <s v="MC"/>
    <s v="A"/>
    <d v="2026-04-06T00:00:00"/>
    <d v="2026-04-06T00:00:00"/>
    <m/>
    <n v="875"/>
    <s v="PS0002"/>
    <n v="3344"/>
    <n v="255180"/>
    <m/>
    <s v="511842******2921"/>
    <s v="Nac"/>
    <s v="COM"/>
    <x v="5"/>
    <n v="940"/>
    <s v="Abonado"/>
    <n v="27.17"/>
    <n v="10.72"/>
    <n v="1.93"/>
    <n v="910.9"/>
    <n v="0"/>
    <m/>
    <n v="20260407"/>
    <m/>
    <s v="DEBITO"/>
    <n v="3908900"/>
    <s v="SCOTIA DEBIT"/>
    <m/>
    <m/>
    <d v="1899-12-30T19:32:14"/>
    <s v="HONOR MALL DEL SUR"/>
    <s v="BBVA"/>
  </r>
  <r>
    <n v="1044162"/>
    <s v="MC"/>
    <s v="A"/>
    <d v="2026-04-06T00:00:00"/>
    <d v="2026-04-06T00:00:00"/>
    <m/>
    <n v="875"/>
    <s v="PS0002"/>
    <n v="3348"/>
    <n v="261912"/>
    <m/>
    <s v="510308******6441"/>
    <s v="Nac"/>
    <s v="COM"/>
    <x v="5"/>
    <n v="179"/>
    <s v="Abonado"/>
    <n v="5.17"/>
    <n v="2.04"/>
    <n v="0.37"/>
    <n v="173.46"/>
    <n v="1751.5"/>
    <d v="2026-04-07T00:00:00"/>
    <n v="20260407"/>
    <n v="104101"/>
    <s v="DEBITO"/>
    <n v="3908900"/>
    <s v="SCOTIA DEBIT"/>
    <m/>
    <m/>
    <d v="1899-12-30T20:07:40"/>
    <s v="HONOR MALL DEL SUR"/>
    <s v="BBVA"/>
  </r>
  <r>
    <n v="1044162"/>
    <s v="VA"/>
    <s v="A"/>
    <d v="2026-04-06T00:00:00"/>
    <d v="2026-04-06T00:00:00"/>
    <m/>
    <n v="875"/>
    <n v="65656565"/>
    <n v="3286"/>
    <n v="711757"/>
    <m/>
    <s v="455788******2348"/>
    <s v="Nac"/>
    <s v="COM"/>
    <x v="5"/>
    <n v="1000"/>
    <s v="Abonado"/>
    <n v="28.9"/>
    <n v="12.9"/>
    <n v="2.3199999999999998"/>
    <n v="968.78"/>
    <n v="0"/>
    <m/>
    <n v="20260407"/>
    <m/>
    <s v="DEBITO"/>
    <n v="3908900"/>
    <s v="BCP"/>
    <m/>
    <s v="Yape"/>
    <d v="1899-12-30T10:19:28"/>
    <s v="HONOR MALL DEL SUR"/>
    <s v="BBVA"/>
  </r>
  <r>
    <n v="1044162"/>
    <s v="VA"/>
    <s v="A"/>
    <d v="2026-04-06T00:00:00"/>
    <d v="2026-04-06T00:00:00"/>
    <m/>
    <n v="875"/>
    <n v="65656565"/>
    <n v="3289"/>
    <n v="792510"/>
    <m/>
    <s v="455788******7202"/>
    <s v="Nac"/>
    <s v="COM"/>
    <x v="5"/>
    <n v="94.35"/>
    <s v="Abonado"/>
    <n v="2.72"/>
    <n v="1.21"/>
    <n v="0.22"/>
    <n v="91.41"/>
    <n v="0"/>
    <m/>
    <n v="20260407"/>
    <m/>
    <s v="DEBITO"/>
    <n v="3908900"/>
    <s v="BCP"/>
    <m/>
    <s v="Yape"/>
    <d v="1899-12-30T10:56:21"/>
    <s v="HONOR MALL DEL SUR"/>
    <s v="BBVA"/>
  </r>
  <r>
    <n v="1044162"/>
    <s v="VA"/>
    <s v="A"/>
    <d v="2026-04-06T00:00:00"/>
    <d v="2026-04-06T00:00:00"/>
    <m/>
    <n v="875"/>
    <s v="PS0002"/>
    <n v="3292"/>
    <n v="34605"/>
    <m/>
    <s v="421410******5342"/>
    <s v="Nac"/>
    <s v="COM"/>
    <x v="5"/>
    <n v="259"/>
    <s v="Abonado"/>
    <n v="7.49"/>
    <n v="3.35"/>
    <n v="0.6"/>
    <n v="250.91"/>
    <n v="0"/>
    <m/>
    <n v="20260407"/>
    <m/>
    <s v="DEBITO"/>
    <n v="3908900"/>
    <s v="NACION"/>
    <m/>
    <m/>
    <d v="1899-12-30T11:44:15"/>
    <s v="HONOR MALL DEL SUR"/>
    <s v="BBVA"/>
  </r>
  <r>
    <n v="1044162"/>
    <s v="VA"/>
    <s v="A"/>
    <d v="2026-04-06T00:00:00"/>
    <d v="2026-04-06T00:00:00"/>
    <m/>
    <n v="875"/>
    <s v="PS0002"/>
    <n v="3295"/>
    <n v="36844"/>
    <m/>
    <s v="421410******6571"/>
    <s v="Nac"/>
    <s v="COM"/>
    <x v="5"/>
    <n v="1799"/>
    <s v="Abonado"/>
    <n v="51.99"/>
    <n v="23.21"/>
    <n v="4.18"/>
    <n v="1742.83"/>
    <n v="0"/>
    <m/>
    <n v="20260407"/>
    <m/>
    <s v="DEBITO"/>
    <n v="3908900"/>
    <s v="NACION"/>
    <m/>
    <m/>
    <d v="1899-12-30T12:01:33"/>
    <s v="HONOR MALL DEL SUR"/>
    <s v="BBVA"/>
  </r>
  <r>
    <n v="1044162"/>
    <s v="VA"/>
    <s v="A"/>
    <d v="2026-04-06T00:00:00"/>
    <d v="2026-04-06T00:00:00"/>
    <m/>
    <n v="875"/>
    <n v="65656565"/>
    <n v="3297"/>
    <n v="907919"/>
    <m/>
    <s v="455788******9036"/>
    <s v="Nac"/>
    <s v="COM"/>
    <x v="5"/>
    <n v="199.9"/>
    <s v="Abonado"/>
    <n v="5.77"/>
    <n v="2.57"/>
    <n v="0.46"/>
    <n v="193.67"/>
    <n v="0"/>
    <m/>
    <n v="20260407"/>
    <m/>
    <s v="DEBITO"/>
    <n v="3908900"/>
    <s v="VISA LOC"/>
    <m/>
    <s v="Yape"/>
    <d v="1899-12-30T12:24:54"/>
    <s v="HONOR MALL DEL SUR"/>
    <s v="BBVA"/>
  </r>
  <r>
    <n v="1044162"/>
    <s v="VA"/>
    <s v="A"/>
    <d v="2026-04-06T00:00:00"/>
    <d v="2026-04-06T00:00:00"/>
    <m/>
    <n v="875"/>
    <s v="PS0002"/>
    <n v="3300"/>
    <n v="96786"/>
    <m/>
    <s v="455103******6061"/>
    <s v="Nac"/>
    <s v="COM"/>
    <x v="5"/>
    <n v="41"/>
    <s v="Abonado"/>
    <n v="1.18"/>
    <n v="0.52"/>
    <n v="0.09"/>
    <n v="39.729999999999997"/>
    <n v="0"/>
    <m/>
    <n v="20260407"/>
    <m/>
    <s v="DEBITO"/>
    <n v="3908900"/>
    <s v="BBVA"/>
    <m/>
    <m/>
    <d v="1899-12-30T13:11:19"/>
    <s v="HONOR MALL DEL SUR"/>
    <s v="BBVA"/>
  </r>
  <r>
    <n v="1044162"/>
    <s v="VA"/>
    <s v="A"/>
    <d v="2026-04-06T00:00:00"/>
    <d v="2026-04-06T00:00:00"/>
    <m/>
    <n v="875"/>
    <s v="PS0002"/>
    <n v="3302"/>
    <n v="131255"/>
    <m/>
    <s v="483039******4399"/>
    <s v="Nac"/>
    <s v="COM"/>
    <x v="5"/>
    <n v="298"/>
    <s v="Abonado"/>
    <n v="8.61"/>
    <n v="2.35"/>
    <n v="0.42"/>
    <n v="288.97000000000003"/>
    <n v="0"/>
    <m/>
    <n v="20260407"/>
    <m/>
    <s v="DEBITO"/>
    <n v="3908900"/>
    <s v="IBK PRIVADA"/>
    <m/>
    <m/>
    <d v="1899-12-30T13:11:52"/>
    <s v="HONOR MALL DEL SUR"/>
    <s v="BBVA"/>
  </r>
  <r>
    <n v="1044162"/>
    <s v="VA"/>
    <s v="A"/>
    <d v="2026-04-06T00:00:00"/>
    <d v="2026-04-06T00:00:00"/>
    <m/>
    <n v="875"/>
    <s v="PS0002"/>
    <n v="3313"/>
    <n v="273880"/>
    <m/>
    <s v="455788******4957"/>
    <s v="Nac"/>
    <s v="COM"/>
    <x v="5"/>
    <n v="29.9"/>
    <s v="Abonado"/>
    <n v="0.86"/>
    <n v="0.38"/>
    <n v="7.0000000000000007E-2"/>
    <n v="28.97"/>
    <n v="0"/>
    <m/>
    <n v="20260407"/>
    <m/>
    <s v="DEBITO"/>
    <n v="3908900"/>
    <s v="BCP"/>
    <m/>
    <m/>
    <d v="1899-12-30T15:48:29"/>
    <s v="HONOR MALL DEL SUR"/>
    <s v="BBVA"/>
  </r>
  <r>
    <n v="1044162"/>
    <s v="VA"/>
    <s v="A"/>
    <d v="2026-04-06T00:00:00"/>
    <d v="2026-04-06T00:00:00"/>
    <m/>
    <n v="875"/>
    <s v="PS0002"/>
    <n v="3315"/>
    <n v="756685"/>
    <m/>
    <s v="438168******5412"/>
    <s v="Nac"/>
    <s v="COM"/>
    <x v="5"/>
    <n v="1778"/>
    <s v="Abonado"/>
    <n v="51.38"/>
    <n v="22.93"/>
    <n v="4.13"/>
    <n v="1722.49"/>
    <n v="0"/>
    <m/>
    <n v="20260407"/>
    <m/>
    <s v="DEBITO"/>
    <n v="3908900"/>
    <s v="BBVA"/>
    <m/>
    <m/>
    <d v="1899-12-30T16:27:51"/>
    <s v="HONOR MALL DEL SUR"/>
    <s v="BBVA"/>
  </r>
  <r>
    <n v="1044162"/>
    <s v="VA"/>
    <s v="A"/>
    <d v="2026-04-06T00:00:00"/>
    <d v="2026-04-06T00:00:00"/>
    <m/>
    <n v="875"/>
    <s v="PS0002"/>
    <n v="3317"/>
    <n v="5858"/>
    <m/>
    <s v="434925******9306"/>
    <s v="Nac"/>
    <s v="COM"/>
    <x v="5"/>
    <n v="189"/>
    <s v="Abonado"/>
    <n v="5.46"/>
    <n v="1.49"/>
    <n v="0.27"/>
    <n v="183.27"/>
    <n v="0"/>
    <m/>
    <n v="20260407"/>
    <m/>
    <s v="CREDITO"/>
    <n v="3908900"/>
    <s v="BCP"/>
    <m/>
    <m/>
    <d v="1899-12-30T16:34:24"/>
    <s v="HONOR MALL DEL SUR"/>
    <s v="BBVA"/>
  </r>
  <r>
    <n v="1044162"/>
    <s v="VA"/>
    <s v="A"/>
    <d v="2026-04-06T00:00:00"/>
    <d v="2026-04-06T00:00:00"/>
    <m/>
    <n v="875"/>
    <s v="PS0002"/>
    <n v="3319"/>
    <n v="87509"/>
    <m/>
    <s v="421410******0954"/>
    <s v="Nac"/>
    <s v="COM"/>
    <x v="5"/>
    <n v="629"/>
    <s v="Abonado"/>
    <n v="18.18"/>
    <n v="8.1199999999999992"/>
    <n v="1.46"/>
    <n v="609.36"/>
    <n v="0"/>
    <m/>
    <n v="20260407"/>
    <m/>
    <s v="DEBITO"/>
    <n v="3908900"/>
    <s v="NACION"/>
    <m/>
    <m/>
    <d v="1899-12-30T18:03:10"/>
    <s v="HONOR MALL DEL SUR"/>
    <s v="BBVA"/>
  </r>
  <r>
    <n v="1044162"/>
    <s v="VA"/>
    <s v="A"/>
    <d v="2026-04-06T00:00:00"/>
    <d v="2026-04-06T00:00:00"/>
    <m/>
    <n v="875"/>
    <s v="PS0002"/>
    <n v="3321"/>
    <n v="87941"/>
    <m/>
    <s v="421410******0954"/>
    <s v="Nac"/>
    <s v="COM"/>
    <x v="5"/>
    <n v="1149"/>
    <s v="Abonado"/>
    <n v="33.21"/>
    <n v="14.83"/>
    <n v="2.67"/>
    <n v="1113.1199999999999"/>
    <n v="0"/>
    <m/>
    <n v="20260407"/>
    <m/>
    <s v="DEBITO"/>
    <n v="3908900"/>
    <s v="NACION"/>
    <m/>
    <m/>
    <d v="1899-12-30T18:05:31"/>
    <s v="HONOR MALL DEL SUR"/>
    <s v="BBVA"/>
  </r>
  <r>
    <n v="1044162"/>
    <s v="VA"/>
    <s v="A"/>
    <d v="2026-04-06T00:00:00"/>
    <d v="2026-04-06T00:00:00"/>
    <m/>
    <n v="875"/>
    <s v="PS0002"/>
    <n v="3325"/>
    <n v="553307"/>
    <m/>
    <s v="455788******8219"/>
    <s v="Nac"/>
    <s v="COM"/>
    <x v="5"/>
    <n v="500"/>
    <s v="Abonado"/>
    <n v="14.45"/>
    <n v="6.45"/>
    <n v="1.1599999999999999"/>
    <n v="484.39"/>
    <n v="0"/>
    <m/>
    <n v="20260407"/>
    <m/>
    <s v="DEBITO"/>
    <n v="3908900"/>
    <s v="VISA LOC"/>
    <m/>
    <m/>
    <d v="1899-12-30T18:41:41"/>
    <s v="HONOR MALL DEL SUR"/>
    <s v="BBVA"/>
  </r>
  <r>
    <n v="1044162"/>
    <s v="VA"/>
    <s v="A"/>
    <d v="2026-04-06T00:00:00"/>
    <d v="2026-04-06T00:00:00"/>
    <m/>
    <n v="875"/>
    <s v="PS0002"/>
    <n v="3327"/>
    <n v="298208"/>
    <m/>
    <s v="426154******9075"/>
    <s v="Nac"/>
    <s v="COM"/>
    <x v="5"/>
    <n v="449"/>
    <s v="Abonado"/>
    <n v="12.98"/>
    <n v="5.8"/>
    <n v="1.04"/>
    <n v="434.98"/>
    <n v="0"/>
    <m/>
    <n v="20260407"/>
    <m/>
    <s v="DEBITO"/>
    <n v="3908900"/>
    <s v="CAJA CUSCO"/>
    <m/>
    <m/>
    <d v="1899-12-30T18:42:42"/>
    <s v="HONOR MALL DEL SUR"/>
    <s v="BBVA"/>
  </r>
  <r>
    <n v="1044162"/>
    <s v="VA"/>
    <s v="A"/>
    <d v="2026-04-06T00:00:00"/>
    <d v="2026-04-06T00:00:00"/>
    <m/>
    <n v="875"/>
    <s v="PS0002"/>
    <n v="3329"/>
    <n v="591161"/>
    <m/>
    <s v="455788******8255"/>
    <s v="Nac"/>
    <s v="COM"/>
    <x v="5"/>
    <n v="95"/>
    <s v="Abonado"/>
    <n v="2.75"/>
    <n v="1.23"/>
    <n v="0.22"/>
    <n v="92.03"/>
    <n v="0"/>
    <m/>
    <n v="20260407"/>
    <m/>
    <s v="DEBITO"/>
    <n v="3908900"/>
    <s v="BCP"/>
    <m/>
    <m/>
    <d v="1899-12-30T18:47:56"/>
    <s v="HONOR MALL DEL SUR"/>
    <s v="BBVA"/>
  </r>
  <r>
    <n v="1044162"/>
    <s v="VA"/>
    <s v="A"/>
    <d v="2026-04-06T00:00:00"/>
    <d v="2026-04-06T00:00:00"/>
    <m/>
    <n v="875"/>
    <s v="PS0002"/>
    <n v="3331"/>
    <n v="184929"/>
    <m/>
    <s v="483039******7905"/>
    <s v="Nac"/>
    <s v="COM"/>
    <x v="5"/>
    <n v="854"/>
    <s v="Abonado"/>
    <n v="24.68"/>
    <n v="6.75"/>
    <n v="1.22"/>
    <n v="828.1"/>
    <n v="0"/>
    <m/>
    <n v="20260407"/>
    <m/>
    <s v="DEBITO"/>
    <n v="3908900"/>
    <s v="IBK PRIVADA"/>
    <m/>
    <m/>
    <d v="1899-12-30T18:48:25"/>
    <s v="HONOR MALL DEL SUR"/>
    <s v="BBVA"/>
  </r>
  <r>
    <n v="1044162"/>
    <s v="VA"/>
    <s v="A"/>
    <d v="2026-04-06T00:00:00"/>
    <d v="2026-04-06T00:00:00"/>
    <m/>
    <n v="875"/>
    <s v="PS0002"/>
    <n v="3333"/>
    <n v="791720"/>
    <m/>
    <s v="455788******3074"/>
    <s v="Nac"/>
    <s v="COM"/>
    <x v="5"/>
    <n v="629"/>
    <s v="Abonado"/>
    <n v="18.18"/>
    <n v="8.1199999999999992"/>
    <n v="1.46"/>
    <n v="609.36"/>
    <n v="0"/>
    <m/>
    <n v="20260407"/>
    <m/>
    <s v="DEBITO"/>
    <n v="3908900"/>
    <s v="BCP"/>
    <m/>
    <m/>
    <d v="1899-12-30T18:56:45"/>
    <s v="HONOR MALL DEL SUR"/>
    <s v="BBVA"/>
  </r>
  <r>
    <n v="1044162"/>
    <s v="VA"/>
    <s v="A"/>
    <d v="2026-04-06T00:00:00"/>
    <d v="2026-04-06T00:00:00"/>
    <m/>
    <n v="875"/>
    <n v="65656565"/>
    <n v="3337"/>
    <n v="643924"/>
    <m/>
    <s v="455788******6399"/>
    <s v="Nac"/>
    <s v="COM"/>
    <x v="5"/>
    <n v="459"/>
    <s v="Abonado"/>
    <n v="13.26"/>
    <n v="5.92"/>
    <n v="1.07"/>
    <n v="444.67"/>
    <n v="0"/>
    <m/>
    <n v="20260407"/>
    <m/>
    <s v="DEBITO"/>
    <n v="3908900"/>
    <s v="BCP"/>
    <m/>
    <s v="Yape"/>
    <d v="1899-12-30T19:26:17"/>
    <s v="HONOR MALL DEL SUR"/>
    <s v="BBVA"/>
  </r>
  <r>
    <n v="1044162"/>
    <s v="VA"/>
    <s v="A"/>
    <d v="2026-04-06T00:00:00"/>
    <d v="2026-04-06T00:00:00"/>
    <m/>
    <n v="875"/>
    <s v="PS0002"/>
    <n v="3346"/>
    <n v="257781"/>
    <n v="4"/>
    <s v="447409******4968"/>
    <s v="Nac"/>
    <s v="COM"/>
    <x v="5"/>
    <n v="1149"/>
    <s v="Abonado"/>
    <n v="33.21"/>
    <n v="9.08"/>
    <n v="1.63"/>
    <n v="1114.1600000000001"/>
    <n v="0"/>
    <m/>
    <n v="20260407"/>
    <m/>
    <s v="CREDITO"/>
    <n v="3908900"/>
    <s v="BFALABELLA"/>
    <s v="NO"/>
    <m/>
    <d v="1899-12-30T19:40:14"/>
    <s v="HONOR MALL DEL SUR"/>
    <s v="BBVA"/>
  </r>
  <r>
    <n v="1044162"/>
    <s v="VA"/>
    <s v="A"/>
    <d v="2026-04-06T00:00:00"/>
    <d v="2026-04-06T00:00:00"/>
    <m/>
    <n v="875"/>
    <s v="PS0002"/>
    <n v="3350"/>
    <n v="793565"/>
    <m/>
    <s v="455788******1877"/>
    <s v="Nac"/>
    <s v="COM"/>
    <x v="5"/>
    <n v="839"/>
    <s v="Abonado"/>
    <n v="24.25"/>
    <n v="10.83"/>
    <n v="1.95"/>
    <n v="812.8"/>
    <n v="0"/>
    <m/>
    <n v="20260407"/>
    <m/>
    <s v="DEBITO"/>
    <n v="3908900"/>
    <s v="BCP"/>
    <m/>
    <m/>
    <d v="1899-12-30T20:30:52"/>
    <s v="HONOR MALL DEL SUR"/>
    <s v="BBVA"/>
  </r>
  <r>
    <n v="1044162"/>
    <s v="VA"/>
    <s v="A"/>
    <d v="2026-04-06T00:00:00"/>
    <d v="2026-04-06T00:00:00"/>
    <m/>
    <n v="875"/>
    <s v="PS0002"/>
    <n v="3352"/>
    <n v="324891"/>
    <m/>
    <s v="447410******2344"/>
    <s v="Nac"/>
    <s v="COM"/>
    <x v="5"/>
    <n v="568"/>
    <s v="Abonado"/>
    <n v="16.420000000000002"/>
    <n v="3.36"/>
    <n v="0.6"/>
    <n v="550.98"/>
    <n v="0"/>
    <m/>
    <n v="20260407"/>
    <m/>
    <s v="CREDITO"/>
    <n v="3908900"/>
    <s v="BFALABELLA"/>
    <m/>
    <m/>
    <d v="1899-12-30T20:51:41"/>
    <s v="HONOR MALL DEL SUR"/>
    <s v="BBVA"/>
  </r>
  <r>
    <n v="1044162"/>
    <s v="VA"/>
    <s v="A"/>
    <d v="2026-04-06T00:00:00"/>
    <d v="2026-04-06T00:00:00"/>
    <m/>
    <n v="875"/>
    <s v="PS0002"/>
    <n v="3354"/>
    <n v="789479"/>
    <n v="3"/>
    <s v="414791******1248"/>
    <s v="Nac"/>
    <s v="COM"/>
    <x v="5"/>
    <n v="698"/>
    <s v="Abonado"/>
    <n v="32.39"/>
    <n v="4.12"/>
    <n v="0.74"/>
    <n v="664.87"/>
    <n v="0"/>
    <m/>
    <n v="20260407"/>
    <m/>
    <s v="CREDITO"/>
    <n v="3908900"/>
    <s v="BBVA"/>
    <s v="SI"/>
    <m/>
    <d v="1899-12-30T20:58:53"/>
    <s v="HONOR MALL DEL SUR"/>
    <s v="BBVA"/>
  </r>
  <r>
    <n v="1044162"/>
    <s v="VA"/>
    <s v="A"/>
    <d v="2026-04-06T00:00:00"/>
    <d v="2026-04-06T00:00:00"/>
    <m/>
    <n v="875"/>
    <s v="PS0002"/>
    <n v="3356"/>
    <n v="851836"/>
    <m/>
    <s v="491246******0201"/>
    <s v="Nac"/>
    <s v="COM"/>
    <x v="5"/>
    <n v="299"/>
    <s v="Abonado"/>
    <n v="8.64"/>
    <n v="2.36"/>
    <n v="0.42"/>
    <n v="289.94"/>
    <n v="0"/>
    <m/>
    <n v="20260407"/>
    <m/>
    <s v="DEBITO"/>
    <n v="3908900"/>
    <s v="BCP"/>
    <m/>
    <m/>
    <d v="1899-12-30T21:09:40"/>
    <s v="HONOR MALL DEL SUR"/>
    <s v="BBVA"/>
  </r>
  <r>
    <n v="1044162"/>
    <s v="VA"/>
    <s v="A"/>
    <d v="2026-04-06T00:00:00"/>
    <d v="2026-04-06T00:00:00"/>
    <m/>
    <n v="875"/>
    <s v="PS0002"/>
    <n v="3358"/>
    <n v="43078"/>
    <m/>
    <s v="455788******7630"/>
    <s v="Nac"/>
    <s v="COM"/>
    <x v="5"/>
    <n v="3228.9"/>
    <s v="Abonado"/>
    <n v="93.32"/>
    <n v="41.66"/>
    <n v="7.5"/>
    <n v="3128.08"/>
    <n v="0"/>
    <m/>
    <n v="20260407"/>
    <m/>
    <s v="DEBITO"/>
    <n v="3908900"/>
    <s v="BCP"/>
    <m/>
    <m/>
    <d v="1899-12-30T21:12:21"/>
    <s v="HONOR MALL DEL SUR"/>
    <s v="BBVA"/>
  </r>
  <r>
    <n v="1044162"/>
    <s v="VA"/>
    <s v="A"/>
    <d v="2026-04-06T00:00:00"/>
    <d v="2026-04-06T00:00:00"/>
    <m/>
    <n v="875"/>
    <s v="PS0002"/>
    <n v="3360"/>
    <n v="887308"/>
    <m/>
    <s v="455788******8071"/>
    <s v="Nac"/>
    <s v="COM"/>
    <x v="5"/>
    <n v="62.9"/>
    <s v="Abonado"/>
    <n v="1.82"/>
    <n v="0.81"/>
    <n v="0.15"/>
    <n v="60.93"/>
    <n v="0"/>
    <m/>
    <n v="20260407"/>
    <m/>
    <s v="DEBITO"/>
    <n v="3908900"/>
    <s v="BCP"/>
    <m/>
    <m/>
    <d v="1899-12-30T21:21:37"/>
    <s v="HONOR MALL DEL SUR"/>
    <s v="BBVA"/>
  </r>
  <r>
    <n v="1044162"/>
    <s v="VA"/>
    <s v="A"/>
    <d v="2026-04-06T00:00:00"/>
    <d v="2026-04-06T00:00:00"/>
    <m/>
    <n v="875"/>
    <s v="PS0002"/>
    <n v="3362"/>
    <n v="897583"/>
    <m/>
    <s v="455788******3448"/>
    <s v="Nac"/>
    <s v="COM"/>
    <x v="5"/>
    <n v="189"/>
    <s v="Abonado"/>
    <n v="5.46"/>
    <n v="2.44"/>
    <n v="0.44"/>
    <n v="183.1"/>
    <n v="0"/>
    <m/>
    <n v="20260407"/>
    <m/>
    <s v="DEBITO"/>
    <n v="3908900"/>
    <s v="BCP"/>
    <m/>
    <m/>
    <d v="1899-12-30T21:28:23"/>
    <s v="HONOR MALL DEL SUR"/>
    <s v="BBVA"/>
  </r>
  <r>
    <n v="1044162"/>
    <s v="VA"/>
    <s v="A"/>
    <d v="2026-04-06T00:00:00"/>
    <d v="2026-04-06T00:00:00"/>
    <m/>
    <n v="875"/>
    <s v="PS0002"/>
    <n v="3364"/>
    <n v="903827"/>
    <m/>
    <s v="491914******9682"/>
    <s v="Nac"/>
    <s v="COM"/>
    <x v="5"/>
    <n v="688"/>
    <s v="Abonado"/>
    <n v="19.88"/>
    <n v="4.0599999999999996"/>
    <n v="0.73"/>
    <n v="667.39"/>
    <n v="0"/>
    <m/>
    <n v="20260407"/>
    <m/>
    <s v="CREDITO"/>
    <n v="3908900"/>
    <s v="BBVA"/>
    <m/>
    <m/>
    <d v="1899-12-30T21:37:58"/>
    <s v="HONOR MALL DEL SUR"/>
    <s v="BBVA"/>
  </r>
  <r>
    <n v="1044162"/>
    <s v="VA"/>
    <s v="A"/>
    <d v="2026-04-06T00:00:00"/>
    <d v="2026-04-06T00:00:00"/>
    <m/>
    <n v="875"/>
    <s v="PS0002"/>
    <n v="3366"/>
    <n v="545363"/>
    <m/>
    <s v="421355******2559"/>
    <s v="Nac"/>
    <s v="COM"/>
    <x v="5"/>
    <n v="94.9"/>
    <s v="Abonado"/>
    <n v="2.74"/>
    <n v="1.22"/>
    <n v="0.22"/>
    <n v="91.94"/>
    <n v="17691.23"/>
    <d v="2026-04-07T00:00:00"/>
    <n v="20260407"/>
    <n v="104101"/>
    <s v="DEBITO"/>
    <n v="3908900"/>
    <s v="IBK PRIVADA"/>
    <m/>
    <m/>
    <d v="1899-12-30T21:40:52"/>
    <s v="HONOR MALL DEL SUR"/>
    <s v="BBVA"/>
  </r>
  <r>
    <n v="1044162"/>
    <s v="MC"/>
    <s v="A"/>
    <d v="2026-04-07T00:00:00"/>
    <d v="2026-04-07T00:00:00"/>
    <m/>
    <n v="876"/>
    <s v="PS0002"/>
    <n v="3418"/>
    <n v="114455"/>
    <m/>
    <s v="511842******0869"/>
    <s v="Nac"/>
    <s v="COM"/>
    <x v="6"/>
    <n v="179"/>
    <s v="Abonado"/>
    <n v="5.17"/>
    <n v="2.04"/>
    <n v="0.37"/>
    <n v="173.46"/>
    <n v="173.46"/>
    <d v="2026-04-08T00:00:00"/>
    <n v="20260408"/>
    <n v="104101"/>
    <s v="DEBITO"/>
    <n v="3908900"/>
    <s v="SCOTIA DEBIT"/>
    <m/>
    <m/>
    <d v="1899-12-30T20:06:11"/>
    <s v="HONOR MALL DEL SUR"/>
    <s v="BBVA"/>
  </r>
  <r>
    <n v="1044162"/>
    <s v="VA"/>
    <s v="A"/>
    <d v="2026-04-07T00:00:00"/>
    <d v="2026-04-07T00:00:00"/>
    <m/>
    <n v="876"/>
    <s v="PS0002"/>
    <n v="3372"/>
    <n v="872552"/>
    <m/>
    <s v="455170******1450"/>
    <s v="Nac"/>
    <s v="COM"/>
    <x v="6"/>
    <n v="1799"/>
    <s v="Abonado"/>
    <n v="51.99"/>
    <n v="23.21"/>
    <n v="4.18"/>
    <n v="1742.83"/>
    <n v="0"/>
    <m/>
    <n v="20260408"/>
    <m/>
    <s v="DEBITO"/>
    <n v="3908900"/>
    <s v="BBVA"/>
    <m/>
    <m/>
    <d v="1899-12-30T10:41:01"/>
    <s v="HONOR MALL DEL SUR"/>
    <s v="BBVA"/>
  </r>
  <r>
    <n v="1044162"/>
    <s v="VA"/>
    <s v="A"/>
    <d v="2026-04-07T00:00:00"/>
    <d v="2026-04-07T00:00:00"/>
    <m/>
    <n v="876"/>
    <n v="65656565"/>
    <n v="3374"/>
    <n v="444178"/>
    <m/>
    <s v="455788******9484"/>
    <s v="Nac"/>
    <s v="COM"/>
    <x v="6"/>
    <n v="89"/>
    <s v="Abonado"/>
    <n v="2.57"/>
    <n v="1.1499999999999999"/>
    <n v="0.21"/>
    <n v="86.22"/>
    <n v="0"/>
    <m/>
    <n v="20260408"/>
    <m/>
    <s v="DEBITO"/>
    <n v="3908900"/>
    <s v="BCP"/>
    <m/>
    <s v="Yape"/>
    <d v="1899-12-30T11:33:50"/>
    <s v="HONOR MALL DEL SUR"/>
    <s v="BBVA"/>
  </r>
  <r>
    <n v="1044162"/>
    <s v="VA"/>
    <s v="A"/>
    <d v="2026-04-07T00:00:00"/>
    <d v="2026-04-07T00:00:00"/>
    <m/>
    <n v="876"/>
    <s v="PS0002"/>
    <n v="3377"/>
    <n v="494197"/>
    <m/>
    <s v="455788******4709"/>
    <s v="Nac"/>
    <s v="COM"/>
    <x v="6"/>
    <n v="1149"/>
    <s v="Abonado"/>
    <n v="33.21"/>
    <n v="14.83"/>
    <n v="2.67"/>
    <n v="1113.1199999999999"/>
    <n v="0"/>
    <m/>
    <n v="20260408"/>
    <m/>
    <s v="DEBITO"/>
    <n v="3908900"/>
    <s v="BCP"/>
    <m/>
    <m/>
    <d v="1899-12-30T12:05:36"/>
    <s v="HONOR MALL DEL SUR"/>
    <s v="BBVA"/>
  </r>
  <r>
    <n v="1044162"/>
    <s v="VA"/>
    <s v="A"/>
    <d v="2026-04-07T00:00:00"/>
    <d v="2026-04-07T00:00:00"/>
    <m/>
    <n v="876"/>
    <s v="PS0002"/>
    <n v="3379"/>
    <n v="651373"/>
    <m/>
    <s v="455788******9086"/>
    <s v="Nac"/>
    <s v="COM"/>
    <x v="6"/>
    <n v="170"/>
    <s v="Abonado"/>
    <n v="4.91"/>
    <n v="2.19"/>
    <n v="0.39"/>
    <n v="164.7"/>
    <n v="0"/>
    <m/>
    <n v="20260408"/>
    <m/>
    <s v="DEBITO"/>
    <n v="3908900"/>
    <s v="BCP"/>
    <m/>
    <m/>
    <d v="1899-12-30T13:35:14"/>
    <s v="HONOR MALL DEL SUR"/>
    <s v="BBVA"/>
  </r>
  <r>
    <n v="1044162"/>
    <s v="VA"/>
    <s v="A"/>
    <d v="2026-04-07T00:00:00"/>
    <d v="2026-04-07T00:00:00"/>
    <m/>
    <n v="876"/>
    <s v="PS0002"/>
    <n v="3381"/>
    <n v="678996"/>
    <m/>
    <s v="455788******8407"/>
    <s v="Nac"/>
    <s v="COM"/>
    <x v="6"/>
    <n v="22.5"/>
    <s v="Abonado"/>
    <n v="0.65"/>
    <n v="0.28999999999999998"/>
    <n v="0.05"/>
    <n v="21.8"/>
    <n v="0"/>
    <m/>
    <n v="20260408"/>
    <m/>
    <s v="DEBITO"/>
    <n v="3908900"/>
    <s v="BCP"/>
    <m/>
    <m/>
    <d v="1899-12-30T13:35:45"/>
    <s v="HONOR MALL DEL SUR"/>
    <s v="BBVA"/>
  </r>
  <r>
    <n v="1044162"/>
    <s v="VA"/>
    <s v="A"/>
    <d v="2026-04-07T00:00:00"/>
    <d v="2026-04-07T00:00:00"/>
    <m/>
    <n v="876"/>
    <s v="PS0002"/>
    <n v="3386"/>
    <n v="75343"/>
    <m/>
    <s v="455788******7679"/>
    <s v="Nac"/>
    <s v="COM"/>
    <x v="6"/>
    <n v="659"/>
    <s v="Abonado"/>
    <n v="19.05"/>
    <n v="8.51"/>
    <n v="1.53"/>
    <n v="638.41999999999996"/>
    <n v="0"/>
    <m/>
    <n v="20260408"/>
    <m/>
    <s v="DEBITO"/>
    <n v="3908900"/>
    <s v="BCP"/>
    <m/>
    <m/>
    <d v="1899-12-30T15:22:24"/>
    <s v="HONOR MALL DEL SUR"/>
    <s v="BBVA"/>
  </r>
  <r>
    <n v="1044162"/>
    <s v="VA"/>
    <s v="A"/>
    <d v="2026-04-07T00:00:00"/>
    <d v="2026-04-07T00:00:00"/>
    <m/>
    <n v="876"/>
    <s v="PS0002"/>
    <n v="3397"/>
    <n v="154806"/>
    <m/>
    <s v="483039******9147"/>
    <s v="Nac"/>
    <s v="COM"/>
    <x v="6"/>
    <n v="566"/>
    <s v="Abonado"/>
    <n v="16.36"/>
    <n v="4.47"/>
    <n v="0.8"/>
    <n v="548.84"/>
    <n v="0"/>
    <m/>
    <n v="20260408"/>
    <m/>
    <s v="DEBITO"/>
    <n v="3908900"/>
    <s v="IBK PRIVADA"/>
    <m/>
    <m/>
    <d v="1899-12-30T15:47:02"/>
    <s v="HONOR MALL DEL SUR"/>
    <s v="BBVA"/>
  </r>
  <r>
    <n v="1044162"/>
    <s v="VA"/>
    <s v="A"/>
    <d v="2026-04-07T00:00:00"/>
    <d v="2026-04-07T00:00:00"/>
    <m/>
    <n v="876"/>
    <s v="PS0002"/>
    <n v="3400"/>
    <n v="163920"/>
    <m/>
    <s v="455788******7803"/>
    <s v="Nac"/>
    <s v="COM"/>
    <x v="6"/>
    <n v="1149"/>
    <s v="Abonado"/>
    <n v="33.21"/>
    <n v="14.83"/>
    <n v="2.67"/>
    <n v="1113.1199999999999"/>
    <n v="0"/>
    <m/>
    <n v="20260408"/>
    <m/>
    <s v="DEBITO"/>
    <n v="3908900"/>
    <s v="BCP"/>
    <m/>
    <m/>
    <d v="1899-12-30T16:15:56"/>
    <s v="HONOR MALL DEL SUR"/>
    <s v="BBVA"/>
  </r>
  <r>
    <n v="1044162"/>
    <s v="VA"/>
    <s v="A"/>
    <d v="2026-04-07T00:00:00"/>
    <d v="2026-04-07T00:00:00"/>
    <m/>
    <n v="876"/>
    <s v="PS0002"/>
    <n v="3402"/>
    <n v="80750"/>
    <n v="3"/>
    <s v="491909******6535"/>
    <s v="Nac"/>
    <s v="COM"/>
    <x v="6"/>
    <n v="1799"/>
    <s v="Abonado"/>
    <n v="83.47"/>
    <n v="14.21"/>
    <n v="2.56"/>
    <n v="1712.97"/>
    <n v="0"/>
    <m/>
    <n v="20260408"/>
    <m/>
    <s v="CREDITO"/>
    <n v="3908900"/>
    <s v="BBVA"/>
    <s v="SI"/>
    <m/>
    <d v="1899-12-30T16:59:32"/>
    <s v="HONOR MALL DEL SUR"/>
    <s v="BBVA"/>
  </r>
  <r>
    <n v="1044162"/>
    <s v="VA"/>
    <s v="A"/>
    <d v="2026-04-07T00:00:00"/>
    <d v="2026-04-07T00:00:00"/>
    <m/>
    <n v="876"/>
    <s v="PS0002"/>
    <n v="3404"/>
    <n v="73286"/>
    <m/>
    <s v="421410******8831"/>
    <s v="Nac"/>
    <s v="COM"/>
    <x v="6"/>
    <n v="1799"/>
    <s v="Abonado"/>
    <n v="51.99"/>
    <n v="23.21"/>
    <n v="4.18"/>
    <n v="1742.83"/>
    <n v="0"/>
    <m/>
    <n v="20260408"/>
    <m/>
    <s v="DEBITO"/>
    <n v="3908900"/>
    <s v="NACION"/>
    <m/>
    <m/>
    <d v="1899-12-30T17:06:07"/>
    <s v="HONOR MALL DEL SUR"/>
    <s v="BBVA"/>
  </r>
  <r>
    <n v="1044162"/>
    <s v="VA"/>
    <s v="A"/>
    <d v="2026-04-07T00:00:00"/>
    <d v="2026-04-07T00:00:00"/>
    <m/>
    <n v="876"/>
    <s v="PS0002"/>
    <n v="3406"/>
    <n v="75299"/>
    <m/>
    <s v="421410******9139"/>
    <s v="Nac"/>
    <s v="COM"/>
    <x v="6"/>
    <n v="659"/>
    <s v="Abonado"/>
    <n v="19.05"/>
    <n v="8.51"/>
    <n v="1.53"/>
    <n v="638.41999999999996"/>
    <n v="0"/>
    <m/>
    <n v="20260408"/>
    <m/>
    <s v="DEBITO"/>
    <n v="3908900"/>
    <s v="NACION"/>
    <m/>
    <m/>
    <d v="1899-12-30T17:17:58"/>
    <s v="HONOR MALL DEL SUR"/>
    <s v="BBVA"/>
  </r>
  <r>
    <n v="1044162"/>
    <s v="VA"/>
    <s v="A"/>
    <d v="2026-04-07T00:00:00"/>
    <d v="2026-04-07T00:00:00"/>
    <m/>
    <n v="876"/>
    <s v="PS0002"/>
    <n v="3410"/>
    <n v="82905"/>
    <m/>
    <s v="421410******0685"/>
    <s v="Nac"/>
    <s v="COM"/>
    <x v="6"/>
    <n v="529"/>
    <s v="Abonado"/>
    <n v="15.29"/>
    <n v="6.83"/>
    <n v="1.23"/>
    <n v="512.48"/>
    <n v="0"/>
    <m/>
    <n v="20260408"/>
    <m/>
    <s v="DEBITO"/>
    <n v="3908900"/>
    <s v="NACION"/>
    <m/>
    <m/>
    <d v="1899-12-30T18:00:33"/>
    <s v="HONOR MALL DEL SUR"/>
    <s v="BBVA"/>
  </r>
  <r>
    <n v="1044162"/>
    <s v="VA"/>
    <s v="A"/>
    <d v="2026-04-07T00:00:00"/>
    <d v="2026-04-07T00:00:00"/>
    <m/>
    <n v="876"/>
    <s v="PS0002"/>
    <n v="3412"/>
    <n v="192220"/>
    <m/>
    <s v="483039******9147"/>
    <s v="Nac"/>
    <s v="COM"/>
    <x v="6"/>
    <n v="1057"/>
    <s v="Abonado"/>
    <n v="30.55"/>
    <n v="8.35"/>
    <n v="1.5"/>
    <n v="1024.95"/>
    <n v="0"/>
    <m/>
    <n v="20260408"/>
    <m/>
    <s v="DEBITO"/>
    <n v="3908900"/>
    <s v="IBK PRIVADA"/>
    <m/>
    <m/>
    <d v="1899-12-30T19:21:17"/>
    <s v="HONOR MALL DEL SUR"/>
    <s v="BBVA"/>
  </r>
  <r>
    <n v="1044162"/>
    <s v="VA"/>
    <s v="A"/>
    <d v="2026-04-07T00:00:00"/>
    <d v="2026-04-07T00:00:00"/>
    <m/>
    <n v="876"/>
    <s v="PS0002"/>
    <n v="3414"/>
    <n v="675497"/>
    <m/>
    <s v="455103******8044"/>
    <s v="Nac"/>
    <s v="COM"/>
    <x v="6"/>
    <n v="568"/>
    <s v="Abonado"/>
    <n v="16.420000000000002"/>
    <n v="7.33"/>
    <n v="1.32"/>
    <n v="550.26"/>
    <n v="0"/>
    <m/>
    <n v="20260408"/>
    <m/>
    <s v="DEBITO"/>
    <n v="3908900"/>
    <s v="BBVA"/>
    <m/>
    <m/>
    <d v="1899-12-30T19:39:42"/>
    <s v="HONOR MALL DEL SUR"/>
    <s v="BBVA"/>
  </r>
  <r>
    <n v="1044162"/>
    <s v="VA"/>
    <s v="A"/>
    <d v="2026-04-07T00:00:00"/>
    <d v="2026-04-07T00:00:00"/>
    <m/>
    <n v="876"/>
    <s v="PS0002"/>
    <n v="3416"/>
    <n v="691503"/>
    <m/>
    <s v="455103******1587"/>
    <s v="Nac"/>
    <s v="COM"/>
    <x v="6"/>
    <n v="69"/>
    <s v="Abonado"/>
    <n v="1.99"/>
    <n v="0.89"/>
    <n v="0.16"/>
    <n v="66.849999999999994"/>
    <n v="0"/>
    <m/>
    <n v="20260408"/>
    <m/>
    <s v="DEBITO"/>
    <n v="3908900"/>
    <s v="BBVA"/>
    <m/>
    <m/>
    <d v="1899-12-30T19:43:53"/>
    <s v="HONOR MALL DEL SUR"/>
    <s v="BBVA"/>
  </r>
  <r>
    <n v="1044162"/>
    <s v="VA"/>
    <s v="A"/>
    <d v="2026-04-07T00:00:00"/>
    <d v="2026-04-07T00:00:00"/>
    <m/>
    <n v="876"/>
    <s v="PS0002"/>
    <n v="3420"/>
    <n v="3749"/>
    <m/>
    <s v="455103******2649"/>
    <s v="Nac"/>
    <s v="COM"/>
    <x v="6"/>
    <n v="1300"/>
    <s v="Abonado"/>
    <n v="37.57"/>
    <n v="16.77"/>
    <n v="3.02"/>
    <n v="1259.4100000000001"/>
    <n v="0"/>
    <m/>
    <n v="20260408"/>
    <m/>
    <s v="DEBITO"/>
    <n v="3908900"/>
    <s v="BBVA"/>
    <m/>
    <m/>
    <d v="1899-12-30T21:19:04"/>
    <s v="HONOR MALL DEL SUR"/>
    <s v="BBVA"/>
  </r>
  <r>
    <n v="1044162"/>
    <s v="VA"/>
    <s v="A"/>
    <d v="2026-04-07T00:00:00"/>
    <d v="2026-04-07T00:00:00"/>
    <m/>
    <n v="876"/>
    <s v="PS0002"/>
    <n v="3422"/>
    <n v="5362"/>
    <n v="3"/>
    <s v="414791******0459"/>
    <s v="Nac"/>
    <s v="COM"/>
    <x v="6"/>
    <n v="699"/>
    <s v="Abonado"/>
    <n v="32.43"/>
    <n v="4.12"/>
    <n v="0.74"/>
    <n v="665.83"/>
    <n v="13603.05"/>
    <d v="2026-04-08T00:00:00"/>
    <n v="20260408"/>
    <n v="104101"/>
    <s v="CREDITO"/>
    <n v="3908900"/>
    <s v="BBVA"/>
    <s v="SI"/>
    <m/>
    <d v="1899-12-30T21:19:42"/>
    <s v="HONOR MALL DEL SUR"/>
    <s v="BBVA"/>
  </r>
  <r>
    <n v="1044162"/>
    <s v="MC"/>
    <s v="A"/>
    <d v="2026-04-08T00:00:00"/>
    <d v="2026-04-08T00:00:00"/>
    <m/>
    <n v="877"/>
    <s v="PS0002"/>
    <n v="3432"/>
    <n v="39760"/>
    <m/>
    <s v="511842******4188"/>
    <s v="Nac"/>
    <s v="COM"/>
    <x v="7"/>
    <n v="99"/>
    <s v="Abonado"/>
    <n v="2.86"/>
    <n v="1.1299999999999999"/>
    <n v="0.2"/>
    <n v="95.94"/>
    <n v="95.94"/>
    <d v="2026-04-09T00:00:00"/>
    <n v="20260409"/>
    <n v="104101"/>
    <s v="DEBITO"/>
    <n v="3908900"/>
    <s v="SCOTIA DEBIT"/>
    <m/>
    <m/>
    <d v="1899-12-30T12:27:36"/>
    <s v="HONOR MALL DEL SUR"/>
    <s v="BBVA"/>
  </r>
  <r>
    <n v="1044162"/>
    <s v="VA"/>
    <s v="A"/>
    <d v="2026-04-08T00:00:00"/>
    <d v="2026-04-08T00:00:00"/>
    <m/>
    <n v="877"/>
    <s v="PS0002"/>
    <n v="3430"/>
    <n v="187203"/>
    <m/>
    <s v="455170******1645"/>
    <s v="Nac"/>
    <s v="COM"/>
    <x v="7"/>
    <n v="498"/>
    <s v="Abonado"/>
    <n v="14.39"/>
    <n v="6.42"/>
    <n v="1.1599999999999999"/>
    <n v="482.45"/>
    <n v="0"/>
    <m/>
    <n v="20260409"/>
    <m/>
    <s v="DEBITO"/>
    <n v="3908900"/>
    <s v="BBVA"/>
    <m/>
    <m/>
    <d v="1899-12-30T11:45:43"/>
    <s v="HONOR MALL DEL SUR"/>
    <s v="BBVA"/>
  </r>
  <r>
    <n v="1044162"/>
    <s v="VA"/>
    <s v="A"/>
    <d v="2026-04-08T00:00:00"/>
    <d v="2026-04-08T00:00:00"/>
    <m/>
    <n v="877"/>
    <s v="PS0002"/>
    <n v="3434"/>
    <n v="90369"/>
    <n v="6"/>
    <s v="455696******5868"/>
    <s v="Nac"/>
    <s v="COM"/>
    <x v="7"/>
    <n v="179.9"/>
    <s v="Abonado"/>
    <n v="5.2"/>
    <n v="1.42"/>
    <n v="0.26"/>
    <n v="174.44"/>
    <n v="0"/>
    <m/>
    <n v="20260409"/>
    <m/>
    <s v="CREDITO"/>
    <n v="3908900"/>
    <s v="IBK PRIVADA"/>
    <s v="NO"/>
    <m/>
    <d v="1899-12-30T13:08:55"/>
    <s v="HONOR MALL DEL SUR"/>
    <s v="BBVA"/>
  </r>
  <r>
    <n v="1044162"/>
    <s v="VA"/>
    <s v="A"/>
    <d v="2026-04-08T00:00:00"/>
    <d v="2026-04-08T00:00:00"/>
    <m/>
    <n v="877"/>
    <s v="PS0002"/>
    <n v="3436"/>
    <n v="132656"/>
    <m/>
    <s v="483039******9147"/>
    <s v="Nac"/>
    <s v="COM"/>
    <x v="7"/>
    <n v="449"/>
    <s v="Abonado"/>
    <n v="12.98"/>
    <n v="3.55"/>
    <n v="0.64"/>
    <n v="435.38"/>
    <n v="0"/>
    <m/>
    <n v="20260409"/>
    <m/>
    <s v="DEBITO"/>
    <n v="3908900"/>
    <s v="IBK PRIVADA"/>
    <m/>
    <m/>
    <d v="1899-12-30T13:25:53"/>
    <s v="HONOR MALL DEL SUR"/>
    <s v="BBVA"/>
  </r>
  <r>
    <n v="1044162"/>
    <s v="VA"/>
    <s v="A"/>
    <d v="2026-04-08T00:00:00"/>
    <d v="2026-04-08T00:00:00"/>
    <m/>
    <n v="877"/>
    <s v="PS0002"/>
    <n v="3438"/>
    <n v="803834"/>
    <m/>
    <s v="455103******5827"/>
    <s v="Nac"/>
    <s v="COM"/>
    <x v="7"/>
    <n v="688"/>
    <s v="Abonado"/>
    <n v="19.88"/>
    <n v="8.8699999999999992"/>
    <n v="1.6"/>
    <n v="666.52"/>
    <n v="0"/>
    <m/>
    <n v="20260409"/>
    <m/>
    <s v="DEBITO"/>
    <n v="3908900"/>
    <s v="BBVA"/>
    <m/>
    <m/>
    <d v="1899-12-30T14:50:40"/>
    <s v="HONOR MALL DEL SUR"/>
    <s v="BBVA"/>
  </r>
  <r>
    <n v="1044162"/>
    <s v="VA"/>
    <s v="A"/>
    <d v="2026-04-08T00:00:00"/>
    <d v="2026-04-08T00:00:00"/>
    <m/>
    <n v="877"/>
    <n v="65656565"/>
    <n v="3449"/>
    <n v="666156"/>
    <m/>
    <s v="455788******1208"/>
    <s v="Nac"/>
    <s v="COM"/>
    <x v="7"/>
    <n v="194.8"/>
    <s v="Abonado"/>
    <n v="5.62"/>
    <n v="2.5"/>
    <n v="0.45"/>
    <n v="188.73"/>
    <n v="0"/>
    <m/>
    <n v="20260409"/>
    <m/>
    <s v="DEBITO"/>
    <n v="3908900"/>
    <s v="BCP"/>
    <m/>
    <s v="Yape"/>
    <d v="1899-12-30T17:48:18"/>
    <s v="HONOR MALL DEL SUR"/>
    <s v="BBVA"/>
  </r>
  <r>
    <n v="1044162"/>
    <s v="VA"/>
    <s v="A"/>
    <d v="2026-04-08T00:00:00"/>
    <d v="2026-04-08T00:00:00"/>
    <m/>
    <n v="877"/>
    <s v="PS0002"/>
    <n v="3452"/>
    <n v="1692"/>
    <n v="5"/>
    <s v="463401******6674"/>
    <s v="Nac"/>
    <s v="COM"/>
    <x v="7"/>
    <n v="1799"/>
    <s v="Abonado"/>
    <n v="51.99"/>
    <n v="14.21"/>
    <n v="2.56"/>
    <n v="1744.45"/>
    <n v="0"/>
    <m/>
    <n v="20260409"/>
    <m/>
    <s v="CREDITO"/>
    <n v="3908900"/>
    <s v="BCP"/>
    <s v="NO"/>
    <m/>
    <d v="1899-12-30T17:59:36"/>
    <s v="HONOR MALL DEL SUR"/>
    <s v="BBVA"/>
  </r>
  <r>
    <n v="1044162"/>
    <s v="VA"/>
    <s v="A"/>
    <d v="2026-04-08T00:00:00"/>
    <d v="2026-04-08T00:00:00"/>
    <m/>
    <n v="877"/>
    <s v="PS0002"/>
    <n v="3454"/>
    <n v="814881"/>
    <m/>
    <s v="455788******6808"/>
    <s v="Nac"/>
    <s v="COM"/>
    <x v="7"/>
    <n v="1399"/>
    <s v="Abonado"/>
    <n v="40.43"/>
    <n v="18.05"/>
    <n v="3.25"/>
    <n v="1355.32"/>
    <n v="0"/>
    <m/>
    <n v="20260409"/>
    <m/>
    <s v="DEBITO"/>
    <n v="3908900"/>
    <s v="BCP"/>
    <m/>
    <m/>
    <d v="1899-12-30T18:47:57"/>
    <s v="HONOR MALL DEL SUR"/>
    <s v="BBVA"/>
  </r>
  <r>
    <n v="1044162"/>
    <s v="VA"/>
    <s v="A"/>
    <d v="2026-04-08T00:00:00"/>
    <d v="2026-04-08T00:00:00"/>
    <m/>
    <n v="877"/>
    <n v="65656565"/>
    <n v="3456"/>
    <n v="789921"/>
    <m/>
    <s v="455788******7700"/>
    <s v="Nac"/>
    <s v="COM"/>
    <x v="7"/>
    <n v="49"/>
    <s v="Abonado"/>
    <n v="1.41"/>
    <n v="0.63"/>
    <n v="0.11"/>
    <n v="47.48"/>
    <n v="0"/>
    <m/>
    <n v="20260409"/>
    <m/>
    <s v="DEBITO"/>
    <n v="3908900"/>
    <s v="VISA LOC"/>
    <m/>
    <s v="Yape"/>
    <d v="1899-12-30T18:53:48"/>
    <s v="HONOR MALL DEL SUR"/>
    <s v="BBVA"/>
  </r>
  <r>
    <n v="1044162"/>
    <s v="VA"/>
    <s v="A"/>
    <d v="2026-04-08T00:00:00"/>
    <d v="2026-04-08T00:00:00"/>
    <m/>
    <n v="877"/>
    <s v="PS0002"/>
    <n v="3459"/>
    <n v="141610"/>
    <m/>
    <s v="455788******5483"/>
    <s v="Nac"/>
    <s v="COM"/>
    <x v="7"/>
    <n v="1197"/>
    <s v="Abonado"/>
    <n v="34.590000000000003"/>
    <n v="15.44"/>
    <n v="2.78"/>
    <n v="1159.6300000000001"/>
    <n v="0"/>
    <m/>
    <n v="20260409"/>
    <m/>
    <s v="DEBITO"/>
    <n v="3908900"/>
    <s v="BCP"/>
    <m/>
    <m/>
    <d v="1899-12-30T19:16:39"/>
    <s v="HONOR MALL DEL SUR"/>
    <s v="BBVA"/>
  </r>
  <r>
    <n v="1044162"/>
    <s v="VA"/>
    <s v="A"/>
    <d v="2026-04-08T00:00:00"/>
    <d v="2026-04-08T00:00:00"/>
    <m/>
    <n v="877"/>
    <s v="PS0002"/>
    <n v="3463"/>
    <n v="15824"/>
    <m/>
    <s v="491872******5838"/>
    <s v="Ext"/>
    <s v="COM"/>
    <x v="7"/>
    <n v="568"/>
    <s v="Abonado"/>
    <n v="22.15"/>
    <n v="10.91"/>
    <n v="1.96"/>
    <n v="543.89"/>
    <n v="0"/>
    <m/>
    <n v="20260409"/>
    <m/>
    <s v="CREDITO"/>
    <n v="3908900"/>
    <s v="VISA INT"/>
    <m/>
    <m/>
    <d v="1899-12-30T19:50:52"/>
    <s v="HONOR MALL DEL SUR"/>
    <s v="BBVA"/>
  </r>
  <r>
    <n v="1044162"/>
    <s v="VA"/>
    <s v="A"/>
    <d v="2026-04-08T00:00:00"/>
    <d v="2026-04-08T00:00:00"/>
    <m/>
    <n v="877"/>
    <n v="65656565"/>
    <n v="3466"/>
    <n v="993967"/>
    <m/>
    <s v="455788******4996"/>
    <s v="Nac"/>
    <s v="COM"/>
    <x v="7"/>
    <n v="62.9"/>
    <s v="Abonado"/>
    <n v="1.81"/>
    <n v="0.8"/>
    <n v="0.14000000000000001"/>
    <n v="60.95"/>
    <n v="0"/>
    <m/>
    <n v="20260409"/>
    <m/>
    <s v="DEBITO"/>
    <n v="3908900"/>
    <s v="BCP"/>
    <m/>
    <s v="Yape"/>
    <d v="1899-12-30T20:20:28"/>
    <s v="HONOR MALL DEL SUR"/>
    <s v="BBVA"/>
  </r>
  <r>
    <n v="1044162"/>
    <s v="VA"/>
    <s v="A"/>
    <d v="2026-04-08T00:00:00"/>
    <d v="2026-04-08T00:00:00"/>
    <m/>
    <n v="877"/>
    <s v="PS0002"/>
    <n v="3469"/>
    <n v="82496"/>
    <n v="3"/>
    <s v="422052******2739"/>
    <s v="Nac"/>
    <s v="COM"/>
    <x v="7"/>
    <n v="1799"/>
    <s v="Abonado"/>
    <n v="51.99"/>
    <n v="14.21"/>
    <n v="2.56"/>
    <n v="1744.45"/>
    <n v="0"/>
    <m/>
    <n v="20260409"/>
    <m/>
    <s v="CREDITO"/>
    <n v="3908900"/>
    <s v="CSF PRIV"/>
    <s v="NO"/>
    <m/>
    <d v="1899-12-30T20:47:22"/>
    <s v="HONOR MALL DEL SUR"/>
    <s v="BBVA"/>
  </r>
  <r>
    <n v="1044162"/>
    <s v="VA"/>
    <s v="A"/>
    <d v="2026-04-08T00:00:00"/>
    <d v="2026-04-08T00:00:00"/>
    <m/>
    <n v="877"/>
    <s v="PS0002"/>
    <n v="3471"/>
    <n v="71497"/>
    <m/>
    <s v="455788******9911"/>
    <s v="Nac"/>
    <s v="COM"/>
    <x v="7"/>
    <n v="949"/>
    <s v="Abonado"/>
    <n v="27.43"/>
    <n v="12.25"/>
    <n v="2.21"/>
    <n v="919.36"/>
    <n v="0"/>
    <m/>
    <n v="20260409"/>
    <m/>
    <s v="DEBITO"/>
    <n v="3908900"/>
    <s v="BCP"/>
    <m/>
    <m/>
    <d v="1899-12-30T20:51:29"/>
    <s v="HONOR MALL DEL SUR"/>
    <s v="BBVA"/>
  </r>
  <r>
    <n v="1044162"/>
    <s v="VA"/>
    <s v="A"/>
    <d v="2026-04-08T00:00:00"/>
    <d v="2026-04-08T00:00:00"/>
    <m/>
    <n v="877"/>
    <s v="PS0002"/>
    <n v="3473"/>
    <n v="1117"/>
    <m/>
    <s v="428083******4733"/>
    <s v="Nac"/>
    <s v="COM"/>
    <x v="7"/>
    <n v="3199"/>
    <s v="Abonado"/>
    <n v="92.45"/>
    <n v="12.47"/>
    <n v="2.2400000000000002"/>
    <n v="3104.31"/>
    <n v="0"/>
    <m/>
    <n v="20260409"/>
    <m/>
    <s v="CREDITO"/>
    <n v="3908900"/>
    <s v="BCP"/>
    <m/>
    <m/>
    <d v="1899-12-30T21:07:38"/>
    <s v="HONOR MALL DEL SUR"/>
    <s v="BBVA"/>
  </r>
  <r>
    <n v="1044162"/>
    <s v="VA"/>
    <s v="A"/>
    <d v="2026-04-08T00:00:00"/>
    <d v="2026-04-08T00:00:00"/>
    <m/>
    <n v="877"/>
    <s v="PS0002"/>
    <n v="3476"/>
    <n v="129371"/>
    <m/>
    <s v="426153******5898"/>
    <s v="Nac"/>
    <s v="COM"/>
    <x v="7"/>
    <n v="1699"/>
    <s v="Abonado"/>
    <n v="49.1"/>
    <n v="21.92"/>
    <n v="3.95"/>
    <n v="1645.95"/>
    <n v="0"/>
    <m/>
    <n v="20260409"/>
    <m/>
    <s v="DEBITO"/>
    <n v="3908900"/>
    <s v="CAJA AREQUIP"/>
    <m/>
    <m/>
    <d v="1899-12-30T21:36:42"/>
    <s v="HONOR MALL DEL SUR"/>
    <s v="BBVA"/>
  </r>
  <r>
    <n v="1044162"/>
    <s v="VA"/>
    <s v="A"/>
    <d v="2026-04-08T00:00:00"/>
    <d v="2026-04-08T00:00:00"/>
    <m/>
    <n v="877"/>
    <s v="PS0002"/>
    <n v="3478"/>
    <n v="872642"/>
    <m/>
    <s v="447409******8591"/>
    <s v="Nac"/>
    <s v="COM"/>
    <x v="7"/>
    <n v="1999"/>
    <s v="Abonado"/>
    <n v="57.77"/>
    <n v="15.79"/>
    <n v="2.84"/>
    <n v="1938.39"/>
    <n v="16211.7"/>
    <d v="2026-04-09T00:00:00"/>
    <n v="20260409"/>
    <n v="104101"/>
    <s v="CREDITO"/>
    <n v="3908900"/>
    <s v="BFALABELLA"/>
    <m/>
    <m/>
    <d v="1899-12-30T21:52:47"/>
    <s v="HONOR MALL DEL SUR"/>
    <s v="BBVA"/>
  </r>
  <r>
    <n v="1044162"/>
    <s v="MC"/>
    <s v="A"/>
    <d v="2026-04-09T00:00:00"/>
    <d v="2026-04-09T00:00:00"/>
    <m/>
    <n v="878"/>
    <s v="PS0002"/>
    <n v="3515"/>
    <n v="95006"/>
    <m/>
    <s v="511842******2018"/>
    <s v="Nac"/>
    <s v="COM"/>
    <x v="8"/>
    <n v="1999"/>
    <s v="Abonado"/>
    <n v="57.77"/>
    <n v="22.79"/>
    <n v="4.0999999999999996"/>
    <n v="1937.13"/>
    <n v="1937.13"/>
    <d v="2026-04-10T00:00:00"/>
    <n v="20260410"/>
    <n v="104101"/>
    <s v="DEBITO"/>
    <n v="3908900"/>
    <s v="SCOTIA DEBIT"/>
    <m/>
    <m/>
    <d v="1899-12-30T18:34:30"/>
    <s v="HONOR MALL DEL SUR"/>
    <s v="BBVA"/>
  </r>
  <r>
    <n v="1044162"/>
    <s v="VA"/>
    <s v="A"/>
    <d v="2026-04-09T00:00:00"/>
    <d v="2026-04-09T00:00:00"/>
    <m/>
    <n v="878"/>
    <s v="PS0002"/>
    <n v="3484"/>
    <n v="109557"/>
    <n v="3"/>
    <s v="414075******2386"/>
    <s v="Nac"/>
    <s v="COM"/>
    <x v="8"/>
    <n v="498"/>
    <s v="Abonado"/>
    <n v="23.11"/>
    <n v="1.94"/>
    <n v="0.35"/>
    <n v="474.54"/>
    <n v="0"/>
    <m/>
    <n v="20260410"/>
    <m/>
    <s v="CREDITO"/>
    <n v="3908900"/>
    <s v="BBVA"/>
    <s v="SI"/>
    <m/>
    <d v="1899-12-30T10:56:56"/>
    <s v="HONOR MALL DEL SUR"/>
    <s v="BBVA"/>
  </r>
  <r>
    <n v="1044162"/>
    <s v="VA"/>
    <s v="A"/>
    <d v="2026-04-09T00:00:00"/>
    <d v="2026-04-09T00:00:00"/>
    <m/>
    <n v="878"/>
    <s v="PS0002"/>
    <n v="3486"/>
    <n v="571700"/>
    <m/>
    <s v="455788******6412"/>
    <s v="Nac"/>
    <s v="COM"/>
    <x v="8"/>
    <n v="629"/>
    <s v="Abonado"/>
    <n v="18.18"/>
    <n v="8.1199999999999992"/>
    <n v="1.46"/>
    <n v="609.36"/>
    <n v="0"/>
    <m/>
    <n v="20260410"/>
    <m/>
    <s v="DEBITO"/>
    <n v="3908900"/>
    <s v="BCP"/>
    <m/>
    <m/>
    <d v="1899-12-30T11:08:38"/>
    <s v="HONOR MALL DEL SUR"/>
    <s v="BBVA"/>
  </r>
  <r>
    <n v="1044162"/>
    <s v="VA"/>
    <s v="A"/>
    <d v="2026-04-09T00:00:00"/>
    <d v="2026-04-09T00:00:00"/>
    <m/>
    <n v="878"/>
    <s v="PS0002"/>
    <n v="3488"/>
    <n v="736672"/>
    <m/>
    <s v="455788******3924"/>
    <s v="Nac"/>
    <s v="COM"/>
    <x v="8"/>
    <n v="1149"/>
    <s v="Abonado"/>
    <n v="33.21"/>
    <n v="14.83"/>
    <n v="2.67"/>
    <n v="1113.1199999999999"/>
    <n v="0"/>
    <m/>
    <n v="20260410"/>
    <m/>
    <s v="DEBITO"/>
    <n v="3908900"/>
    <s v="BCP"/>
    <m/>
    <m/>
    <d v="1899-12-30T12:26:35"/>
    <s v="HONOR MALL DEL SUR"/>
    <s v="BBVA"/>
  </r>
  <r>
    <n v="1044162"/>
    <s v="VA"/>
    <s v="A"/>
    <d v="2026-04-09T00:00:00"/>
    <d v="2026-04-09T00:00:00"/>
    <m/>
    <n v="878"/>
    <s v="PS0002"/>
    <n v="3490"/>
    <n v="653060"/>
    <m/>
    <s v="455170******8598"/>
    <s v="Nac"/>
    <s v="COM"/>
    <x v="8"/>
    <n v="1999"/>
    <s v="Abonado"/>
    <n v="57.77"/>
    <n v="25.79"/>
    <n v="4.6399999999999997"/>
    <n v="1936.59"/>
    <n v="0"/>
    <m/>
    <n v="20260410"/>
    <m/>
    <s v="DEBITO"/>
    <n v="3908900"/>
    <s v="BBVA"/>
    <m/>
    <m/>
    <d v="1899-12-30T13:43:21"/>
    <s v="HONOR MALL DEL SUR"/>
    <s v="BBVA"/>
  </r>
  <r>
    <n v="1044162"/>
    <s v="VA"/>
    <s v="A"/>
    <d v="2026-04-09T00:00:00"/>
    <d v="2026-04-09T00:00:00"/>
    <m/>
    <n v="878"/>
    <s v="PS0002"/>
    <n v="3492"/>
    <n v="15230"/>
    <m/>
    <s v="447409******0167"/>
    <s v="Nac"/>
    <s v="COM"/>
    <x v="8"/>
    <n v="629"/>
    <s v="Abonado"/>
    <n v="18.18"/>
    <n v="4.97"/>
    <n v="0.89"/>
    <n v="609.92999999999995"/>
    <n v="0"/>
    <m/>
    <n v="20260410"/>
    <m/>
    <s v="CREDITO"/>
    <n v="3908900"/>
    <s v="BFALABELLA"/>
    <m/>
    <m/>
    <d v="1899-12-30T14:33:27"/>
    <s v="HONOR MALL DEL SUR"/>
    <s v="BBVA"/>
  </r>
  <r>
    <n v="1044162"/>
    <s v="VA"/>
    <s v="A"/>
    <d v="2026-04-09T00:00:00"/>
    <d v="2026-04-09T00:00:00"/>
    <m/>
    <n v="878"/>
    <s v="PS0002"/>
    <n v="3494"/>
    <n v="6802"/>
    <m/>
    <s v="455788******0247"/>
    <s v="Nac"/>
    <s v="COM"/>
    <x v="8"/>
    <n v="629"/>
    <s v="Abonado"/>
    <n v="18.18"/>
    <n v="8.1199999999999992"/>
    <n v="1.46"/>
    <n v="609.36"/>
    <n v="0"/>
    <m/>
    <n v="20260410"/>
    <m/>
    <s v="DEBITO"/>
    <n v="3908900"/>
    <s v="BCP"/>
    <m/>
    <m/>
    <d v="1899-12-30T15:12:32"/>
    <s v="HONOR MALL DEL SUR"/>
    <s v="BBVA"/>
  </r>
  <r>
    <n v="1044162"/>
    <s v="VA"/>
    <s v="A"/>
    <d v="2026-04-09T00:00:00"/>
    <d v="2026-04-09T00:00:00"/>
    <m/>
    <n v="878"/>
    <s v="PS0002"/>
    <n v="3507"/>
    <n v="79577"/>
    <m/>
    <s v="428581******9998"/>
    <s v="Nac"/>
    <s v="COM"/>
    <x v="8"/>
    <n v="529"/>
    <s v="Abonado"/>
    <n v="15.29"/>
    <n v="6.83"/>
    <n v="1.23"/>
    <n v="512.48"/>
    <n v="0"/>
    <m/>
    <n v="20260410"/>
    <m/>
    <s v="DEBITO"/>
    <n v="3908900"/>
    <s v="SCOTIABANK"/>
    <m/>
    <m/>
    <d v="1899-12-30T17:01:05"/>
    <s v="HONOR MALL DEL SUR"/>
    <s v="BBVA"/>
  </r>
  <r>
    <n v="1044162"/>
    <s v="VA"/>
    <s v="A"/>
    <d v="2026-04-09T00:00:00"/>
    <d v="2026-04-09T00:00:00"/>
    <m/>
    <n v="878"/>
    <s v="PS0002"/>
    <n v="3511"/>
    <n v="181319"/>
    <m/>
    <s v="483039******8681"/>
    <s v="Nac"/>
    <s v="COM"/>
    <x v="8"/>
    <n v="566"/>
    <s v="Abonado"/>
    <n v="16.36"/>
    <n v="4.47"/>
    <n v="0.8"/>
    <n v="548.84"/>
    <n v="0"/>
    <m/>
    <n v="20260410"/>
    <m/>
    <s v="DEBITO"/>
    <n v="3908900"/>
    <s v="IBK PRIVADA"/>
    <m/>
    <m/>
    <d v="1899-12-30T18:12:17"/>
    <s v="HONOR MALL DEL SUR"/>
    <s v="BBVA"/>
  </r>
  <r>
    <n v="1044162"/>
    <s v="VA"/>
    <s v="A"/>
    <d v="2026-04-09T00:00:00"/>
    <d v="2026-04-09T00:00:00"/>
    <m/>
    <n v="878"/>
    <s v="PS0002"/>
    <n v="3513"/>
    <n v="341429"/>
    <m/>
    <s v="455788******8867"/>
    <s v="Nac"/>
    <s v="COM"/>
    <x v="8"/>
    <n v="629"/>
    <s v="Abonado"/>
    <n v="18.18"/>
    <n v="8.1199999999999992"/>
    <n v="1.46"/>
    <n v="609.36"/>
    <n v="0"/>
    <m/>
    <n v="20260410"/>
    <m/>
    <s v="DEBITO"/>
    <n v="3908900"/>
    <s v="BCP"/>
    <m/>
    <m/>
    <d v="1899-12-30T18:31:23"/>
    <s v="HONOR MALL DEL SUR"/>
    <s v="BBVA"/>
  </r>
  <r>
    <n v="1044162"/>
    <s v="VA"/>
    <s v="A"/>
    <d v="2026-04-09T00:00:00"/>
    <d v="2026-04-09T00:00:00"/>
    <m/>
    <n v="878"/>
    <s v="PS0002"/>
    <n v="3518"/>
    <n v="1652"/>
    <n v="2"/>
    <s v="463401******1989"/>
    <s v="Nac"/>
    <s v="COM"/>
    <x v="8"/>
    <n v="1999"/>
    <s v="Abonado"/>
    <n v="57.77"/>
    <n v="15.79"/>
    <n v="2.84"/>
    <n v="1938.39"/>
    <n v="0"/>
    <m/>
    <n v="20260410"/>
    <m/>
    <s v="CREDITO"/>
    <n v="3908900"/>
    <s v="BCP"/>
    <s v="NO"/>
    <m/>
    <d v="1899-12-30T18:55:10"/>
    <s v="HONOR MALL DEL SUR"/>
    <s v="BBVA"/>
  </r>
  <r>
    <n v="1044162"/>
    <s v="VA"/>
    <s v="A"/>
    <d v="2026-04-09T00:00:00"/>
    <d v="2026-04-09T00:00:00"/>
    <m/>
    <n v="878"/>
    <s v="PS0002"/>
    <n v="3522"/>
    <n v="387"/>
    <n v="5"/>
    <s v="463402******1987"/>
    <s v="Nac"/>
    <s v="COM"/>
    <x v="8"/>
    <n v="949"/>
    <s v="Abonado"/>
    <n v="27.43"/>
    <n v="7.5"/>
    <n v="1.35"/>
    <n v="920.22"/>
    <n v="0"/>
    <m/>
    <n v="20260410"/>
    <m/>
    <s v="CREDITO"/>
    <n v="3908900"/>
    <s v="BCP"/>
    <s v="NO"/>
    <m/>
    <d v="1899-12-30T20:50:04"/>
    <s v="HONOR MALL DEL SUR"/>
    <s v="BBVA"/>
  </r>
  <r>
    <n v="1044162"/>
    <s v="VA"/>
    <s v="A"/>
    <d v="2026-04-09T00:00:00"/>
    <d v="2026-04-09T00:00:00"/>
    <m/>
    <n v="878"/>
    <s v="PS0002"/>
    <n v="3524"/>
    <n v="241150"/>
    <m/>
    <s v="421355******5670"/>
    <s v="Nac"/>
    <s v="COM"/>
    <x v="8"/>
    <n v="1049"/>
    <s v="Abonado"/>
    <n v="30.32"/>
    <n v="13.54"/>
    <n v="2.44"/>
    <n v="1016.24"/>
    <n v="10898.43"/>
    <d v="2026-04-10T00:00:00"/>
    <n v="20260410"/>
    <n v="104101"/>
    <s v="DEBITO"/>
    <n v="3908900"/>
    <s v="IBK PRIVADA"/>
    <m/>
    <m/>
    <d v="1899-12-30T21:06:54"/>
    <s v="HONOR MALL DEL SUR"/>
    <s v="BBVA"/>
  </r>
  <r>
    <n v="1044162"/>
    <s v="VK"/>
    <s v="A"/>
    <d v="2026-04-09T00:00:00"/>
    <d v="2026-04-09T00:00:00"/>
    <m/>
    <n v="878"/>
    <s v="PS0002"/>
    <n v="3520"/>
    <n v="84937"/>
    <m/>
    <s v="404071******1993"/>
    <s v="Nac"/>
    <s v="COM"/>
    <x v="8"/>
    <n v="1799"/>
    <s v="Abonado"/>
    <n v="51.99"/>
    <n v="14.21"/>
    <n v="2.56"/>
    <n v="1744.45"/>
    <n v="1744.45"/>
    <d v="2026-04-10T00:00:00"/>
    <n v="20260410"/>
    <n v="104101"/>
    <s v="CREDITO"/>
    <n v="3908900"/>
    <s v="SIP MC"/>
    <m/>
    <m/>
    <d v="1899-12-30T19:59:53"/>
    <s v="HONOR MALL DEL SUR"/>
    <s v="BBVA"/>
  </r>
  <r>
    <n v="1044162"/>
    <s v="MC"/>
    <s v="A"/>
    <d v="2026-04-10T00:00:00"/>
    <d v="2026-04-10T00:00:00"/>
    <m/>
    <n v="879"/>
    <s v="PS0002"/>
    <n v="3584"/>
    <n v="143528"/>
    <m/>
    <s v="553650******3146"/>
    <s v="Nac"/>
    <s v="COM"/>
    <x v="9"/>
    <n v="299"/>
    <s v="Abonado"/>
    <n v="8.64"/>
    <n v="1.02"/>
    <n v="0.18"/>
    <n v="290.18"/>
    <n v="290.18"/>
    <d v="2026-04-13T00:00:00"/>
    <n v="20260413"/>
    <n v="104101"/>
    <s v="CREDITO"/>
    <n v="3908900"/>
    <s v="BBVA"/>
    <m/>
    <m/>
    <d v="1899-12-30T20:34:36"/>
    <s v="HONOR MALL DEL SUR"/>
    <s v="BBVA"/>
  </r>
  <r>
    <n v="1044162"/>
    <s v="VA"/>
    <s v="A"/>
    <d v="2026-04-10T00:00:00"/>
    <d v="2026-04-10T00:00:00"/>
    <m/>
    <n v="879"/>
    <s v="PS0002"/>
    <n v="3529"/>
    <n v="36914"/>
    <m/>
    <s v="421410******1664"/>
    <s v="Nac"/>
    <s v="COM"/>
    <x v="9"/>
    <n v="1860"/>
    <s v="Abonado"/>
    <n v="53.75"/>
    <n v="23.99"/>
    <n v="4.32"/>
    <n v="1801.93"/>
    <n v="0"/>
    <m/>
    <n v="20260413"/>
    <m/>
    <s v="DEBITO"/>
    <n v="3908900"/>
    <s v="NACION"/>
    <m/>
    <m/>
    <d v="1899-12-30T11:29:42"/>
    <s v="HONOR MALL DEL SUR"/>
    <s v="BBVA"/>
  </r>
  <r>
    <n v="1044162"/>
    <s v="VA"/>
    <s v="A"/>
    <d v="2026-04-10T00:00:00"/>
    <d v="2026-04-10T00:00:00"/>
    <m/>
    <n v="879"/>
    <s v="PS0002"/>
    <n v="3531"/>
    <n v="314355"/>
    <n v="6"/>
    <s v="407876******5200"/>
    <s v="Nac"/>
    <s v="COM"/>
    <x v="9"/>
    <n v="1799"/>
    <s v="Abonado"/>
    <n v="51.99"/>
    <n v="10.61"/>
    <n v="1.91"/>
    <n v="1745.1"/>
    <n v="0"/>
    <m/>
    <n v="20260413"/>
    <m/>
    <s v="CREDITO"/>
    <n v="3908900"/>
    <s v="BFALABELLA"/>
    <s v="NO"/>
    <m/>
    <d v="1899-12-30T13:23:31"/>
    <s v="HONOR MALL DEL SUR"/>
    <s v="BBVA"/>
  </r>
  <r>
    <n v="1044162"/>
    <s v="VA"/>
    <s v="A"/>
    <d v="2026-04-10T00:00:00"/>
    <d v="2026-04-10T00:00:00"/>
    <m/>
    <n v="879"/>
    <s v="PS0002"/>
    <n v="3535"/>
    <n v="427717"/>
    <m/>
    <s v="455788******4239"/>
    <s v="Nac"/>
    <s v="COM"/>
    <x v="9"/>
    <n v="99"/>
    <s v="Abonado"/>
    <n v="2.86"/>
    <n v="1.28"/>
    <n v="0.23"/>
    <n v="95.91"/>
    <n v="0"/>
    <m/>
    <n v="20260413"/>
    <m/>
    <s v="DEBITO"/>
    <n v="3908900"/>
    <s v="VISA LOC"/>
    <m/>
    <m/>
    <d v="1899-12-30T14:06:04"/>
    <s v="HONOR MALL DEL SUR"/>
    <s v="BBVA"/>
  </r>
  <r>
    <n v="1044162"/>
    <s v="VA"/>
    <s v="A"/>
    <d v="2026-04-10T00:00:00"/>
    <d v="2026-04-10T00:00:00"/>
    <m/>
    <n v="879"/>
    <s v="PS0002"/>
    <n v="3537"/>
    <n v="535190"/>
    <m/>
    <s v="455788******9605"/>
    <s v="Nac"/>
    <s v="COM"/>
    <x v="9"/>
    <n v="739"/>
    <s v="Abonado"/>
    <n v="21.36"/>
    <n v="9.5399999999999991"/>
    <n v="1.72"/>
    <n v="715.92"/>
    <n v="0"/>
    <m/>
    <n v="20260413"/>
    <m/>
    <s v="DEBITO"/>
    <n v="3908900"/>
    <s v="BCP"/>
    <m/>
    <m/>
    <d v="1899-12-30T14:21:42"/>
    <s v="HONOR MALL DEL SUR"/>
    <s v="BBVA"/>
  </r>
  <r>
    <n v="1044162"/>
    <s v="VA"/>
    <s v="A"/>
    <d v="2026-04-10T00:00:00"/>
    <d v="2026-04-10T00:00:00"/>
    <m/>
    <n v="879"/>
    <s v="PS0002"/>
    <n v="3550"/>
    <n v="6263"/>
    <m/>
    <s v="463401******4345"/>
    <s v="Nac"/>
    <s v="COM"/>
    <x v="9"/>
    <n v="1049"/>
    <s v="Abonado"/>
    <n v="30.32"/>
    <n v="8.2899999999999991"/>
    <n v="1.49"/>
    <n v="1017.19"/>
    <n v="0"/>
    <m/>
    <n v="20260413"/>
    <m/>
    <s v="CREDITO"/>
    <n v="3908900"/>
    <s v="BCP"/>
    <m/>
    <m/>
    <d v="1899-12-30T15:37:10"/>
    <s v="HONOR MALL DEL SUR"/>
    <s v="BBVA"/>
  </r>
  <r>
    <n v="1044162"/>
    <s v="VA"/>
    <s v="A"/>
    <d v="2026-04-10T00:00:00"/>
    <d v="2026-04-10T00:00:00"/>
    <m/>
    <n v="879"/>
    <s v="PS0002"/>
    <n v="3552"/>
    <n v="117378"/>
    <m/>
    <s v="428597******5170"/>
    <s v="Nac"/>
    <s v="COM"/>
    <x v="9"/>
    <n v="688"/>
    <s v="Abonado"/>
    <n v="19.88"/>
    <n v="5.43"/>
    <n v="0.98"/>
    <n v="667.14"/>
    <n v="0"/>
    <m/>
    <n v="20260413"/>
    <m/>
    <s v="DEBITO"/>
    <n v="3908900"/>
    <s v="BBVA"/>
    <m/>
    <m/>
    <d v="1899-12-30T15:47:01"/>
    <s v="HONOR MALL DEL SUR"/>
    <s v="BBVA"/>
  </r>
  <r>
    <n v="1044162"/>
    <s v="VA"/>
    <s v="A"/>
    <d v="2026-04-10T00:00:00"/>
    <d v="2026-04-10T00:00:00"/>
    <m/>
    <n v="879"/>
    <n v="65656565"/>
    <n v="3554"/>
    <n v="675559"/>
    <m/>
    <s v="455788******8587"/>
    <s v="Nac"/>
    <s v="COM"/>
    <x v="9"/>
    <n v="44.75"/>
    <s v="Abonado"/>
    <n v="1.29"/>
    <n v="0.56999999999999995"/>
    <n v="0.1"/>
    <n v="43.36"/>
    <n v="0"/>
    <m/>
    <n v="20260413"/>
    <m/>
    <s v="DEBITO"/>
    <n v="3908900"/>
    <s v="BCP"/>
    <m/>
    <s v="Yape"/>
    <d v="1899-12-30T15:50:32"/>
    <s v="HONOR MALL DEL SUR"/>
    <s v="BBVA"/>
  </r>
  <r>
    <n v="1044162"/>
    <s v="VA"/>
    <s v="A"/>
    <d v="2026-04-10T00:00:00"/>
    <d v="2026-04-10T00:00:00"/>
    <m/>
    <n v="879"/>
    <s v="PS0002"/>
    <n v="3557"/>
    <n v="216855"/>
    <m/>
    <s v="444355******4103"/>
    <s v="Nac"/>
    <s v="COM"/>
    <x v="9"/>
    <n v="19"/>
    <s v="Abonado"/>
    <n v="0.55000000000000004"/>
    <n v="0.25"/>
    <n v="0.05"/>
    <n v="18.399999999999999"/>
    <n v="0"/>
    <m/>
    <n v="20260413"/>
    <m/>
    <s v="DEBITO"/>
    <n v="3908900"/>
    <s v="BBVA"/>
    <m/>
    <m/>
    <d v="1899-12-30T16:21:23"/>
    <s v="HONOR MALL DEL SUR"/>
    <s v="BBVA"/>
  </r>
  <r>
    <n v="1044162"/>
    <s v="VA"/>
    <s v="A"/>
    <d v="2026-04-10T00:00:00"/>
    <d v="2026-04-10T00:00:00"/>
    <m/>
    <n v="879"/>
    <s v="PS0002"/>
    <n v="3567"/>
    <n v="82709"/>
    <m/>
    <s v="455788******8917"/>
    <s v="Nac"/>
    <s v="COM"/>
    <x v="9"/>
    <n v="63"/>
    <s v="Abonado"/>
    <n v="1.82"/>
    <n v="0.81"/>
    <n v="0.15"/>
    <n v="61.03"/>
    <n v="0"/>
    <m/>
    <n v="20260413"/>
    <m/>
    <s v="DEBITO"/>
    <n v="3908900"/>
    <s v="BCP"/>
    <m/>
    <m/>
    <d v="1899-12-30T16:52:05"/>
    <s v="HONOR MALL DEL SUR"/>
    <s v="BBVA"/>
  </r>
  <r>
    <n v="1044162"/>
    <s v="VA"/>
    <s v="A"/>
    <d v="2026-04-10T00:00:00"/>
    <d v="2026-04-10T00:00:00"/>
    <m/>
    <n v="879"/>
    <s v="PS0002"/>
    <n v="3569"/>
    <n v="165348"/>
    <m/>
    <s v="483039******4399"/>
    <s v="Nac"/>
    <s v="COM"/>
    <x v="9"/>
    <n v="566"/>
    <s v="Abonado"/>
    <n v="16.36"/>
    <n v="4.47"/>
    <n v="0.8"/>
    <n v="548.84"/>
    <n v="0"/>
    <m/>
    <n v="20260413"/>
    <m/>
    <s v="DEBITO"/>
    <n v="3908900"/>
    <s v="IBK PRIVADA"/>
    <m/>
    <m/>
    <d v="1899-12-30T16:52:45"/>
    <s v="HONOR MALL DEL SUR"/>
    <s v="BBVA"/>
  </r>
  <r>
    <n v="1044162"/>
    <s v="VA"/>
    <s v="A"/>
    <d v="2026-04-10T00:00:00"/>
    <d v="2026-04-10T00:00:00"/>
    <m/>
    <n v="879"/>
    <s v="PS0002"/>
    <n v="3572"/>
    <n v="440215"/>
    <m/>
    <s v="438466******6361"/>
    <s v="Nac"/>
    <s v="COM"/>
    <x v="9"/>
    <n v="69"/>
    <s v="Abonado"/>
    <n v="1.99"/>
    <n v="0.89"/>
    <n v="0.16"/>
    <n v="66.849999999999994"/>
    <n v="0"/>
    <m/>
    <n v="20260413"/>
    <m/>
    <s v="DEBITO"/>
    <n v="3908900"/>
    <s v="VISA LOC"/>
    <m/>
    <m/>
    <d v="1899-12-30T17:30:06"/>
    <s v="HONOR MALL DEL SUR"/>
    <s v="BBVA"/>
  </r>
  <r>
    <n v="1044162"/>
    <s v="VA"/>
    <s v="A"/>
    <d v="2026-04-10T00:00:00"/>
    <d v="2026-04-10T00:00:00"/>
    <m/>
    <n v="879"/>
    <s v="PS0002"/>
    <n v="3576"/>
    <n v="318496"/>
    <m/>
    <s v="455788******4563"/>
    <s v="Nac"/>
    <s v="COM"/>
    <x v="9"/>
    <n v="1136"/>
    <s v="Abonado"/>
    <n v="32.83"/>
    <n v="14.65"/>
    <n v="2.64"/>
    <n v="1100.53"/>
    <n v="0"/>
    <m/>
    <n v="20260413"/>
    <m/>
    <s v="DEBITO"/>
    <n v="3908900"/>
    <s v="BCP"/>
    <m/>
    <m/>
    <d v="1899-12-30T18:57:43"/>
    <s v="HONOR MALL DEL SUR"/>
    <s v="BBVA"/>
  </r>
  <r>
    <n v="1044162"/>
    <s v="VA"/>
    <s v="A"/>
    <d v="2026-04-10T00:00:00"/>
    <d v="2026-04-10T00:00:00"/>
    <m/>
    <n v="879"/>
    <s v="PS0002"/>
    <n v="3578"/>
    <n v="977724"/>
    <m/>
    <s v="455788******4300"/>
    <s v="Nac"/>
    <s v="COM"/>
    <x v="9"/>
    <n v="500"/>
    <s v="Abonado"/>
    <n v="14.45"/>
    <n v="6.45"/>
    <n v="1.1599999999999999"/>
    <n v="484.39"/>
    <n v="0"/>
    <m/>
    <n v="20260413"/>
    <m/>
    <s v="DEBITO"/>
    <n v="3908900"/>
    <s v="BCP"/>
    <m/>
    <m/>
    <d v="1899-12-30T19:24:12"/>
    <s v="HONOR MALL DEL SUR"/>
    <s v="BBVA"/>
  </r>
  <r>
    <n v="1044162"/>
    <s v="VA"/>
    <s v="A"/>
    <d v="2026-04-10T00:00:00"/>
    <d v="2026-04-10T00:00:00"/>
    <m/>
    <n v="879"/>
    <s v="PS0002"/>
    <n v="3580"/>
    <n v="118136"/>
    <m/>
    <s v="421410******6391"/>
    <s v="Nac"/>
    <s v="COM"/>
    <x v="9"/>
    <n v="99"/>
    <s v="Abonado"/>
    <n v="2.86"/>
    <n v="1.28"/>
    <n v="0.23"/>
    <n v="95.91"/>
    <n v="0"/>
    <m/>
    <n v="20260413"/>
    <m/>
    <s v="DEBITO"/>
    <n v="3908900"/>
    <s v="NACION"/>
    <m/>
    <m/>
    <d v="1899-12-30T19:39:06"/>
    <s v="HONOR MALL DEL SUR"/>
    <s v="BBVA"/>
  </r>
  <r>
    <n v="1044162"/>
    <s v="VA"/>
    <s v="A"/>
    <d v="2026-04-10T00:00:00"/>
    <d v="2026-04-10T00:00:00"/>
    <m/>
    <n v="879"/>
    <s v="PS0002"/>
    <n v="3582"/>
    <n v="124825"/>
    <m/>
    <s v="428581******6517"/>
    <s v="Nac"/>
    <s v="COM"/>
    <x v="9"/>
    <n v="1799"/>
    <s v="Abonado"/>
    <n v="51.99"/>
    <n v="23.21"/>
    <n v="4.18"/>
    <n v="1742.83"/>
    <n v="0"/>
    <m/>
    <n v="20260413"/>
    <m/>
    <s v="DEBITO"/>
    <n v="3908900"/>
    <s v="SCOTIABANK"/>
    <m/>
    <m/>
    <d v="1899-12-30T20:31:12"/>
    <s v="HONOR MALL DEL SUR"/>
    <s v="BBVA"/>
  </r>
  <r>
    <n v="1044162"/>
    <s v="VA"/>
    <s v="A"/>
    <d v="2026-04-10T00:00:00"/>
    <d v="2026-04-10T00:00:00"/>
    <m/>
    <n v="879"/>
    <s v="PS0002"/>
    <n v="3586"/>
    <n v="521782"/>
    <m/>
    <s v="455788******8651"/>
    <s v="Nac"/>
    <s v="COM"/>
    <x v="9"/>
    <n v="149"/>
    <s v="Abonado"/>
    <n v="4.3099999999999996"/>
    <n v="1.93"/>
    <n v="0.35"/>
    <n v="144.34"/>
    <n v="0"/>
    <m/>
    <n v="20260413"/>
    <m/>
    <s v="DEBITO"/>
    <n v="3908900"/>
    <s v="BCP"/>
    <m/>
    <m/>
    <d v="1899-12-30T20:40:02"/>
    <s v="HONOR MALL DEL SUR"/>
    <s v="BBVA"/>
  </r>
  <r>
    <n v="1044162"/>
    <s v="VA"/>
    <s v="A"/>
    <d v="2026-04-10T00:00:00"/>
    <d v="2026-04-10T00:00:00"/>
    <m/>
    <n v="879"/>
    <s v="PS0002"/>
    <n v="3588"/>
    <n v="548463"/>
    <m/>
    <s v="455788******8651"/>
    <s v="Nac"/>
    <s v="COM"/>
    <x v="9"/>
    <n v="79"/>
    <s v="Abonado"/>
    <n v="2.2799999999999998"/>
    <n v="1.02"/>
    <n v="0.18"/>
    <n v="76.540000000000006"/>
    <n v="0"/>
    <m/>
    <n v="20260413"/>
    <m/>
    <s v="DEBITO"/>
    <n v="3908900"/>
    <s v="BCP"/>
    <m/>
    <m/>
    <d v="1899-12-30T20:57:32"/>
    <s v="HONOR MALL DEL SUR"/>
    <s v="BBVA"/>
  </r>
  <r>
    <n v="1044162"/>
    <s v="VA"/>
    <s v="A"/>
    <d v="2026-04-10T00:00:00"/>
    <d v="2026-04-10T00:00:00"/>
    <m/>
    <n v="879"/>
    <s v="PS0002"/>
    <n v="3590"/>
    <n v="600779"/>
    <m/>
    <s v="455788******3550"/>
    <s v="Nac"/>
    <s v="COM"/>
    <x v="9"/>
    <n v="189.8"/>
    <s v="Abonado"/>
    <n v="5.49"/>
    <n v="2.4500000000000002"/>
    <n v="0.44"/>
    <n v="183.87"/>
    <n v="0"/>
    <m/>
    <n v="20260413"/>
    <m/>
    <s v="DEBITO"/>
    <n v="3908900"/>
    <s v="BCP"/>
    <m/>
    <m/>
    <d v="1899-12-30T21:31:36"/>
    <s v="HONOR MALL DEL SUR"/>
    <s v="BBVA"/>
  </r>
  <r>
    <n v="1044162"/>
    <s v="VA"/>
    <s v="A"/>
    <d v="2026-04-10T00:00:00"/>
    <d v="2026-04-10T00:00:00"/>
    <m/>
    <n v="879"/>
    <s v="PS0002"/>
    <n v="3592"/>
    <n v="363750"/>
    <n v="12"/>
    <s v="411090******9043"/>
    <s v="Nac"/>
    <s v="COM"/>
    <x v="9"/>
    <n v="1948"/>
    <s v="Abonado"/>
    <n v="56.3"/>
    <n v="11.5"/>
    <n v="2.0699999999999998"/>
    <n v="1889.63"/>
    <n v="0"/>
    <m/>
    <n v="20260413"/>
    <m/>
    <s v="CREDITO"/>
    <n v="3908900"/>
    <s v="IBK PRIVADA"/>
    <s v="NO"/>
    <m/>
    <d v="1899-12-30T21:36:29"/>
    <s v="HONOR MALL DEL SUR"/>
    <s v="BBVA"/>
  </r>
  <r>
    <n v="1044162"/>
    <s v="VA"/>
    <s v="A"/>
    <d v="2026-04-10T00:00:00"/>
    <d v="2026-04-10T00:00:00"/>
    <m/>
    <n v="879"/>
    <s v="PS0002"/>
    <n v="3594"/>
    <n v="509079"/>
    <n v="2"/>
    <s v="447409******4874"/>
    <s v="Nac"/>
    <s v="COM"/>
    <x v="9"/>
    <n v="378.9"/>
    <s v="Abonado"/>
    <n v="10.95"/>
    <n v="2.99"/>
    <n v="0.54"/>
    <n v="367.41"/>
    <n v="12867.12"/>
    <d v="2026-04-13T00:00:00"/>
    <n v="20260413"/>
    <n v="104101"/>
    <s v="CREDITO"/>
    <n v="3908900"/>
    <s v="BFALABELLA"/>
    <s v="NO"/>
    <m/>
    <d v="1899-12-30T21:55:52"/>
    <s v="HONOR MALL DEL SUR"/>
    <s v="BBVA"/>
  </r>
  <r>
    <n v="1044162"/>
    <s v="MC"/>
    <s v="A"/>
    <d v="2026-04-11T00:00:00"/>
    <d v="2026-04-11T00:00:00"/>
    <m/>
    <n v="880"/>
    <s v="PS0002"/>
    <n v="3600"/>
    <n v="32918"/>
    <m/>
    <s v="511842******6583"/>
    <s v="Nac"/>
    <s v="COM"/>
    <x v="10"/>
    <n v="1399"/>
    <s v="Abonado"/>
    <n v="40.43"/>
    <n v="15.95"/>
    <n v="2.87"/>
    <n v="1355.7"/>
    <n v="0"/>
    <m/>
    <n v="20260413"/>
    <m/>
    <s v="DEBITO"/>
    <n v="3908900"/>
    <s v="SCOTIA DEBIT"/>
    <m/>
    <m/>
    <d v="1899-12-30T11:02:24"/>
    <s v="HONOR MALL DEL SUR"/>
    <s v="BBVA"/>
  </r>
  <r>
    <n v="1044162"/>
    <s v="MC"/>
    <s v="A"/>
    <d v="2026-04-11T00:00:00"/>
    <d v="2026-04-11T00:00:00"/>
    <m/>
    <n v="880"/>
    <s v="PS0002"/>
    <n v="3680"/>
    <s v="R07965"/>
    <n v="4"/>
    <s v="529206******2873"/>
    <s v="Nac"/>
    <s v="COM"/>
    <x v="10"/>
    <n v="1049"/>
    <s v="Abonado"/>
    <n v="30.32"/>
    <n v="8.2899999999999991"/>
    <n v="1.49"/>
    <n v="1017.19"/>
    <n v="2372.89"/>
    <d v="2026-04-13T00:00:00"/>
    <n v="20260413"/>
    <n v="104101"/>
    <s v="CREDITO"/>
    <n v="3908900"/>
    <s v="CJ RURAL MC"/>
    <s v="NO"/>
    <m/>
    <d v="1899-12-30T19:24:39"/>
    <s v="HONOR MALL DEL SUR"/>
    <s v="BBVA"/>
  </r>
  <r>
    <n v="1044162"/>
    <s v="VA"/>
    <s v="A"/>
    <d v="2026-04-11T00:00:00"/>
    <d v="2026-04-11T00:00:00"/>
    <m/>
    <n v="880"/>
    <s v="PS0002"/>
    <n v="3604"/>
    <n v="862516"/>
    <m/>
    <s v="491909******9258"/>
    <s v="Nac"/>
    <s v="COM"/>
    <x v="10"/>
    <n v="629"/>
    <s v="Abonado"/>
    <n v="18.18"/>
    <n v="4.97"/>
    <n v="0.89"/>
    <n v="609.92999999999995"/>
    <n v="0"/>
    <m/>
    <n v="20260413"/>
    <m/>
    <s v="CREDITO"/>
    <n v="3908900"/>
    <s v="BBVA"/>
    <m/>
    <m/>
    <d v="1899-12-30T12:42:57"/>
    <s v="HONOR MALL DEL SUR"/>
    <s v="BBVA"/>
  </r>
  <r>
    <n v="1044162"/>
    <s v="VA"/>
    <s v="A"/>
    <d v="2026-04-11T00:00:00"/>
    <d v="2026-04-11T00:00:00"/>
    <m/>
    <n v="880"/>
    <s v="PS0002"/>
    <n v="3606"/>
    <n v="45989"/>
    <m/>
    <s v="455788******0264"/>
    <s v="Nac"/>
    <s v="COM"/>
    <x v="10"/>
    <n v="1149"/>
    <s v="Abonado"/>
    <n v="33.21"/>
    <n v="14.83"/>
    <n v="2.67"/>
    <n v="1113.1199999999999"/>
    <n v="0"/>
    <m/>
    <n v="20260413"/>
    <m/>
    <s v="DEBITO"/>
    <n v="3908900"/>
    <s v="BCP"/>
    <m/>
    <m/>
    <d v="1899-12-30T12:50:30"/>
    <s v="HONOR MALL DEL SUR"/>
    <s v="BBVA"/>
  </r>
  <r>
    <n v="1044162"/>
    <s v="VA"/>
    <s v="A"/>
    <d v="2026-04-11T00:00:00"/>
    <d v="2026-04-11T00:00:00"/>
    <m/>
    <n v="880"/>
    <s v="PS0002"/>
    <n v="3608"/>
    <n v="644213"/>
    <m/>
    <s v="447409******4017"/>
    <s v="Nac"/>
    <s v="COM"/>
    <x v="10"/>
    <n v="629"/>
    <s v="Abonado"/>
    <n v="18.18"/>
    <n v="4.97"/>
    <n v="0.89"/>
    <n v="609.92999999999995"/>
    <n v="0"/>
    <m/>
    <n v="20260413"/>
    <m/>
    <s v="CREDITO"/>
    <n v="3908900"/>
    <s v="BFALABELLA"/>
    <m/>
    <m/>
    <d v="1899-12-30T13:18:12"/>
    <s v="HONOR MALL DEL SUR"/>
    <s v="BBVA"/>
  </r>
  <r>
    <n v="1044162"/>
    <s v="VA"/>
    <s v="A"/>
    <d v="2026-04-11T00:00:00"/>
    <d v="2026-04-11T00:00:00"/>
    <m/>
    <n v="880"/>
    <s v="PS0002"/>
    <n v="3610"/>
    <n v="84941"/>
    <m/>
    <s v="455788******1870"/>
    <s v="Nac"/>
    <s v="COM"/>
    <x v="10"/>
    <n v="89.5"/>
    <s v="Abonado"/>
    <n v="2.59"/>
    <n v="1.1599999999999999"/>
    <n v="0.21"/>
    <n v="86.7"/>
    <n v="0"/>
    <m/>
    <n v="20260413"/>
    <m/>
    <s v="DEBITO"/>
    <n v="3908900"/>
    <s v="VISA LOC"/>
    <m/>
    <m/>
    <d v="1899-12-30T13:33:36"/>
    <s v="HONOR MALL DEL SUR"/>
    <s v="BBVA"/>
  </r>
  <r>
    <n v="1044162"/>
    <s v="VA"/>
    <s v="A"/>
    <d v="2026-04-11T00:00:00"/>
    <d v="2026-04-11T00:00:00"/>
    <m/>
    <n v="880"/>
    <s v="PS0002"/>
    <n v="3612"/>
    <n v="649598"/>
    <m/>
    <s v="447410******2341"/>
    <s v="Nac"/>
    <s v="COM"/>
    <x v="10"/>
    <n v="89.5"/>
    <s v="Abonado"/>
    <n v="2.59"/>
    <n v="0.53"/>
    <n v="0.1"/>
    <n v="86.81"/>
    <n v="0"/>
    <m/>
    <n v="20260413"/>
    <m/>
    <s v="CREDITO"/>
    <n v="3908900"/>
    <s v="BFALABELLA"/>
    <m/>
    <m/>
    <d v="1899-12-30T13:34:11"/>
    <s v="HONOR MALL DEL SUR"/>
    <s v="BBVA"/>
  </r>
  <r>
    <n v="1044162"/>
    <s v="VA"/>
    <s v="A"/>
    <d v="2026-04-11T00:00:00"/>
    <d v="2026-04-11T00:00:00"/>
    <m/>
    <n v="880"/>
    <s v="PS0002"/>
    <n v="3614"/>
    <n v="64260"/>
    <m/>
    <s v="421410******8024"/>
    <s v="Nac"/>
    <s v="COM"/>
    <x v="10"/>
    <n v="900"/>
    <s v="Abonado"/>
    <n v="26.01"/>
    <n v="11.61"/>
    <n v="2.09"/>
    <n v="871.9"/>
    <n v="0"/>
    <m/>
    <n v="20260413"/>
    <m/>
    <s v="DEBITO"/>
    <n v="3908900"/>
    <s v="NACION"/>
    <m/>
    <m/>
    <d v="1899-12-30T13:52:05"/>
    <s v="HONOR MALL DEL SUR"/>
    <s v="BBVA"/>
  </r>
  <r>
    <n v="1044162"/>
    <s v="VA"/>
    <s v="A"/>
    <d v="2026-04-11T00:00:00"/>
    <d v="2026-04-11T00:00:00"/>
    <m/>
    <n v="880"/>
    <s v="PS0002"/>
    <n v="3616"/>
    <n v="176451"/>
    <m/>
    <s v="455788******7377"/>
    <s v="Nac"/>
    <s v="COM"/>
    <x v="10"/>
    <n v="688"/>
    <s v="Abonado"/>
    <n v="19.88"/>
    <n v="8.8699999999999992"/>
    <n v="1.6"/>
    <n v="666.52"/>
    <n v="0"/>
    <m/>
    <n v="20260413"/>
    <m/>
    <s v="DEBITO"/>
    <n v="3908900"/>
    <s v="VISA LOC"/>
    <m/>
    <m/>
    <d v="1899-12-30T14:00:42"/>
    <s v="HONOR MALL DEL SUR"/>
    <s v="BBVA"/>
  </r>
  <r>
    <n v="1044162"/>
    <s v="VA"/>
    <s v="A"/>
    <d v="2026-04-11T00:00:00"/>
    <d v="2026-04-11T00:00:00"/>
    <m/>
    <n v="880"/>
    <s v="PS0002"/>
    <n v="3618"/>
    <n v="354416"/>
    <n v="3"/>
    <s v="414791******1993"/>
    <s v="Nac"/>
    <s v="COM"/>
    <x v="10"/>
    <n v="4999"/>
    <s v="Abonado"/>
    <n v="231.95"/>
    <n v="29.49"/>
    <n v="5.31"/>
    <n v="4761.74"/>
    <n v="0"/>
    <m/>
    <n v="20260413"/>
    <m/>
    <s v="CREDITO"/>
    <n v="3908900"/>
    <s v="BBVA"/>
    <s v="SI"/>
    <m/>
    <d v="1899-12-30T14:45:04"/>
    <s v="HONOR MALL DEL SUR"/>
    <s v="BBVA"/>
  </r>
  <r>
    <n v="1044162"/>
    <s v="VA"/>
    <s v="A"/>
    <d v="2026-04-11T00:00:00"/>
    <d v="2026-04-11T00:00:00"/>
    <m/>
    <n v="880"/>
    <s v="PS0002"/>
    <n v="3620"/>
    <n v="595693"/>
    <m/>
    <s v="455788******4968"/>
    <s v="Nac"/>
    <s v="COM"/>
    <x v="10"/>
    <n v="69"/>
    <s v="Abonado"/>
    <n v="1.99"/>
    <n v="0.89"/>
    <n v="0.16"/>
    <n v="66.849999999999994"/>
    <n v="0"/>
    <m/>
    <n v="20260413"/>
    <m/>
    <s v="DEBITO"/>
    <n v="3908900"/>
    <s v="BCP"/>
    <m/>
    <m/>
    <d v="1899-12-30T14:46:18"/>
    <s v="HONOR MALL DEL SUR"/>
    <s v="BBVA"/>
  </r>
  <r>
    <n v="1044162"/>
    <s v="VA"/>
    <s v="A"/>
    <d v="2026-04-11T00:00:00"/>
    <d v="2026-04-11T00:00:00"/>
    <m/>
    <n v="880"/>
    <s v="PS0002"/>
    <n v="3622"/>
    <n v="144745"/>
    <m/>
    <s v="483039******4399"/>
    <s v="Nac"/>
    <s v="COM"/>
    <x v="10"/>
    <n v="390"/>
    <s v="Abonado"/>
    <n v="11.27"/>
    <n v="3.08"/>
    <n v="0.55000000000000004"/>
    <n v="378.18"/>
    <n v="0"/>
    <m/>
    <n v="20260413"/>
    <m/>
    <s v="DEBITO"/>
    <n v="3908900"/>
    <s v="IBK PRIVADA"/>
    <m/>
    <m/>
    <d v="1899-12-30T14:46:43"/>
    <s v="HONOR MALL DEL SUR"/>
    <s v="BBVA"/>
  </r>
  <r>
    <n v="1044162"/>
    <s v="VA"/>
    <s v="A"/>
    <d v="2026-04-11T00:00:00"/>
    <d v="2026-04-11T00:00:00"/>
    <m/>
    <n v="880"/>
    <s v="PS0002"/>
    <n v="3624"/>
    <n v="363601"/>
    <n v="3"/>
    <s v="491914******4029"/>
    <s v="Nac"/>
    <s v="COM"/>
    <x v="10"/>
    <n v="69"/>
    <s v="Abonado"/>
    <n v="3.2"/>
    <n v="0.4"/>
    <n v="7.0000000000000007E-2"/>
    <n v="65.73"/>
    <n v="0"/>
    <m/>
    <n v="20260413"/>
    <m/>
    <s v="CREDITO"/>
    <n v="3908900"/>
    <s v="BBVA"/>
    <s v="SI"/>
    <m/>
    <d v="1899-12-30T14:47:36"/>
    <s v="HONOR MALL DEL SUR"/>
    <s v="BBVA"/>
  </r>
  <r>
    <n v="1044162"/>
    <s v="VA"/>
    <s v="A"/>
    <d v="2026-04-11T00:00:00"/>
    <d v="2026-04-11T00:00:00"/>
    <m/>
    <n v="880"/>
    <s v="PS0002"/>
    <n v="3631"/>
    <n v="264061"/>
    <m/>
    <s v="444697******5566"/>
    <s v="Nac"/>
    <s v="COM"/>
    <x v="10"/>
    <n v="89"/>
    <s v="Abonado"/>
    <n v="2.57"/>
    <n v="1.1499999999999999"/>
    <n v="0.21"/>
    <n v="86.22"/>
    <n v="0"/>
    <m/>
    <n v="20260413"/>
    <m/>
    <s v="DEBITO"/>
    <n v="3908900"/>
    <s v="BCP"/>
    <m/>
    <m/>
    <d v="1899-12-30T15:15:20"/>
    <s v="HONOR MALL DEL SUR"/>
    <s v="BBVA"/>
  </r>
  <r>
    <n v="1044162"/>
    <s v="VA"/>
    <s v="A"/>
    <d v="2026-04-11T00:00:00"/>
    <d v="2026-04-11T00:00:00"/>
    <m/>
    <n v="880"/>
    <s v="PS0002"/>
    <n v="3633"/>
    <n v="683424"/>
    <n v="2"/>
    <s v="447410******8117"/>
    <s v="Nac"/>
    <s v="COM"/>
    <x v="10"/>
    <n v="498"/>
    <s v="Abonado"/>
    <n v="14.39"/>
    <n v="2.94"/>
    <n v="0.53"/>
    <n v="483.08"/>
    <n v="0"/>
    <m/>
    <n v="20260413"/>
    <m/>
    <s v="CREDITO"/>
    <n v="3908900"/>
    <s v="BFALABELLA"/>
    <s v="NO"/>
    <m/>
    <d v="1899-12-30T15:23:18"/>
    <s v="HONOR MALL DEL SUR"/>
    <s v="BBVA"/>
  </r>
  <r>
    <n v="1044162"/>
    <s v="VA"/>
    <s v="A"/>
    <d v="2026-04-11T00:00:00"/>
    <d v="2026-04-11T00:00:00"/>
    <m/>
    <n v="880"/>
    <s v="PS0002"/>
    <n v="3644"/>
    <n v="241966"/>
    <m/>
    <s v="455788******0627"/>
    <s v="Nac"/>
    <s v="COM"/>
    <x v="10"/>
    <n v="568"/>
    <s v="Abonado"/>
    <n v="16.420000000000002"/>
    <n v="7.33"/>
    <n v="1.32"/>
    <n v="550.26"/>
    <n v="0"/>
    <m/>
    <n v="20260413"/>
    <m/>
    <s v="DEBITO"/>
    <n v="3908900"/>
    <s v="BCP"/>
    <m/>
    <m/>
    <d v="1899-12-30T15:34:29"/>
    <s v="HONOR MALL DEL SUR"/>
    <s v="BBVA"/>
  </r>
  <r>
    <n v="1044162"/>
    <s v="VA"/>
    <s v="A"/>
    <d v="2026-04-11T00:00:00"/>
    <d v="2026-04-11T00:00:00"/>
    <m/>
    <n v="880"/>
    <s v="PS0002"/>
    <n v="3648"/>
    <n v="750411"/>
    <m/>
    <s v="455103******6037"/>
    <s v="Nac"/>
    <s v="COM"/>
    <x v="10"/>
    <n v="1000"/>
    <s v="Abonado"/>
    <n v="28.9"/>
    <n v="12.9"/>
    <n v="2.3199999999999998"/>
    <n v="968.78"/>
    <n v="0"/>
    <m/>
    <n v="20260413"/>
    <m/>
    <s v="DEBITO"/>
    <n v="3908900"/>
    <s v="BBVA"/>
    <m/>
    <m/>
    <d v="1899-12-30T16:38:54"/>
    <s v="HONOR MALL DEL SUR"/>
    <s v="BBVA"/>
  </r>
  <r>
    <n v="1044162"/>
    <s v="VA"/>
    <s v="A"/>
    <d v="2026-04-11T00:00:00"/>
    <d v="2026-04-11T00:00:00"/>
    <m/>
    <n v="880"/>
    <s v="PS0002"/>
    <n v="3650"/>
    <n v="717427"/>
    <m/>
    <s v="447409******8013"/>
    <s v="Nac"/>
    <s v="COM"/>
    <x v="10"/>
    <n v="699"/>
    <s v="Abonado"/>
    <n v="20.2"/>
    <n v="5.52"/>
    <n v="0.99"/>
    <n v="677.81"/>
    <n v="0"/>
    <m/>
    <n v="20260413"/>
    <m/>
    <s v="CREDITO"/>
    <n v="3908900"/>
    <s v="BFALABELLA"/>
    <m/>
    <m/>
    <d v="1899-12-30T16:42:40"/>
    <s v="HONOR MALL DEL SUR"/>
    <s v="BBVA"/>
  </r>
  <r>
    <n v="1044162"/>
    <s v="VA"/>
    <s v="A"/>
    <d v="2026-04-11T00:00:00"/>
    <d v="2026-04-11T00:00:00"/>
    <m/>
    <n v="880"/>
    <s v="PS0002"/>
    <n v="3652"/>
    <n v="772038"/>
    <n v="3"/>
    <s v="491909******0350"/>
    <s v="Nac"/>
    <s v="COM"/>
    <x v="10"/>
    <n v="629"/>
    <s v="Abonado"/>
    <n v="29.19"/>
    <n v="4.97"/>
    <n v="0.89"/>
    <n v="598.91999999999996"/>
    <n v="0"/>
    <m/>
    <n v="20260413"/>
    <m/>
    <s v="CREDITO"/>
    <n v="3908900"/>
    <s v="BBVA"/>
    <s v="SI"/>
    <m/>
    <d v="1899-12-30T16:45:11"/>
    <s v="HONOR MALL DEL SUR"/>
    <s v="BBVA"/>
  </r>
  <r>
    <n v="1044162"/>
    <s v="VA"/>
    <s v="A"/>
    <d v="2026-04-11T00:00:00"/>
    <d v="2026-04-11T00:00:00"/>
    <m/>
    <n v="880"/>
    <n v="65656565"/>
    <n v="3654"/>
    <n v="460526"/>
    <m/>
    <s v="447411******8366"/>
    <s v="Nac"/>
    <s v="COM"/>
    <x v="10"/>
    <n v="79"/>
    <s v="Abonado"/>
    <n v="2.2799999999999998"/>
    <n v="1.02"/>
    <n v="0.18"/>
    <n v="76.540000000000006"/>
    <n v="0"/>
    <m/>
    <n v="20260413"/>
    <m/>
    <s v="DEBITO"/>
    <n v="3908900"/>
    <s v="BFALABELLA"/>
    <m/>
    <s v="Falabella"/>
    <d v="1899-12-30T16:53:17"/>
    <s v="HONOR MALL DEL SUR"/>
    <s v="BBVA"/>
  </r>
  <r>
    <n v="1044162"/>
    <s v="VA"/>
    <s v="A"/>
    <d v="2026-04-11T00:00:00"/>
    <d v="2026-04-11T00:00:00"/>
    <m/>
    <n v="880"/>
    <s v="PS0002"/>
    <n v="3657"/>
    <n v="380596"/>
    <m/>
    <s v="455788******0156"/>
    <s v="Nac"/>
    <s v="COM"/>
    <x v="10"/>
    <n v="1149"/>
    <s v="Abonado"/>
    <n v="33.21"/>
    <n v="14.83"/>
    <n v="2.67"/>
    <n v="1113.1199999999999"/>
    <n v="0"/>
    <m/>
    <n v="20260413"/>
    <m/>
    <s v="DEBITO"/>
    <n v="3908900"/>
    <s v="VISA LOC"/>
    <m/>
    <m/>
    <d v="1899-12-30T16:58:03"/>
    <s v="HONOR MALL DEL SUR"/>
    <s v="BBVA"/>
  </r>
  <r>
    <n v="1044162"/>
    <s v="VA"/>
    <s v="A"/>
    <d v="2026-04-11T00:00:00"/>
    <d v="2026-04-11T00:00:00"/>
    <m/>
    <n v="880"/>
    <s v="PS0002"/>
    <n v="3659"/>
    <n v="476603"/>
    <m/>
    <s v="455788******7832"/>
    <s v="Nac"/>
    <s v="COM"/>
    <x v="10"/>
    <n v="949"/>
    <s v="Abonado"/>
    <n v="27.43"/>
    <n v="12.25"/>
    <n v="2.21"/>
    <n v="919.36"/>
    <n v="0"/>
    <m/>
    <n v="20260413"/>
    <m/>
    <s v="DEBITO"/>
    <n v="3908900"/>
    <s v="BCP"/>
    <m/>
    <m/>
    <d v="1899-12-30T16:58:42"/>
    <s v="HONOR MALL DEL SUR"/>
    <s v="BBVA"/>
  </r>
  <r>
    <n v="1044162"/>
    <s v="VA"/>
    <s v="A"/>
    <d v="2026-04-11T00:00:00"/>
    <d v="2026-04-11T00:00:00"/>
    <m/>
    <n v="880"/>
    <s v="PS0002"/>
    <n v="3661"/>
    <n v="512821"/>
    <m/>
    <s v="455788******4202"/>
    <s v="Nac"/>
    <s v="COM"/>
    <x v="10"/>
    <n v="973.5"/>
    <s v="Abonado"/>
    <n v="28.13"/>
    <n v="12.55"/>
    <n v="2.2599999999999998"/>
    <n v="943.11"/>
    <n v="0"/>
    <m/>
    <n v="20260413"/>
    <m/>
    <s v="DEBITO"/>
    <n v="3908900"/>
    <s v="BCP"/>
    <m/>
    <m/>
    <d v="1899-12-30T17:19:51"/>
    <s v="HONOR MALL DEL SUR"/>
    <s v="BBVA"/>
  </r>
  <r>
    <n v="1044162"/>
    <s v="VA"/>
    <s v="A"/>
    <d v="2026-04-11T00:00:00"/>
    <d v="2026-04-11T00:00:00"/>
    <m/>
    <n v="880"/>
    <s v="PS0002"/>
    <n v="3665"/>
    <n v="434586"/>
    <m/>
    <s v="455788******7698"/>
    <s v="Nac"/>
    <s v="COM"/>
    <x v="10"/>
    <n v="629"/>
    <s v="Abonado"/>
    <n v="18.18"/>
    <n v="8.1199999999999992"/>
    <n v="1.46"/>
    <n v="609.36"/>
    <n v="0"/>
    <m/>
    <n v="20260413"/>
    <m/>
    <s v="DEBITO"/>
    <n v="3908900"/>
    <s v="BCP"/>
    <m/>
    <m/>
    <d v="1899-12-30T17:29:23"/>
    <s v="HONOR MALL DEL SUR"/>
    <s v="BBVA"/>
  </r>
  <r>
    <n v="1044162"/>
    <s v="VA"/>
    <s v="A"/>
    <d v="2026-04-11T00:00:00"/>
    <d v="2026-04-11T00:00:00"/>
    <m/>
    <n v="880"/>
    <s v="PS0002"/>
    <n v="3667"/>
    <n v="385173"/>
    <m/>
    <s v="477289******4952"/>
    <s v="Nac"/>
    <s v="COM"/>
    <x v="10"/>
    <n v="69"/>
    <s v="Abonado"/>
    <n v="1.99"/>
    <n v="0.26"/>
    <n v="0.05"/>
    <n v="66.959999999999994"/>
    <n v="0"/>
    <m/>
    <n v="20260413"/>
    <m/>
    <s v="CREDITO"/>
    <n v="3908900"/>
    <s v="IBK PRIVADA"/>
    <m/>
    <m/>
    <d v="1899-12-30T17:38:43"/>
    <s v="HONOR MALL DEL SUR"/>
    <s v="BBVA"/>
  </r>
  <r>
    <n v="1044162"/>
    <s v="VA"/>
    <s v="A"/>
    <d v="2026-04-11T00:00:00"/>
    <d v="2026-04-11T00:00:00"/>
    <m/>
    <n v="880"/>
    <s v="PS0002"/>
    <n v="3669"/>
    <n v="5706"/>
    <m/>
    <s v="463402******5851"/>
    <s v="Nac"/>
    <s v="COM"/>
    <x v="10"/>
    <n v="498"/>
    <s v="Abonado"/>
    <n v="14.39"/>
    <n v="3.93"/>
    <n v="0.71"/>
    <n v="482.9"/>
    <n v="0"/>
    <m/>
    <n v="20260413"/>
    <m/>
    <s v="CREDITO"/>
    <n v="3908900"/>
    <s v="BCP"/>
    <m/>
    <m/>
    <d v="1899-12-30T17:48:52"/>
    <s v="HONOR MALL DEL SUR"/>
    <s v="BBVA"/>
  </r>
  <r>
    <n v="1044162"/>
    <s v="VA"/>
    <s v="A"/>
    <d v="2026-04-11T00:00:00"/>
    <d v="2026-04-11T00:00:00"/>
    <m/>
    <n v="880"/>
    <s v="PS0002"/>
    <n v="3671"/>
    <n v="35619"/>
    <m/>
    <s v="455170******5641"/>
    <s v="Nac"/>
    <s v="COM"/>
    <x v="10"/>
    <n v="688"/>
    <s v="Abonado"/>
    <n v="19.88"/>
    <n v="8.8699999999999992"/>
    <n v="1.6"/>
    <n v="666.52"/>
    <n v="0"/>
    <m/>
    <n v="20260413"/>
    <m/>
    <s v="DEBITO"/>
    <n v="3908900"/>
    <s v="BBVA"/>
    <m/>
    <m/>
    <d v="1899-12-30T18:00:02"/>
    <s v="HONOR MALL DEL SUR"/>
    <s v="BBVA"/>
  </r>
  <r>
    <n v="1044162"/>
    <s v="VA"/>
    <s v="A"/>
    <d v="2026-04-11T00:00:00"/>
    <d v="2026-04-11T00:00:00"/>
    <m/>
    <n v="880"/>
    <s v="PS0002"/>
    <n v="3673"/>
    <n v="110239"/>
    <n v="3"/>
    <s v="414791******7196"/>
    <s v="Nac"/>
    <s v="COM"/>
    <x v="10"/>
    <n v="1799"/>
    <s v="Abonado"/>
    <n v="83.47"/>
    <n v="10.61"/>
    <n v="1.91"/>
    <n v="1713.62"/>
    <n v="0"/>
    <m/>
    <n v="20260413"/>
    <m/>
    <s v="CREDITO"/>
    <n v="3908900"/>
    <s v="BBVA"/>
    <s v="SI"/>
    <m/>
    <d v="1899-12-30T18:20:09"/>
    <s v="HONOR MALL DEL SUR"/>
    <s v="BBVA"/>
  </r>
  <r>
    <n v="1044162"/>
    <s v="VA"/>
    <s v="A"/>
    <d v="2026-04-11T00:00:00"/>
    <d v="2026-04-11T00:00:00"/>
    <m/>
    <n v="880"/>
    <s v="PS0002"/>
    <n v="3675"/>
    <n v="5295"/>
    <m/>
    <s v="428078******2945"/>
    <s v="Nac"/>
    <s v="COM"/>
    <x v="10"/>
    <n v="459"/>
    <s v="Abonado"/>
    <n v="13.27"/>
    <n v="3.63"/>
    <n v="0.65"/>
    <n v="445.08"/>
    <n v="0"/>
    <m/>
    <n v="20260413"/>
    <m/>
    <s v="CREDITO"/>
    <n v="3908900"/>
    <s v="BCP"/>
    <m/>
    <m/>
    <d v="1899-12-30T19:16:50"/>
    <s v="HONOR MALL DEL SUR"/>
    <s v="BBVA"/>
  </r>
  <r>
    <n v="1044162"/>
    <s v="VA"/>
    <s v="A"/>
    <d v="2026-04-11T00:00:00"/>
    <d v="2026-04-11T00:00:00"/>
    <m/>
    <n v="880"/>
    <n v="65656565"/>
    <n v="3677"/>
    <n v="697210"/>
    <m/>
    <s v="455788******7442"/>
    <s v="Nac"/>
    <s v="COM"/>
    <x v="10"/>
    <n v="529"/>
    <s v="Abonado"/>
    <n v="15.28"/>
    <n v="6.82"/>
    <n v="1.23"/>
    <n v="512.49"/>
    <n v="0"/>
    <m/>
    <n v="20260413"/>
    <m/>
    <s v="DEBITO"/>
    <n v="3908900"/>
    <s v="BCP"/>
    <m/>
    <s v="Yape"/>
    <d v="1899-12-30T19:22:04"/>
    <s v="HONOR MALL DEL SUR"/>
    <s v="BBVA"/>
  </r>
  <r>
    <n v="1044162"/>
    <s v="VA"/>
    <s v="A"/>
    <d v="2026-04-11T00:00:00"/>
    <d v="2026-04-11T00:00:00"/>
    <m/>
    <n v="880"/>
    <s v="PS0002"/>
    <n v="3682"/>
    <n v="424136"/>
    <m/>
    <s v="455103******9027"/>
    <s v="Nac"/>
    <s v="COM"/>
    <x v="10"/>
    <n v="1799"/>
    <s v="Abonado"/>
    <n v="51.99"/>
    <n v="23.21"/>
    <n v="4.18"/>
    <n v="1742.83"/>
    <n v="0"/>
    <m/>
    <n v="20260413"/>
    <m/>
    <s v="DEBITO"/>
    <n v="3908900"/>
    <s v="BBVA"/>
    <m/>
    <m/>
    <d v="1899-12-30T19:41:08"/>
    <s v="HONOR MALL DEL SUR"/>
    <s v="BBVA"/>
  </r>
  <r>
    <n v="1044162"/>
    <s v="VA"/>
    <s v="A"/>
    <d v="2026-04-11T00:00:00"/>
    <d v="2026-04-11T00:00:00"/>
    <m/>
    <n v="880"/>
    <s v="PS0002"/>
    <n v="3684"/>
    <n v="482716"/>
    <n v="3"/>
    <s v="414791******5547"/>
    <s v="Nac"/>
    <s v="COM"/>
    <x v="10"/>
    <n v="659"/>
    <s v="Abonado"/>
    <n v="30.58"/>
    <n v="3.89"/>
    <n v="0.7"/>
    <n v="627.72"/>
    <n v="0"/>
    <m/>
    <n v="20260413"/>
    <m/>
    <s v="CREDITO"/>
    <n v="3908900"/>
    <s v="BBVA"/>
    <s v="SI"/>
    <m/>
    <d v="1899-12-30T19:56:23"/>
    <s v="HONOR MALL DEL SUR"/>
    <s v="BBVA"/>
  </r>
  <r>
    <n v="1044162"/>
    <s v="VA"/>
    <s v="A"/>
    <d v="2026-04-11T00:00:00"/>
    <d v="2026-04-11T00:00:00"/>
    <m/>
    <n v="880"/>
    <s v="PS0002"/>
    <n v="3688"/>
    <n v="530291"/>
    <m/>
    <s v="455103******3154"/>
    <s v="Nac"/>
    <s v="COM"/>
    <x v="10"/>
    <n v="459"/>
    <s v="Abonado"/>
    <n v="13.27"/>
    <n v="5.93"/>
    <n v="1.07"/>
    <n v="444.66"/>
    <n v="0"/>
    <m/>
    <n v="20260413"/>
    <m/>
    <s v="DEBITO"/>
    <n v="3908900"/>
    <s v="BBVA"/>
    <m/>
    <m/>
    <d v="1899-12-30T20:09:03"/>
    <s v="HONOR MALL DEL SUR"/>
    <s v="BBVA"/>
  </r>
  <r>
    <n v="1044162"/>
    <s v="VA"/>
    <s v="A"/>
    <d v="2026-04-11T00:00:00"/>
    <d v="2026-04-11T00:00:00"/>
    <m/>
    <n v="880"/>
    <s v="PS0002"/>
    <n v="3690"/>
    <n v="185520"/>
    <m/>
    <s v="455788******5129"/>
    <s v="Nac"/>
    <s v="COM"/>
    <x v="10"/>
    <n v="89"/>
    <s v="Abonado"/>
    <n v="2.57"/>
    <n v="1.1499999999999999"/>
    <n v="0.21"/>
    <n v="86.22"/>
    <n v="0"/>
    <m/>
    <n v="20260413"/>
    <m/>
    <s v="DEBITO"/>
    <n v="3908900"/>
    <s v="BCP"/>
    <m/>
    <m/>
    <d v="1899-12-30T20:12:43"/>
    <s v="HONOR MALL DEL SUR"/>
    <s v="BBVA"/>
  </r>
  <r>
    <n v="1044162"/>
    <s v="VA"/>
    <s v="A"/>
    <d v="2026-04-11T00:00:00"/>
    <d v="2026-04-11T00:00:00"/>
    <m/>
    <n v="880"/>
    <s v="PS0002"/>
    <n v="3693"/>
    <n v="272089"/>
    <m/>
    <s v="411539******4464"/>
    <s v="Nac"/>
    <s v="COM"/>
    <x v="10"/>
    <n v="629"/>
    <s v="Abonado"/>
    <n v="18.18"/>
    <n v="8.1199999999999992"/>
    <n v="1.46"/>
    <n v="609.36"/>
    <n v="0"/>
    <m/>
    <n v="20260413"/>
    <m/>
    <s v="DEBITO"/>
    <n v="3908900"/>
    <s v="VISA LOC"/>
    <m/>
    <m/>
    <d v="1899-12-30T20:59:39"/>
    <s v="HONOR MALL DEL SUR"/>
    <s v="BBVA"/>
  </r>
  <r>
    <n v="1044162"/>
    <s v="VA"/>
    <s v="A"/>
    <d v="2026-04-11T00:00:00"/>
    <d v="2026-04-11T00:00:00"/>
    <m/>
    <n v="880"/>
    <s v="PS0002"/>
    <n v="3695"/>
    <n v="822009"/>
    <m/>
    <s v="447409******1415"/>
    <s v="Nac"/>
    <s v="COM"/>
    <x v="10"/>
    <n v="688"/>
    <s v="Abonado"/>
    <n v="19.88"/>
    <n v="5.43"/>
    <n v="0.98"/>
    <n v="667.14"/>
    <n v="0"/>
    <m/>
    <n v="20260413"/>
    <m/>
    <s v="CREDITO"/>
    <n v="3908900"/>
    <s v="BFALABELLA"/>
    <m/>
    <m/>
    <d v="1899-12-30T21:05:37"/>
    <s v="HONOR MALL DEL SUR"/>
    <s v="BBVA"/>
  </r>
  <r>
    <n v="1044162"/>
    <s v="VA"/>
    <s v="A"/>
    <d v="2026-04-11T00:00:00"/>
    <d v="2026-04-11T00:00:00"/>
    <m/>
    <n v="880"/>
    <s v="PS0002"/>
    <n v="3697"/>
    <n v="327766"/>
    <m/>
    <s v="455788******8471"/>
    <s v="Nac"/>
    <s v="COM"/>
    <x v="10"/>
    <n v="408.5"/>
    <s v="Abonado"/>
    <n v="11.81"/>
    <n v="5.27"/>
    <n v="0.95"/>
    <n v="395.74"/>
    <n v="0"/>
    <m/>
    <n v="20260413"/>
    <m/>
    <s v="DEBITO"/>
    <n v="3908900"/>
    <s v="BCP"/>
    <m/>
    <m/>
    <d v="1899-12-30T21:32:15"/>
    <s v="HONOR MALL DEL SUR"/>
    <s v="BBVA"/>
  </r>
  <r>
    <n v="1044162"/>
    <s v="VA"/>
    <s v="A"/>
    <d v="2026-04-11T00:00:00"/>
    <d v="2026-04-11T00:00:00"/>
    <m/>
    <n v="880"/>
    <s v="PS0002"/>
    <n v="3701"/>
    <n v="383"/>
    <m/>
    <s v="445330******6147"/>
    <s v="Nac"/>
    <s v="COM"/>
    <x v="10"/>
    <n v="629"/>
    <s v="Abonado"/>
    <n v="18.18"/>
    <n v="3.71"/>
    <n v="0.67"/>
    <n v="610.15"/>
    <n v="25415.360000000001"/>
    <d v="2026-04-13T00:00:00"/>
    <n v="20260413"/>
    <n v="104101"/>
    <s v="CREDITO"/>
    <n v="3908900"/>
    <s v="BCP"/>
    <m/>
    <m/>
    <d v="1899-12-30T21:40:50"/>
    <s v="HONOR MALL DEL SUR"/>
    <s v="BBVA"/>
  </r>
  <r>
    <n v="1044162"/>
    <s v="VK"/>
    <s v="A"/>
    <d v="2026-04-11T00:00:00"/>
    <d v="2026-04-11T00:00:00"/>
    <m/>
    <n v="880"/>
    <s v="PS0002"/>
    <n v="3646"/>
    <n v="60494"/>
    <n v="3"/>
    <s v="404071******5343"/>
    <s v="Nac"/>
    <s v="COM"/>
    <x v="10"/>
    <n v="629"/>
    <s v="Abonado"/>
    <n v="18.18"/>
    <n v="4.97"/>
    <n v="0.89"/>
    <n v="609.92999999999995"/>
    <n v="609.92999999999995"/>
    <d v="2026-04-13T00:00:00"/>
    <n v="20260413"/>
    <n v="104101"/>
    <s v="CREDITO"/>
    <n v="3908900"/>
    <s v="SIP MC"/>
    <s v="NO"/>
    <m/>
    <d v="1899-12-30T15:53:31"/>
    <s v="HONOR MALL DEL SUR"/>
    <s v="BBVA"/>
  </r>
  <r>
    <n v="1044162"/>
    <s v="MC"/>
    <s v="A"/>
    <d v="2026-04-12T00:00:00"/>
    <d v="2026-04-12T00:00:00"/>
    <m/>
    <n v="881"/>
    <s v="PS0002"/>
    <n v="3728"/>
    <n v="433670"/>
    <m/>
    <s v="525435******0126"/>
    <s v="Nac"/>
    <s v="COM"/>
    <x v="11"/>
    <n v="659"/>
    <s v="Abonado"/>
    <n v="19.05"/>
    <n v="5.21"/>
    <n v="0.94"/>
    <n v="639.01"/>
    <n v="639.01"/>
    <d v="2026-04-13T00:00:00"/>
    <n v="20260413"/>
    <n v="104101"/>
    <s v="CREDITO"/>
    <n v="3908900"/>
    <s v="BRIPLEY"/>
    <m/>
    <m/>
    <d v="1899-12-30T14:53:02"/>
    <s v="HONOR MALL DEL SUR"/>
    <s v="BBVA"/>
  </r>
  <r>
    <n v="1044162"/>
    <s v="VA"/>
    <s v="A"/>
    <d v="2026-04-12T00:00:00"/>
    <d v="2026-04-12T00:00:00"/>
    <m/>
    <n v="881"/>
    <s v="PS0002"/>
    <n v="3708"/>
    <n v="904211"/>
    <m/>
    <s v="447409******2217"/>
    <s v="Nac"/>
    <s v="COM"/>
    <x v="11"/>
    <n v="3199"/>
    <s v="Abonado"/>
    <n v="92.45"/>
    <n v="25.27"/>
    <n v="4.55"/>
    <n v="3102"/>
    <n v="0"/>
    <m/>
    <n v="20260413"/>
    <m/>
    <s v="CREDITO"/>
    <n v="3908900"/>
    <s v="BFALABELLA"/>
    <m/>
    <m/>
    <d v="1899-12-30T10:41:04"/>
    <s v="HONOR MALL DEL SUR"/>
    <s v="BBVA"/>
  </r>
  <r>
    <n v="1044162"/>
    <s v="VA"/>
    <s v="A"/>
    <d v="2026-04-12T00:00:00"/>
    <d v="2026-04-12T00:00:00"/>
    <m/>
    <n v="881"/>
    <s v="PS0002"/>
    <n v="3710"/>
    <n v="491089"/>
    <m/>
    <s v="455788******0055"/>
    <s v="Nac"/>
    <s v="COM"/>
    <x v="11"/>
    <n v="169.9"/>
    <s v="Abonado"/>
    <n v="4.91"/>
    <n v="2.19"/>
    <n v="0.39"/>
    <n v="164.6"/>
    <n v="0"/>
    <m/>
    <n v="20260413"/>
    <m/>
    <s v="DEBITO"/>
    <n v="3908900"/>
    <s v="BCP"/>
    <m/>
    <m/>
    <d v="1899-12-30T11:24:08"/>
    <s v="HONOR MALL DEL SUR"/>
    <s v="BBVA"/>
  </r>
  <r>
    <n v="1044162"/>
    <s v="VA"/>
    <s v="A"/>
    <d v="2026-04-12T00:00:00"/>
    <d v="2026-04-12T00:00:00"/>
    <m/>
    <n v="881"/>
    <s v="PS0002"/>
    <n v="3712"/>
    <n v="905896"/>
    <m/>
    <s v="455788******6709"/>
    <s v="Nac"/>
    <s v="COM"/>
    <x v="11"/>
    <n v="3199"/>
    <s v="Abonado"/>
    <n v="92.45"/>
    <n v="41.27"/>
    <n v="7.43"/>
    <n v="3099.12"/>
    <n v="0"/>
    <m/>
    <n v="20260413"/>
    <m/>
    <s v="DEBITO"/>
    <n v="3908900"/>
    <s v="BCP"/>
    <m/>
    <m/>
    <d v="1899-12-30T11:58:45"/>
    <s v="HONOR MALL DEL SUR"/>
    <s v="BBVA"/>
  </r>
  <r>
    <n v="1044162"/>
    <s v="VA"/>
    <s v="A"/>
    <d v="2026-04-12T00:00:00"/>
    <d v="2026-04-12T00:00:00"/>
    <m/>
    <n v="881"/>
    <s v="PS0002"/>
    <n v="3714"/>
    <n v="4844"/>
    <m/>
    <s v="463402******5050"/>
    <s v="Nac"/>
    <s v="COM"/>
    <x v="11"/>
    <n v="1699"/>
    <s v="Abonado"/>
    <n v="49.1"/>
    <n v="13.42"/>
    <n v="2.42"/>
    <n v="1647.48"/>
    <n v="0"/>
    <m/>
    <n v="20260413"/>
    <m/>
    <s v="CREDITO"/>
    <n v="3908900"/>
    <s v="BCP"/>
    <m/>
    <m/>
    <d v="1899-12-30T12:09:16"/>
    <s v="HONOR MALL DEL SUR"/>
    <s v="BBVA"/>
  </r>
  <r>
    <n v="1044162"/>
    <s v="VA"/>
    <s v="A"/>
    <d v="2026-04-12T00:00:00"/>
    <d v="2026-04-12T00:00:00"/>
    <m/>
    <n v="881"/>
    <s v="PS0002"/>
    <n v="3716"/>
    <n v="937061"/>
    <m/>
    <s v="455788******6713"/>
    <s v="Nac"/>
    <s v="COM"/>
    <x v="11"/>
    <n v="629"/>
    <s v="Abonado"/>
    <n v="18.18"/>
    <n v="8.1199999999999992"/>
    <n v="1.46"/>
    <n v="609.36"/>
    <n v="0"/>
    <m/>
    <n v="20260413"/>
    <m/>
    <s v="DEBITO"/>
    <n v="3908900"/>
    <s v="VISA LOC"/>
    <m/>
    <m/>
    <d v="1899-12-30T12:18:53"/>
    <s v="HONOR MALL DEL SUR"/>
    <s v="BBVA"/>
  </r>
  <r>
    <n v="1044162"/>
    <s v="VA"/>
    <s v="A"/>
    <d v="2026-04-12T00:00:00"/>
    <d v="2026-04-12T00:00:00"/>
    <m/>
    <n v="881"/>
    <s v="PS0002"/>
    <n v="3718"/>
    <n v="321448"/>
    <m/>
    <s v="422224******1754"/>
    <s v="Nac"/>
    <s v="COM"/>
    <x v="11"/>
    <n v="359"/>
    <s v="Abonado"/>
    <n v="10.38"/>
    <n v="2.12"/>
    <n v="0.38"/>
    <n v="348.24"/>
    <n v="0"/>
    <m/>
    <n v="20260413"/>
    <m/>
    <s v="CREDITO"/>
    <n v="3908900"/>
    <s v="IBK PRIVADA"/>
    <m/>
    <m/>
    <d v="1899-12-30T12:32:05"/>
    <s v="HONOR MALL DEL SUR"/>
    <s v="BBVA"/>
  </r>
  <r>
    <n v="1044162"/>
    <s v="VA"/>
    <s v="A"/>
    <d v="2026-04-12T00:00:00"/>
    <d v="2026-04-12T00:00:00"/>
    <m/>
    <n v="881"/>
    <s v="PS0002"/>
    <n v="3720"/>
    <n v="49977"/>
    <m/>
    <s v="421410******6560"/>
    <s v="Nac"/>
    <s v="COM"/>
    <x v="11"/>
    <n v="1049"/>
    <s v="Abonado"/>
    <n v="30.32"/>
    <n v="13.54"/>
    <n v="2.44"/>
    <n v="1016.24"/>
    <n v="0"/>
    <m/>
    <n v="20260413"/>
    <m/>
    <s v="DEBITO"/>
    <n v="3908900"/>
    <s v="NACION"/>
    <m/>
    <m/>
    <d v="1899-12-30T13:07:19"/>
    <s v="HONOR MALL DEL SUR"/>
    <s v="BBVA"/>
  </r>
  <r>
    <n v="1044162"/>
    <s v="VA"/>
    <s v="A"/>
    <d v="2026-04-12T00:00:00"/>
    <d v="2026-04-12T00:00:00"/>
    <m/>
    <n v="881"/>
    <s v="PS0002"/>
    <n v="3722"/>
    <n v="55012"/>
    <m/>
    <s v="421410******6560"/>
    <s v="Nac"/>
    <s v="COM"/>
    <x v="11"/>
    <n v="179"/>
    <s v="Abonado"/>
    <n v="5.17"/>
    <n v="2.31"/>
    <n v="0.42"/>
    <n v="173.41"/>
    <n v="0"/>
    <m/>
    <n v="20260413"/>
    <m/>
    <s v="DEBITO"/>
    <n v="3908900"/>
    <s v="NACION"/>
    <m/>
    <m/>
    <d v="1899-12-30T13:34:34"/>
    <s v="HONOR MALL DEL SUR"/>
    <s v="BBVA"/>
  </r>
  <r>
    <n v="1044162"/>
    <s v="VA"/>
    <s v="A"/>
    <d v="2026-04-12T00:00:00"/>
    <d v="2026-04-12T00:00:00"/>
    <m/>
    <n v="881"/>
    <s v="PS0002"/>
    <n v="3724"/>
    <n v="958911"/>
    <n v="2"/>
    <s v="447410******1286"/>
    <s v="Nac"/>
    <s v="COM"/>
    <x v="11"/>
    <n v="629"/>
    <s v="Abonado"/>
    <n v="18.18"/>
    <n v="3.71"/>
    <n v="0.67"/>
    <n v="610.15"/>
    <n v="0"/>
    <m/>
    <n v="20260413"/>
    <m/>
    <s v="CREDITO"/>
    <n v="3908900"/>
    <s v="BFALABELLA"/>
    <s v="NO"/>
    <m/>
    <d v="1899-12-30T14:28:31"/>
    <s v="HONOR MALL DEL SUR"/>
    <s v="BBVA"/>
  </r>
  <r>
    <n v="1044162"/>
    <s v="VA"/>
    <s v="A"/>
    <d v="2026-04-12T00:00:00"/>
    <d v="2026-04-12T00:00:00"/>
    <m/>
    <n v="881"/>
    <s v="PS0002"/>
    <n v="3726"/>
    <n v="484735"/>
    <n v="3"/>
    <s v="414791******9725"/>
    <s v="Nac"/>
    <s v="COM"/>
    <x v="11"/>
    <n v="1799"/>
    <s v="Abonado"/>
    <n v="83.47"/>
    <n v="10.61"/>
    <n v="1.91"/>
    <n v="1713.62"/>
    <n v="0"/>
    <m/>
    <n v="20260413"/>
    <m/>
    <s v="CREDITO"/>
    <n v="3908900"/>
    <s v="BBVA"/>
    <s v="SI"/>
    <m/>
    <d v="1899-12-30T14:45:43"/>
    <s v="HONOR MALL DEL SUR"/>
    <s v="BBVA"/>
  </r>
  <r>
    <n v="1044162"/>
    <s v="VA"/>
    <s v="A"/>
    <d v="2026-04-12T00:00:00"/>
    <d v="2026-04-12T00:00:00"/>
    <m/>
    <n v="881"/>
    <n v="65656565"/>
    <n v="3730"/>
    <n v="71472"/>
    <m/>
    <s v="421355******7386"/>
    <s v="Nac"/>
    <s v="COM"/>
    <x v="11"/>
    <n v="294.89999999999998"/>
    <s v="Abonado"/>
    <n v="8.52"/>
    <n v="3.8"/>
    <n v="0.68"/>
    <n v="285.7"/>
    <n v="0"/>
    <m/>
    <n v="20260413"/>
    <m/>
    <s v="DEBITO"/>
    <n v="3908900"/>
    <s v="IBK PRIVADA"/>
    <m/>
    <s v="IBK Plin"/>
    <d v="1899-12-30T14:57:41"/>
    <s v="HONOR MALL DEL SUR"/>
    <s v="BBVA"/>
  </r>
  <r>
    <n v="1044162"/>
    <s v="VA"/>
    <s v="A"/>
    <d v="2026-04-12T00:00:00"/>
    <d v="2026-04-12T00:00:00"/>
    <m/>
    <n v="881"/>
    <s v="PS0002"/>
    <n v="3742"/>
    <n v="977695"/>
    <m/>
    <s v="455788******3631"/>
    <s v="Nac"/>
    <s v="COM"/>
    <x v="11"/>
    <n v="459"/>
    <s v="Abonado"/>
    <n v="13.27"/>
    <n v="5.93"/>
    <n v="1.07"/>
    <n v="444.66"/>
    <n v="0"/>
    <m/>
    <n v="20260413"/>
    <m/>
    <s v="DEBITO"/>
    <n v="3908900"/>
    <s v="VISA LOC"/>
    <m/>
    <m/>
    <d v="1899-12-30T16:31:12"/>
    <s v="HONOR MALL DEL SUR"/>
    <s v="BBVA"/>
  </r>
  <r>
    <n v="1044162"/>
    <s v="VA"/>
    <s v="A"/>
    <d v="2026-04-12T00:00:00"/>
    <d v="2026-04-12T00:00:00"/>
    <m/>
    <n v="881"/>
    <s v="PS0002"/>
    <n v="3744"/>
    <n v="939066"/>
    <m/>
    <s v="455788******0824"/>
    <s v="Nac"/>
    <s v="COM"/>
    <x v="11"/>
    <n v="60"/>
    <s v="Abonado"/>
    <n v="1.73"/>
    <n v="0.77"/>
    <n v="0.14000000000000001"/>
    <n v="58.13"/>
    <n v="0"/>
    <m/>
    <n v="20260413"/>
    <m/>
    <s v="DEBITO"/>
    <n v="3908900"/>
    <s v="VISA LOC"/>
    <m/>
    <m/>
    <d v="1899-12-30T16:32:35"/>
    <s v="HONOR MALL DEL SUR"/>
    <s v="BBVA"/>
  </r>
  <r>
    <n v="1044162"/>
    <s v="VA"/>
    <s v="A"/>
    <d v="2026-04-12T00:00:00"/>
    <d v="2026-04-12T00:00:00"/>
    <m/>
    <n v="881"/>
    <s v="PS0002"/>
    <n v="3746"/>
    <n v="163406"/>
    <m/>
    <s v="483039******4399"/>
    <s v="Nac"/>
    <s v="COM"/>
    <x v="11"/>
    <n v="399"/>
    <s v="Abonado"/>
    <n v="11.53"/>
    <n v="3.15"/>
    <n v="0.56999999999999995"/>
    <n v="386.9"/>
    <n v="0"/>
    <m/>
    <n v="20260413"/>
    <m/>
    <s v="DEBITO"/>
    <n v="3908900"/>
    <s v="IBK PRIVADA"/>
    <m/>
    <m/>
    <d v="1899-12-30T16:33:04"/>
    <s v="HONOR MALL DEL SUR"/>
    <s v="BBVA"/>
  </r>
  <r>
    <n v="1044162"/>
    <s v="VA"/>
    <s v="A"/>
    <d v="2026-04-12T00:00:00"/>
    <d v="2026-04-12T00:00:00"/>
    <m/>
    <n v="881"/>
    <s v="PS0002"/>
    <n v="3748"/>
    <n v="889610"/>
    <m/>
    <s v="455103******3727"/>
    <s v="Nac"/>
    <s v="COM"/>
    <x v="11"/>
    <n v="89"/>
    <s v="Abonado"/>
    <n v="2.57"/>
    <n v="1.1499999999999999"/>
    <n v="0.21"/>
    <n v="86.22"/>
    <n v="0"/>
    <m/>
    <n v="20260413"/>
    <m/>
    <s v="DEBITO"/>
    <n v="3908900"/>
    <s v="BBVA"/>
    <m/>
    <m/>
    <d v="1899-12-30T16:58:35"/>
    <s v="HONOR MALL DEL SUR"/>
    <s v="BBVA"/>
  </r>
  <r>
    <n v="1044162"/>
    <s v="VA"/>
    <s v="A"/>
    <d v="2026-04-12T00:00:00"/>
    <d v="2026-04-12T00:00:00"/>
    <m/>
    <n v="881"/>
    <s v="PS0002"/>
    <n v="3750"/>
    <n v="58972"/>
    <m/>
    <s v="455788******8926"/>
    <s v="Nac"/>
    <s v="COM"/>
    <x v="11"/>
    <n v="629"/>
    <s v="Abonado"/>
    <n v="18.18"/>
    <n v="8.1199999999999992"/>
    <n v="1.46"/>
    <n v="609.36"/>
    <n v="0"/>
    <m/>
    <n v="20260413"/>
    <m/>
    <s v="DEBITO"/>
    <n v="3908900"/>
    <s v="BCP"/>
    <m/>
    <m/>
    <d v="1899-12-30T17:23:42"/>
    <s v="HONOR MALL DEL SUR"/>
    <s v="BBVA"/>
  </r>
  <r>
    <n v="1044162"/>
    <s v="VA"/>
    <s v="A"/>
    <d v="2026-04-12T00:00:00"/>
    <d v="2026-04-12T00:00:00"/>
    <m/>
    <n v="881"/>
    <s v="PS0002"/>
    <n v="3752"/>
    <n v="436529"/>
    <m/>
    <s v="491257******9070"/>
    <s v="Nac"/>
    <s v="COM"/>
    <x v="11"/>
    <n v="129"/>
    <s v="Abonado"/>
    <n v="3.73"/>
    <n v="1.67"/>
    <n v="0.3"/>
    <n v="124.97"/>
    <n v="0"/>
    <m/>
    <n v="20260413"/>
    <m/>
    <s v="DEBITO"/>
    <n v="3908900"/>
    <s v="BCP"/>
    <m/>
    <m/>
    <d v="1899-12-30T17:26:31"/>
    <s v="HONOR MALL DEL SUR"/>
    <s v="BBVA"/>
  </r>
  <r>
    <n v="1044162"/>
    <s v="VA"/>
    <s v="A"/>
    <d v="2026-04-12T00:00:00"/>
    <d v="2026-04-12T00:00:00"/>
    <m/>
    <n v="881"/>
    <s v="PS0002"/>
    <n v="3754"/>
    <n v="987933"/>
    <m/>
    <s v="455788******5432"/>
    <s v="Nac"/>
    <s v="COM"/>
    <x v="11"/>
    <n v="1799"/>
    <s v="Abonado"/>
    <n v="51.99"/>
    <n v="23.21"/>
    <n v="4.18"/>
    <n v="1742.83"/>
    <n v="0"/>
    <m/>
    <n v="20260413"/>
    <m/>
    <s v="DEBITO"/>
    <n v="3908900"/>
    <s v="BCP"/>
    <m/>
    <m/>
    <d v="1899-12-30T17:40:14"/>
    <s v="HONOR MALL DEL SUR"/>
    <s v="BBVA"/>
  </r>
  <r>
    <n v="1044162"/>
    <s v="VA"/>
    <s v="A"/>
    <d v="2026-04-12T00:00:00"/>
    <d v="2026-04-12T00:00:00"/>
    <m/>
    <n v="881"/>
    <s v="PS0002"/>
    <n v="3756"/>
    <n v="23585"/>
    <m/>
    <s v="455103******6449"/>
    <s v="Nac"/>
    <s v="COM"/>
    <x v="11"/>
    <n v="188.7"/>
    <s v="Abonado"/>
    <n v="5.45"/>
    <n v="2.4300000000000002"/>
    <n v="0.44"/>
    <n v="182.81"/>
    <n v="0"/>
    <m/>
    <n v="20260413"/>
    <m/>
    <s v="DEBITO"/>
    <n v="3908900"/>
    <s v="BBVA"/>
    <m/>
    <m/>
    <d v="1899-12-30T17:45:24"/>
    <s v="HONOR MALL DEL SUR"/>
    <s v="BBVA"/>
  </r>
  <r>
    <n v="1044162"/>
    <s v="VA"/>
    <s v="A"/>
    <d v="2026-04-12T00:00:00"/>
    <d v="2026-04-12T00:00:00"/>
    <m/>
    <n v="881"/>
    <s v="PS0002"/>
    <n v="3758"/>
    <n v="174700"/>
    <m/>
    <s v="483039******7905"/>
    <s v="Nac"/>
    <s v="COM"/>
    <x v="11"/>
    <n v="440.3"/>
    <s v="Abonado"/>
    <n v="12.72"/>
    <n v="3.47"/>
    <n v="0.62"/>
    <n v="426.96"/>
    <n v="0"/>
    <m/>
    <n v="20260413"/>
    <m/>
    <s v="DEBITO"/>
    <n v="3908900"/>
    <s v="IBK PRIVADA"/>
    <m/>
    <m/>
    <d v="1899-12-30T17:45:58"/>
    <s v="HONOR MALL DEL SUR"/>
    <s v="BBVA"/>
  </r>
  <r>
    <n v="1044162"/>
    <s v="VA"/>
    <s v="A"/>
    <d v="2026-04-12T00:00:00"/>
    <d v="2026-04-12T00:00:00"/>
    <m/>
    <n v="881"/>
    <s v="PS0002"/>
    <n v="3760"/>
    <n v="66525"/>
    <m/>
    <s v="455788******0130"/>
    <s v="Nac"/>
    <s v="COM"/>
    <x v="11"/>
    <n v="189.9"/>
    <s v="Abonado"/>
    <n v="5.49"/>
    <n v="2.4500000000000002"/>
    <n v="0.44"/>
    <n v="183.97"/>
    <n v="0"/>
    <m/>
    <n v="20260413"/>
    <m/>
    <s v="DEBITO"/>
    <n v="3908900"/>
    <s v="BCP"/>
    <m/>
    <m/>
    <d v="1899-12-30T17:54:53"/>
    <s v="HONOR MALL DEL SUR"/>
    <s v="BBVA"/>
  </r>
  <r>
    <n v="1044162"/>
    <s v="VA"/>
    <s v="A"/>
    <d v="2026-04-12T00:00:00"/>
    <d v="2026-04-12T00:00:00"/>
    <m/>
    <n v="881"/>
    <s v="PS0002"/>
    <n v="3762"/>
    <n v="6339"/>
    <n v="3"/>
    <s v="428078******1543"/>
    <s v="Nac"/>
    <s v="COM"/>
    <x v="11"/>
    <n v="629"/>
    <s v="Abonado"/>
    <n v="18.18"/>
    <n v="4.97"/>
    <n v="0.89"/>
    <n v="609.92999999999995"/>
    <n v="0"/>
    <m/>
    <n v="20260413"/>
    <m/>
    <s v="CREDITO"/>
    <n v="3908900"/>
    <s v="BCP"/>
    <s v="NO"/>
    <m/>
    <d v="1899-12-30T18:17:11"/>
    <s v="HONOR MALL DEL SUR"/>
    <s v="BBVA"/>
  </r>
  <r>
    <n v="1044162"/>
    <s v="VA"/>
    <s v="A"/>
    <d v="2026-04-12T00:00:00"/>
    <d v="2026-04-12T00:00:00"/>
    <m/>
    <n v="881"/>
    <n v="65656565"/>
    <n v="3764"/>
    <n v="453464"/>
    <m/>
    <s v="421355******3402"/>
    <s v="Nac"/>
    <s v="COM"/>
    <x v="11"/>
    <n v="500"/>
    <s v="Abonado"/>
    <n v="14.45"/>
    <n v="6.45"/>
    <n v="1.1599999999999999"/>
    <n v="484.39"/>
    <n v="0"/>
    <m/>
    <n v="20260413"/>
    <m/>
    <s v="DEBITO"/>
    <n v="3908900"/>
    <s v="IBK PRIVADA"/>
    <m/>
    <s v="IBK Plin"/>
    <d v="1899-12-30T18:38:43"/>
    <s v="HONOR MALL DEL SUR"/>
    <s v="BBVA"/>
  </r>
  <r>
    <n v="1044162"/>
    <s v="VA"/>
    <s v="A"/>
    <d v="2026-04-12T00:00:00"/>
    <d v="2026-04-12T00:00:00"/>
    <m/>
    <n v="881"/>
    <n v="65656565"/>
    <n v="3767"/>
    <n v="719207"/>
    <m/>
    <s v="421355******3402"/>
    <s v="Nac"/>
    <s v="COM"/>
    <x v="11"/>
    <n v="500"/>
    <s v="Abonado"/>
    <n v="14.45"/>
    <n v="6.45"/>
    <n v="1.1599999999999999"/>
    <n v="484.39"/>
    <n v="0"/>
    <m/>
    <n v="20260413"/>
    <m/>
    <s v="DEBITO"/>
    <n v="3908900"/>
    <s v="IBK PRIVADA"/>
    <m/>
    <s v="IBK Plin"/>
    <d v="1899-12-30T18:40:15"/>
    <s v="HONOR MALL DEL SUR"/>
    <s v="BBVA"/>
  </r>
  <r>
    <n v="1044162"/>
    <s v="VA"/>
    <s v="A"/>
    <d v="2026-04-12T00:00:00"/>
    <d v="2026-04-12T00:00:00"/>
    <m/>
    <n v="881"/>
    <n v="65656565"/>
    <n v="3772"/>
    <n v="938908"/>
    <m/>
    <s v="421355******3402"/>
    <s v="Nac"/>
    <s v="COM"/>
    <x v="11"/>
    <n v="240"/>
    <s v="Abonado"/>
    <n v="6.93"/>
    <n v="3.09"/>
    <n v="0.56000000000000005"/>
    <n v="232.51"/>
    <n v="0"/>
    <m/>
    <n v="20260413"/>
    <m/>
    <s v="DEBITO"/>
    <n v="3908900"/>
    <s v="IBK PRIVADA"/>
    <m/>
    <s v="IBK Plin"/>
    <d v="1899-12-30T18:42:47"/>
    <s v="HONOR MALL DEL SUR"/>
    <s v="BBVA"/>
  </r>
  <r>
    <n v="1044162"/>
    <s v="VA"/>
    <s v="A"/>
    <d v="2026-04-12T00:00:00"/>
    <d v="2026-04-12T00:00:00"/>
    <m/>
    <n v="881"/>
    <n v="65656565"/>
    <n v="3775"/>
    <n v="89182"/>
    <m/>
    <s v="455788******3724"/>
    <s v="Nac"/>
    <s v="COM"/>
    <x v="11"/>
    <n v="153.9"/>
    <s v="Abonado"/>
    <n v="4.4400000000000004"/>
    <n v="1.98"/>
    <n v="0.36"/>
    <n v="149.1"/>
    <n v="0"/>
    <m/>
    <n v="20260413"/>
    <m/>
    <s v="DEBITO"/>
    <n v="3908900"/>
    <s v="BCP"/>
    <m/>
    <s v="Yape"/>
    <d v="1899-12-30T18:49:50"/>
    <s v="HONOR MALL DEL SUR"/>
    <s v="BBVA"/>
  </r>
  <r>
    <n v="1044162"/>
    <s v="VA"/>
    <s v="A"/>
    <d v="2026-04-12T00:00:00"/>
    <d v="2026-04-12T00:00:00"/>
    <m/>
    <n v="881"/>
    <n v="65656565"/>
    <n v="3778"/>
    <n v="219213"/>
    <m/>
    <s v="455788******6321"/>
    <s v="Nac"/>
    <s v="COM"/>
    <x v="11"/>
    <n v="429"/>
    <s v="Abonado"/>
    <n v="12.39"/>
    <n v="5.53"/>
    <n v="1"/>
    <n v="415.61"/>
    <n v="0"/>
    <m/>
    <n v="20260413"/>
    <m/>
    <s v="DEBITO"/>
    <n v="3908900"/>
    <s v="BCP"/>
    <m/>
    <s v="Yape"/>
    <d v="1899-12-30T19:12:05"/>
    <s v="HONOR MALL DEL SUR"/>
    <s v="BBVA"/>
  </r>
  <r>
    <n v="1044162"/>
    <s v="VA"/>
    <s v="A"/>
    <d v="2026-04-12T00:00:00"/>
    <d v="2026-04-12T00:00:00"/>
    <m/>
    <n v="881"/>
    <s v="PS0002"/>
    <n v="3783"/>
    <n v="649294"/>
    <m/>
    <s v="455788******8899"/>
    <s v="Nac"/>
    <s v="COM"/>
    <x v="11"/>
    <n v="629"/>
    <s v="Abonado"/>
    <n v="18.18"/>
    <n v="8.1199999999999992"/>
    <n v="1.46"/>
    <n v="609.36"/>
    <n v="0"/>
    <m/>
    <n v="20260413"/>
    <m/>
    <s v="DEBITO"/>
    <n v="3908900"/>
    <s v="BCP"/>
    <m/>
    <m/>
    <d v="1899-12-30T19:46:25"/>
    <s v="HONOR MALL DEL SUR"/>
    <s v="BBVA"/>
  </r>
  <r>
    <n v="1044162"/>
    <s v="VA"/>
    <s v="A"/>
    <d v="2026-04-12T00:00:00"/>
    <d v="2026-04-12T00:00:00"/>
    <m/>
    <n v="881"/>
    <s v="PS0002"/>
    <n v="3789"/>
    <n v="242286"/>
    <m/>
    <s v="455788******1699"/>
    <s v="Nac"/>
    <s v="COM"/>
    <x v="11"/>
    <n v="459"/>
    <s v="Abonado"/>
    <n v="13.27"/>
    <n v="5.93"/>
    <n v="1.07"/>
    <n v="444.66"/>
    <n v="0"/>
    <m/>
    <n v="20260413"/>
    <m/>
    <s v="DEBITO"/>
    <n v="3908900"/>
    <s v="BCP"/>
    <m/>
    <m/>
    <d v="1899-12-30T19:53:31"/>
    <s v="HONOR MALL DEL SUR"/>
    <s v="BBVA"/>
  </r>
  <r>
    <n v="1044162"/>
    <s v="VA"/>
    <s v="A"/>
    <d v="2026-04-12T00:00:00"/>
    <d v="2026-04-12T00:00:00"/>
    <m/>
    <n v="881"/>
    <n v="65656565"/>
    <n v="3791"/>
    <n v="668093"/>
    <m/>
    <s v="455788******5466"/>
    <s v="Nac"/>
    <s v="COM"/>
    <x v="11"/>
    <n v="179.9"/>
    <s v="Abonado"/>
    <n v="5.19"/>
    <n v="2.31"/>
    <n v="0.42"/>
    <n v="174.29"/>
    <n v="0"/>
    <m/>
    <n v="20260413"/>
    <m/>
    <s v="DEBITO"/>
    <n v="3908900"/>
    <s v="BCP"/>
    <m/>
    <s v="Yape"/>
    <d v="1899-12-30T19:58:43"/>
    <s v="HONOR MALL DEL SUR"/>
    <s v="BBVA"/>
  </r>
  <r>
    <n v="1044162"/>
    <s v="VA"/>
    <s v="A"/>
    <d v="2026-04-12T00:00:00"/>
    <d v="2026-04-12T00:00:00"/>
    <m/>
    <n v="881"/>
    <s v="PS0002"/>
    <n v="3794"/>
    <n v="485208"/>
    <n v="3"/>
    <s v="491909******2679"/>
    <s v="Nac"/>
    <s v="COM"/>
    <x v="11"/>
    <n v="1498.8"/>
    <s v="Abonado"/>
    <n v="69.55"/>
    <n v="11.85"/>
    <n v="2.13"/>
    <n v="1427.12"/>
    <n v="0"/>
    <m/>
    <n v="20260413"/>
    <m/>
    <s v="CREDITO"/>
    <n v="3908900"/>
    <s v="BBVA"/>
    <s v="SI"/>
    <m/>
    <d v="1899-12-30T20:36:41"/>
    <s v="HONOR MALL DEL SUR"/>
    <s v="BBVA"/>
  </r>
  <r>
    <n v="1044162"/>
    <s v="VA"/>
    <s v="A"/>
    <d v="2026-04-12T00:00:00"/>
    <d v="2026-04-12T00:00:00"/>
    <m/>
    <n v="881"/>
    <s v="PS0002"/>
    <n v="3796"/>
    <n v="724931"/>
    <m/>
    <s v="455788******2970"/>
    <s v="Nac"/>
    <s v="COM"/>
    <x v="11"/>
    <n v="200.2"/>
    <s v="Abonado"/>
    <n v="5.79"/>
    <n v="2.59"/>
    <n v="0.47"/>
    <n v="193.94"/>
    <n v="0"/>
    <m/>
    <n v="20260413"/>
    <m/>
    <s v="DEBITO"/>
    <n v="3908900"/>
    <s v="BCP"/>
    <m/>
    <m/>
    <d v="1899-12-30T20:37:32"/>
    <s v="HONOR MALL DEL SUR"/>
    <s v="BBVA"/>
  </r>
  <r>
    <n v="1044162"/>
    <s v="VA"/>
    <s v="A"/>
    <d v="2026-04-12T00:00:00"/>
    <d v="2026-04-12T00:00:00"/>
    <m/>
    <n v="881"/>
    <s v="PS0002"/>
    <n v="3798"/>
    <n v="344631"/>
    <m/>
    <s v="455788******1195"/>
    <s v="Nac"/>
    <s v="COM"/>
    <x v="11"/>
    <n v="1149"/>
    <s v="Abonado"/>
    <n v="33.21"/>
    <n v="14.83"/>
    <n v="2.67"/>
    <n v="1113.1199999999999"/>
    <n v="0"/>
    <m/>
    <n v="20260413"/>
    <m/>
    <s v="DEBITO"/>
    <n v="3908900"/>
    <s v="VISA LOC"/>
    <m/>
    <m/>
    <d v="1899-12-30T21:12:21"/>
    <s v="HONOR MALL DEL SUR"/>
    <s v="BBVA"/>
  </r>
  <r>
    <n v="1044162"/>
    <s v="VA"/>
    <s v="A"/>
    <d v="2026-04-12T00:00:00"/>
    <d v="2026-04-12T00:00:00"/>
    <m/>
    <n v="881"/>
    <s v="PS0002"/>
    <n v="3800"/>
    <n v="576844"/>
    <m/>
    <s v="455170******2189"/>
    <s v="Nac"/>
    <s v="COM"/>
    <x v="11"/>
    <n v="688"/>
    <s v="Abonado"/>
    <n v="19.88"/>
    <n v="8.8699999999999992"/>
    <n v="1.6"/>
    <n v="666.52"/>
    <n v="24021.67"/>
    <d v="2026-04-13T00:00:00"/>
    <n v="20260413"/>
    <n v="104101"/>
    <s v="DEBITO"/>
    <n v="3908900"/>
    <s v="BBVA"/>
    <m/>
    <m/>
    <d v="1899-12-30T21:18:26"/>
    <s v="HONOR MALL DEL SUR"/>
    <s v="BBVA"/>
  </r>
  <r>
    <n v="1044162"/>
    <s v="MC"/>
    <s v="A"/>
    <d v="2026-04-13T00:00:00"/>
    <d v="2026-04-13T00:00:00"/>
    <m/>
    <n v="882"/>
    <s v="PS0002"/>
    <n v="3825"/>
    <n v="348070"/>
    <m/>
    <s v="525435******5097"/>
    <s v="Nac"/>
    <s v="COM"/>
    <x v="12"/>
    <n v="201.6"/>
    <s v="Abonado"/>
    <n v="5.83"/>
    <n v="1.6"/>
    <n v="0.28999999999999998"/>
    <n v="195.48"/>
    <n v="195.48"/>
    <d v="2026-04-14T00:00:00"/>
    <n v="20260414"/>
    <n v="104101"/>
    <s v="CREDITO"/>
    <n v="3908900"/>
    <s v="BRIPLEY"/>
    <m/>
    <m/>
    <d v="1899-12-30T13:45:54"/>
    <s v="HONOR MALL DEL SUR"/>
    <s v="BBVA"/>
  </r>
  <r>
    <n v="1044162"/>
    <s v="VA"/>
    <s v="A"/>
    <d v="2026-04-13T00:00:00"/>
    <d v="2026-04-13T00:00:00"/>
    <m/>
    <n v="882"/>
    <s v="PS0002"/>
    <n v="3806"/>
    <n v="303377"/>
    <m/>
    <s v="426153******6298"/>
    <s v="Nac"/>
    <s v="COM"/>
    <x v="12"/>
    <n v="568"/>
    <s v="Abonado"/>
    <n v="16.420000000000002"/>
    <n v="7.33"/>
    <n v="1.32"/>
    <n v="550.26"/>
    <n v="0"/>
    <m/>
    <n v="20260414"/>
    <m/>
    <s v="DEBITO"/>
    <n v="3908900"/>
    <s v="CAJA AREQUIP"/>
    <m/>
    <m/>
    <d v="1899-12-30T11:07:34"/>
    <s v="HONOR MALL DEL SUR"/>
    <s v="BBVA"/>
  </r>
  <r>
    <n v="1044162"/>
    <s v="VA"/>
    <s v="A"/>
    <d v="2026-04-13T00:00:00"/>
    <d v="2026-04-13T00:00:00"/>
    <m/>
    <n v="882"/>
    <s v="PS0002"/>
    <n v="3808"/>
    <n v="4285"/>
    <n v="5"/>
    <s v="434925******6329"/>
    <s v="Nac"/>
    <s v="COM"/>
    <x v="12"/>
    <n v="1999"/>
    <s v="Abonado"/>
    <n v="57.77"/>
    <n v="15.79"/>
    <n v="2.84"/>
    <n v="1938.39"/>
    <n v="0"/>
    <m/>
    <n v="20260414"/>
    <m/>
    <s v="CREDITO"/>
    <n v="3908900"/>
    <s v="BCP"/>
    <s v="NO"/>
    <m/>
    <d v="1899-12-30T12:18:47"/>
    <s v="HONOR MALL DEL SUR"/>
    <s v="BBVA"/>
  </r>
  <r>
    <n v="1044162"/>
    <s v="VA"/>
    <s v="A"/>
    <d v="2026-04-13T00:00:00"/>
    <d v="2026-04-13T00:00:00"/>
    <m/>
    <n v="882"/>
    <n v="65656565"/>
    <n v="3810"/>
    <n v="632712"/>
    <m/>
    <s v="421355******6840"/>
    <s v="Nac"/>
    <s v="COM"/>
    <x v="12"/>
    <n v="179.9"/>
    <s v="Abonado"/>
    <n v="5.19"/>
    <n v="2.31"/>
    <n v="0.42"/>
    <n v="174.29"/>
    <n v="0"/>
    <m/>
    <n v="20260414"/>
    <m/>
    <s v="DEBITO"/>
    <n v="3908900"/>
    <s v="IBK PRIVADA"/>
    <m/>
    <s v="IBK Plin"/>
    <d v="1899-12-30T12:47:18"/>
    <s v="HONOR MALL DEL SUR"/>
    <s v="BBVA"/>
  </r>
  <r>
    <n v="1044162"/>
    <s v="VA"/>
    <s v="A"/>
    <d v="2026-04-13T00:00:00"/>
    <d v="2026-04-13T00:00:00"/>
    <m/>
    <n v="882"/>
    <s v="PS0002"/>
    <n v="3813"/>
    <n v="476596"/>
    <m/>
    <s v="491246******5866"/>
    <s v="Nac"/>
    <s v="COM"/>
    <x v="12"/>
    <n v="918"/>
    <s v="Abonado"/>
    <n v="26.53"/>
    <n v="7.25"/>
    <n v="1.31"/>
    <n v="890.16"/>
    <n v="0"/>
    <m/>
    <n v="20260414"/>
    <m/>
    <s v="DEBITO"/>
    <n v="3908900"/>
    <s v="BCP"/>
    <m/>
    <m/>
    <d v="1899-12-30T13:02:35"/>
    <s v="HONOR MALL DEL SUR"/>
    <s v="BBVA"/>
  </r>
  <r>
    <n v="1044162"/>
    <s v="VA"/>
    <s v="A"/>
    <d v="2026-04-13T00:00:00"/>
    <d v="2026-04-13T00:00:00"/>
    <m/>
    <n v="882"/>
    <n v="65656565"/>
    <n v="3819"/>
    <n v="513576"/>
    <m/>
    <s v="455788******1118"/>
    <s v="Nac"/>
    <s v="COM"/>
    <x v="12"/>
    <n v="649"/>
    <s v="Abonado"/>
    <n v="18.75"/>
    <n v="8.3699999999999992"/>
    <n v="1.51"/>
    <n v="628.74"/>
    <n v="0"/>
    <m/>
    <n v="20260414"/>
    <m/>
    <s v="DEBITO"/>
    <n v="3908900"/>
    <s v="BCP"/>
    <m/>
    <s v="Yape"/>
    <d v="1899-12-30T13:23:18"/>
    <s v="HONOR MALL DEL SUR"/>
    <s v="BBVA"/>
  </r>
  <r>
    <n v="1044162"/>
    <s v="VA"/>
    <s v="A"/>
    <d v="2026-04-13T00:00:00"/>
    <d v="2026-04-13T00:00:00"/>
    <m/>
    <n v="882"/>
    <n v="65656565"/>
    <n v="3822"/>
    <n v="514889"/>
    <m/>
    <s v="455788******1118"/>
    <s v="Nac"/>
    <s v="COM"/>
    <x v="12"/>
    <n v="500"/>
    <s v="Abonado"/>
    <n v="14.45"/>
    <n v="6.45"/>
    <n v="1.1599999999999999"/>
    <n v="484.39"/>
    <n v="0"/>
    <m/>
    <n v="20260414"/>
    <m/>
    <s v="DEBITO"/>
    <n v="3908900"/>
    <s v="BCP"/>
    <m/>
    <s v="Yape"/>
    <d v="1899-12-30T13:24:02"/>
    <s v="HONOR MALL DEL SUR"/>
    <s v="BBVA"/>
  </r>
  <r>
    <n v="1044162"/>
    <s v="VA"/>
    <s v="A"/>
    <d v="2026-04-13T00:00:00"/>
    <d v="2026-04-13T00:00:00"/>
    <m/>
    <n v="882"/>
    <s v="PS0002"/>
    <n v="3836"/>
    <n v="531710"/>
    <m/>
    <s v="455103******7489"/>
    <s v="Nac"/>
    <s v="COM"/>
    <x v="12"/>
    <n v="949"/>
    <s v="Abonado"/>
    <n v="27.43"/>
    <n v="12.25"/>
    <n v="2.21"/>
    <n v="919.36"/>
    <n v="0"/>
    <m/>
    <n v="20260414"/>
    <m/>
    <s v="DEBITO"/>
    <n v="3908900"/>
    <s v="BBVA"/>
    <m/>
    <m/>
    <d v="1899-12-30T16:18:25"/>
    <s v="HONOR MALL DEL SUR"/>
    <s v="BBVA"/>
  </r>
  <r>
    <n v="1044162"/>
    <s v="VA"/>
    <s v="A"/>
    <d v="2026-04-13T00:00:00"/>
    <d v="2026-04-13T00:00:00"/>
    <m/>
    <n v="882"/>
    <s v="PS0002"/>
    <n v="3838"/>
    <n v="458376"/>
    <m/>
    <s v="491257******1536"/>
    <s v="Nac"/>
    <s v="COM"/>
    <x v="12"/>
    <n v="659"/>
    <s v="Abonado"/>
    <n v="19.05"/>
    <n v="8.51"/>
    <n v="1.53"/>
    <n v="638.41999999999996"/>
    <n v="0"/>
    <m/>
    <n v="20260414"/>
    <m/>
    <s v="DEBITO"/>
    <n v="3908900"/>
    <s v="BCP"/>
    <m/>
    <m/>
    <d v="1899-12-30T17:30:00"/>
    <s v="HONOR MALL DEL SUR"/>
    <s v="BBVA"/>
  </r>
  <r>
    <n v="1044162"/>
    <s v="VA"/>
    <s v="A"/>
    <d v="2026-04-13T00:00:00"/>
    <d v="2026-04-13T00:00:00"/>
    <m/>
    <n v="882"/>
    <s v="PS0002"/>
    <n v="3840"/>
    <n v="284332"/>
    <m/>
    <s v="447410******8567"/>
    <s v="Nac"/>
    <s v="COM"/>
    <x v="12"/>
    <n v="89"/>
    <s v="Abonado"/>
    <n v="2.57"/>
    <n v="0.52"/>
    <n v="0.09"/>
    <n v="86.34"/>
    <n v="0"/>
    <m/>
    <n v="20260414"/>
    <m/>
    <s v="CREDITO"/>
    <n v="3908900"/>
    <s v="BFALABELLA"/>
    <m/>
    <m/>
    <d v="1899-12-30T17:57:54"/>
    <s v="HONOR MALL DEL SUR"/>
    <s v="BBVA"/>
  </r>
  <r>
    <n v="1044162"/>
    <s v="VA"/>
    <s v="A"/>
    <d v="2026-04-13T00:00:00"/>
    <d v="2026-04-13T00:00:00"/>
    <m/>
    <n v="882"/>
    <s v="PS0002"/>
    <n v="3844"/>
    <n v="603970"/>
    <m/>
    <s v="455788******1002"/>
    <s v="Nac"/>
    <s v="COM"/>
    <x v="12"/>
    <n v="1799"/>
    <s v="Abonado"/>
    <n v="51.99"/>
    <n v="23.21"/>
    <n v="4.18"/>
    <n v="1742.83"/>
    <n v="0"/>
    <m/>
    <n v="20260414"/>
    <m/>
    <s v="DEBITO"/>
    <n v="3908900"/>
    <s v="BCP"/>
    <m/>
    <m/>
    <d v="1899-12-30T19:18:07"/>
    <s v="HONOR MALL DEL SUR"/>
    <s v="BBVA"/>
  </r>
  <r>
    <n v="1044162"/>
    <s v="VA"/>
    <s v="A"/>
    <d v="2026-04-13T00:00:00"/>
    <d v="2026-04-13T00:00:00"/>
    <m/>
    <n v="882"/>
    <s v="PS0002"/>
    <n v="3846"/>
    <n v="5956"/>
    <n v="6"/>
    <s v="434925******6740"/>
    <s v="Nac"/>
    <s v="COM"/>
    <x v="12"/>
    <n v="1500"/>
    <s v="Abonado"/>
    <n v="43.35"/>
    <n v="11.85"/>
    <n v="2.13"/>
    <n v="1454.52"/>
    <n v="0"/>
    <m/>
    <n v="20260414"/>
    <m/>
    <s v="CREDITO"/>
    <n v="3908900"/>
    <s v="BCP"/>
    <s v="NO"/>
    <m/>
    <d v="1899-12-30T19:41:09"/>
    <s v="HONOR MALL DEL SUR"/>
    <s v="BBVA"/>
  </r>
  <r>
    <n v="1044162"/>
    <s v="VA"/>
    <s v="A"/>
    <d v="2026-04-13T00:00:00"/>
    <d v="2026-04-13T00:00:00"/>
    <m/>
    <n v="882"/>
    <n v="65656565"/>
    <n v="3848"/>
    <n v="750469"/>
    <m/>
    <s v="455788******6708"/>
    <s v="Nac"/>
    <s v="COM"/>
    <x v="12"/>
    <n v="299"/>
    <s v="Abonado"/>
    <n v="8.64"/>
    <n v="3.86"/>
    <n v="0.69"/>
    <n v="289.67"/>
    <n v="0"/>
    <m/>
    <n v="20260414"/>
    <m/>
    <s v="DEBITO"/>
    <n v="3908900"/>
    <s v="BCP"/>
    <m/>
    <s v="Yape"/>
    <d v="1899-12-30T19:41:49"/>
    <s v="HONOR MALL DEL SUR"/>
    <s v="BBVA"/>
  </r>
  <r>
    <n v="1044162"/>
    <s v="VA"/>
    <s v="A"/>
    <d v="2026-04-13T00:00:00"/>
    <d v="2026-04-13T00:00:00"/>
    <m/>
    <n v="882"/>
    <s v="PS0002"/>
    <n v="3852"/>
    <n v="425990"/>
    <m/>
    <s v="438466******9705"/>
    <s v="Nac"/>
    <s v="COM"/>
    <x v="12"/>
    <n v="459"/>
    <s v="Abonado"/>
    <n v="13.27"/>
    <n v="3.63"/>
    <n v="0.65"/>
    <n v="445.08"/>
    <n v="0"/>
    <m/>
    <n v="20260414"/>
    <m/>
    <s v="CREDITO"/>
    <n v="3908900"/>
    <s v="BBVA"/>
    <m/>
    <m/>
    <d v="1899-12-30T20:26:37"/>
    <s v="HONOR MALL DEL SUR"/>
    <s v="BBVA"/>
  </r>
  <r>
    <n v="1044162"/>
    <s v="VA"/>
    <s v="A"/>
    <d v="2026-04-13T00:00:00"/>
    <d v="2026-04-13T00:00:00"/>
    <m/>
    <n v="882"/>
    <s v="PS0002"/>
    <n v="3854"/>
    <n v="364152"/>
    <m/>
    <s v="421355******5884"/>
    <s v="Nac"/>
    <s v="COM"/>
    <x v="12"/>
    <n v="178"/>
    <s v="Abonado"/>
    <n v="5.14"/>
    <n v="2.29"/>
    <n v="0.41"/>
    <n v="172.45"/>
    <n v="10414.9"/>
    <d v="2026-04-14T00:00:00"/>
    <n v="20260414"/>
    <n v="104101"/>
    <s v="DEBITO"/>
    <n v="3908900"/>
    <s v="IBK PRIVADA"/>
    <m/>
    <m/>
    <d v="1899-12-30T20:33:54"/>
    <s v="HONOR MALL DEL SUR"/>
    <s v="BBVA"/>
  </r>
  <r>
    <n v="1044162"/>
    <s v="MC"/>
    <s v="A"/>
    <d v="2026-04-14T00:00:00"/>
    <d v="2026-04-14T00:00:00"/>
    <m/>
    <n v="883"/>
    <s v="PS0002"/>
    <n v="3897"/>
    <n v="120819"/>
    <m/>
    <s v="511842******9286"/>
    <s v="Nac"/>
    <s v="COM"/>
    <x v="13"/>
    <n v="1008"/>
    <s v="Abonado"/>
    <n v="29.13"/>
    <n v="11.49"/>
    <n v="2.0699999999999998"/>
    <n v="976.8"/>
    <n v="0"/>
    <m/>
    <n v="20260415"/>
    <m/>
    <s v="DEBITO"/>
    <n v="3908900"/>
    <s v="SCOTIA DEBIT"/>
    <m/>
    <m/>
    <d v="1899-12-30T20:58:14"/>
    <s v="HONOR MALL DEL SUR"/>
    <s v="BBVA"/>
  </r>
  <r>
    <n v="1044162"/>
    <s v="MC"/>
    <s v="A"/>
    <d v="2026-04-14T00:00:00"/>
    <d v="2026-04-14T00:00:00"/>
    <m/>
    <n v="883"/>
    <s v="PS0002"/>
    <n v="3899"/>
    <n v="344170"/>
    <n v="2"/>
    <s v="525435******1777"/>
    <s v="Nac"/>
    <s v="COM"/>
    <x v="13"/>
    <n v="89"/>
    <s v="Abonado"/>
    <n v="2.57"/>
    <n v="0.7"/>
    <n v="0.13"/>
    <n v="86.3"/>
    <n v="1063.0999999999999"/>
    <d v="2026-04-15T00:00:00"/>
    <n v="20260415"/>
    <n v="104101"/>
    <s v="CREDITO"/>
    <n v="3908900"/>
    <s v="BRIPLEY"/>
    <s v="NO"/>
    <m/>
    <d v="1899-12-30T21:22:54"/>
    <s v="HONOR MALL DEL SUR"/>
    <s v="BBVA"/>
  </r>
  <r>
    <n v="1044162"/>
    <s v="VA"/>
    <s v="A"/>
    <d v="2026-04-14T00:00:00"/>
    <d v="2026-04-14T00:00:00"/>
    <m/>
    <n v="883"/>
    <s v="PS0002"/>
    <n v="3859"/>
    <n v="344241"/>
    <m/>
    <s v="455788******6918"/>
    <s v="Nac"/>
    <s v="COM"/>
    <x v="13"/>
    <n v="629"/>
    <s v="Abonado"/>
    <n v="18.18"/>
    <n v="8.1199999999999992"/>
    <n v="1.46"/>
    <n v="609.36"/>
    <n v="0"/>
    <m/>
    <n v="20260415"/>
    <m/>
    <s v="DEBITO"/>
    <n v="3908900"/>
    <s v="BCP"/>
    <m/>
    <m/>
    <d v="1899-12-30T10:28:42"/>
    <s v="HONOR MALL DEL SUR"/>
    <s v="BBVA"/>
  </r>
  <r>
    <n v="1044162"/>
    <s v="VA"/>
    <s v="A"/>
    <d v="2026-04-14T00:00:00"/>
    <d v="2026-04-14T00:00:00"/>
    <m/>
    <n v="883"/>
    <n v="65656565"/>
    <n v="3861"/>
    <n v="960774"/>
    <m/>
    <s v="455788******8255"/>
    <s v="Nac"/>
    <s v="COM"/>
    <x v="13"/>
    <n v="300"/>
    <s v="Abonado"/>
    <n v="8.67"/>
    <n v="3.87"/>
    <n v="0.7"/>
    <n v="290.63"/>
    <n v="0"/>
    <m/>
    <n v="20260415"/>
    <m/>
    <s v="DEBITO"/>
    <n v="3908900"/>
    <s v="BCP"/>
    <m/>
    <s v="Yape"/>
    <d v="1899-12-30T12:03:47"/>
    <s v="HONOR MALL DEL SUR"/>
    <s v="BBVA"/>
  </r>
  <r>
    <n v="1044162"/>
    <s v="VA"/>
    <s v="A"/>
    <d v="2026-04-14T00:00:00"/>
    <d v="2026-04-14T00:00:00"/>
    <m/>
    <n v="883"/>
    <s v="PS0002"/>
    <n v="3864"/>
    <n v="120533"/>
    <m/>
    <s v="483039******8681"/>
    <s v="Nac"/>
    <s v="COM"/>
    <x v="13"/>
    <n v="1499"/>
    <s v="Abonado"/>
    <n v="43.32"/>
    <n v="11.84"/>
    <n v="2.13"/>
    <n v="1453.55"/>
    <n v="0"/>
    <m/>
    <n v="20260415"/>
    <m/>
    <s v="DEBITO"/>
    <n v="3908900"/>
    <s v="IBK PRIVADA"/>
    <m/>
    <m/>
    <d v="1899-12-30T12:04:32"/>
    <s v="HONOR MALL DEL SUR"/>
    <s v="BBVA"/>
  </r>
  <r>
    <n v="1044162"/>
    <s v="VA"/>
    <s v="A"/>
    <d v="2026-04-14T00:00:00"/>
    <d v="2026-04-14T00:00:00"/>
    <m/>
    <n v="883"/>
    <s v="PS0002"/>
    <n v="3866"/>
    <n v="818444"/>
    <n v="3"/>
    <s v="414791******3565"/>
    <s v="Nac"/>
    <s v="COM"/>
    <x v="13"/>
    <n v="1799"/>
    <s v="Abonado"/>
    <n v="83.47"/>
    <n v="10.61"/>
    <n v="1.91"/>
    <n v="1713.62"/>
    <n v="0"/>
    <m/>
    <n v="20260415"/>
    <m/>
    <s v="CREDITO"/>
    <n v="3908900"/>
    <s v="BBVA"/>
    <s v="SI"/>
    <m/>
    <d v="1899-12-30T12:27:39"/>
    <s v="HONOR MALL DEL SUR"/>
    <s v="BBVA"/>
  </r>
  <r>
    <n v="1044162"/>
    <s v="VA"/>
    <s v="A"/>
    <d v="2026-04-14T00:00:00"/>
    <d v="2026-04-14T00:00:00"/>
    <m/>
    <n v="883"/>
    <s v="PS0002"/>
    <n v="3868"/>
    <n v="544785"/>
    <m/>
    <s v="455788******7071"/>
    <s v="Nac"/>
    <s v="COM"/>
    <x v="13"/>
    <n v="498"/>
    <s v="Abonado"/>
    <n v="14.39"/>
    <n v="6.42"/>
    <n v="1.1599999999999999"/>
    <n v="482.45"/>
    <n v="0"/>
    <m/>
    <n v="20260415"/>
    <m/>
    <s v="DEBITO"/>
    <n v="3908900"/>
    <s v="BCP"/>
    <m/>
    <m/>
    <d v="1899-12-30T12:37:16"/>
    <s v="HONOR MALL DEL SUR"/>
    <s v="BBVA"/>
  </r>
  <r>
    <n v="1044162"/>
    <s v="VA"/>
    <s v="A"/>
    <d v="2026-04-14T00:00:00"/>
    <d v="2026-04-14T00:00:00"/>
    <m/>
    <n v="883"/>
    <s v="PS0002"/>
    <n v="3870"/>
    <n v="107018"/>
    <m/>
    <s v="455788******8994"/>
    <s v="Nac"/>
    <s v="COM"/>
    <x v="13"/>
    <n v="1348"/>
    <s v="Abonado"/>
    <n v="38.96"/>
    <n v="17.39"/>
    <n v="3.13"/>
    <n v="1305.9100000000001"/>
    <n v="0"/>
    <m/>
    <n v="20260415"/>
    <m/>
    <s v="DEBITO"/>
    <n v="3908900"/>
    <s v="BCP"/>
    <m/>
    <m/>
    <d v="1899-12-30T13:25:19"/>
    <s v="HONOR MALL DEL SUR"/>
    <s v="BBVA"/>
  </r>
  <r>
    <n v="1044162"/>
    <s v="VA"/>
    <s v="A"/>
    <d v="2026-04-14T00:00:00"/>
    <d v="2026-04-14T00:00:00"/>
    <m/>
    <n v="883"/>
    <s v="PS0002"/>
    <n v="3872"/>
    <n v="229966"/>
    <m/>
    <s v="455170******4085"/>
    <s v="Nac"/>
    <s v="COM"/>
    <x v="13"/>
    <n v="1699"/>
    <s v="Abonado"/>
    <n v="49.1"/>
    <n v="21.92"/>
    <n v="3.95"/>
    <n v="1645.95"/>
    <n v="0"/>
    <m/>
    <n v="20260415"/>
    <m/>
    <s v="DEBITO"/>
    <n v="3908900"/>
    <s v="BBVA"/>
    <m/>
    <m/>
    <d v="1899-12-30T14:23:00"/>
    <s v="HONOR MALL DEL SUR"/>
    <s v="BBVA"/>
  </r>
  <r>
    <n v="1044162"/>
    <s v="VA"/>
    <s v="A"/>
    <d v="2026-04-14T00:00:00"/>
    <d v="2026-04-14T00:00:00"/>
    <m/>
    <n v="883"/>
    <s v="PS0002"/>
    <n v="3884"/>
    <n v="65290"/>
    <m/>
    <s v="421410******5694"/>
    <s v="Nac"/>
    <s v="COM"/>
    <x v="13"/>
    <n v="1498"/>
    <s v="Abonado"/>
    <n v="43.29"/>
    <n v="19.32"/>
    <n v="3.48"/>
    <n v="1451.23"/>
    <n v="0"/>
    <m/>
    <n v="20260415"/>
    <m/>
    <s v="DEBITO"/>
    <n v="3908900"/>
    <s v="NACION"/>
    <m/>
    <m/>
    <d v="1899-12-30T15:36:14"/>
    <s v="HONOR MALL DEL SUR"/>
    <s v="BBVA"/>
  </r>
  <r>
    <n v="1044162"/>
    <s v="VA"/>
    <s v="A"/>
    <d v="2026-04-14T00:00:00"/>
    <d v="2026-04-14T00:00:00"/>
    <m/>
    <n v="883"/>
    <s v="PS0002"/>
    <n v="3886"/>
    <n v="373859"/>
    <m/>
    <s v="421355******9613"/>
    <s v="Nac"/>
    <s v="COM"/>
    <x v="13"/>
    <n v="1149"/>
    <s v="Abonado"/>
    <n v="33.21"/>
    <n v="14.83"/>
    <n v="2.67"/>
    <n v="1113.1199999999999"/>
    <n v="0"/>
    <m/>
    <n v="20260415"/>
    <m/>
    <s v="DEBITO"/>
    <n v="3908900"/>
    <s v="IBK PRIVADA"/>
    <m/>
    <m/>
    <d v="1899-12-30T18:20:41"/>
    <s v="HONOR MALL DEL SUR"/>
    <s v="BBVA"/>
  </r>
  <r>
    <n v="1044162"/>
    <s v="VA"/>
    <s v="A"/>
    <d v="2026-04-14T00:00:00"/>
    <d v="2026-04-14T00:00:00"/>
    <m/>
    <n v="883"/>
    <s v="PS0002"/>
    <n v="3888"/>
    <n v="6627"/>
    <n v="2"/>
    <s v="463403******0851"/>
    <s v="Nac"/>
    <s v="COM"/>
    <x v="13"/>
    <n v="529"/>
    <s v="Abonado"/>
    <n v="15.29"/>
    <n v="3.12"/>
    <n v="0.56000000000000005"/>
    <n v="513.15"/>
    <n v="0"/>
    <m/>
    <n v="20260415"/>
    <m/>
    <s v="CREDITO"/>
    <n v="3908900"/>
    <s v="BCP"/>
    <s v="NO"/>
    <m/>
    <d v="1899-12-30T19:48:14"/>
    <s v="HONOR MALL DEL SUR"/>
    <s v="BBVA"/>
  </r>
  <r>
    <n v="1044162"/>
    <s v="VA"/>
    <s v="A"/>
    <d v="2026-04-14T00:00:00"/>
    <d v="2026-04-14T00:00:00"/>
    <m/>
    <n v="883"/>
    <s v="PS0002"/>
    <n v="3890"/>
    <n v="195920"/>
    <m/>
    <s v="483039******4399"/>
    <s v="Nac"/>
    <s v="COM"/>
    <x v="13"/>
    <n v="806"/>
    <s v="Abonado"/>
    <n v="23.29"/>
    <n v="6.36"/>
    <n v="1.1399999999999999"/>
    <n v="781.57"/>
    <n v="0"/>
    <m/>
    <n v="20260415"/>
    <m/>
    <s v="DEBITO"/>
    <n v="3908900"/>
    <s v="IBK PRIVADA"/>
    <m/>
    <m/>
    <d v="1899-12-30T19:58:18"/>
    <s v="HONOR MALL DEL SUR"/>
    <s v="BBVA"/>
  </r>
  <r>
    <n v="1044162"/>
    <s v="VA"/>
    <s v="A"/>
    <d v="2026-04-14T00:00:00"/>
    <d v="2026-04-14T00:00:00"/>
    <m/>
    <n v="883"/>
    <n v="65656565"/>
    <n v="3892"/>
    <n v="368110"/>
    <m/>
    <s v="455788******7087"/>
    <s v="Nac"/>
    <s v="COM"/>
    <x v="13"/>
    <n v="179.9"/>
    <s v="Abonado"/>
    <n v="5.19"/>
    <n v="2.31"/>
    <n v="0.42"/>
    <n v="174.29"/>
    <n v="0"/>
    <m/>
    <n v="20260415"/>
    <m/>
    <s v="DEBITO"/>
    <n v="3908900"/>
    <s v="BCP"/>
    <m/>
    <s v="Yape"/>
    <d v="1899-12-30T20:07:50"/>
    <s v="HONOR MALL DEL SUR"/>
    <s v="BBVA"/>
  </r>
  <r>
    <n v="1044162"/>
    <s v="VA"/>
    <s v="A"/>
    <d v="2026-04-14T00:00:00"/>
    <d v="2026-04-14T00:00:00"/>
    <m/>
    <n v="883"/>
    <s v="PS0002"/>
    <n v="3895"/>
    <n v="202653"/>
    <m/>
    <s v="483039******8681"/>
    <s v="Nac"/>
    <s v="COM"/>
    <x v="13"/>
    <n v="1529"/>
    <s v="Abonado"/>
    <n v="44.19"/>
    <n v="12.08"/>
    <n v="2.17"/>
    <n v="1482.64"/>
    <n v="0"/>
    <m/>
    <n v="20260415"/>
    <m/>
    <s v="DEBITO"/>
    <n v="3908900"/>
    <s v="IBK PRIVADA"/>
    <m/>
    <m/>
    <d v="1899-12-30T20:25:51"/>
    <s v="HONOR MALL DEL SUR"/>
    <s v="BBVA"/>
  </r>
  <r>
    <n v="1044162"/>
    <s v="VA"/>
    <s v="A"/>
    <d v="2026-04-14T00:00:00"/>
    <d v="2026-04-14T00:00:00"/>
    <m/>
    <n v="883"/>
    <s v="PS0002"/>
    <n v="3901"/>
    <n v="46304"/>
    <m/>
    <s v="415297******0690"/>
    <s v="Nac"/>
    <s v="COM"/>
    <x v="13"/>
    <n v="1799"/>
    <s v="Abonado"/>
    <n v="51.99"/>
    <n v="23.21"/>
    <n v="4.18"/>
    <n v="1742.83"/>
    <n v="14760.3"/>
    <d v="2026-04-15T00:00:00"/>
    <n v="20260415"/>
    <n v="104101"/>
    <s v="DEBITO"/>
    <n v="3908900"/>
    <s v="IBK PRIVADA"/>
    <m/>
    <m/>
    <d v="1899-12-30T21:28:44"/>
    <s v="HONOR MALL DEL SUR"/>
    <s v="BBVA"/>
  </r>
  <r>
    <n v="1044162"/>
    <s v="MC"/>
    <s v="A"/>
    <d v="2026-04-15T00:00:00"/>
    <d v="2026-04-15T00:00:00"/>
    <m/>
    <n v="884"/>
    <s v="PS0002"/>
    <n v="3938"/>
    <s v="R01197"/>
    <n v="2"/>
    <s v="529206******1891"/>
    <s v="Nac"/>
    <s v="COM"/>
    <x v="14"/>
    <n v="329"/>
    <s v="Abonado"/>
    <n v="9.51"/>
    <n v="2.6"/>
    <n v="0.47"/>
    <n v="319.02"/>
    <n v="0"/>
    <m/>
    <n v="20260416"/>
    <m/>
    <s v="CREDITO"/>
    <n v="3908900"/>
    <s v="CJ RURAL MC"/>
    <s v="NO"/>
    <m/>
    <d v="1899-12-30T20:14:45"/>
    <s v="HONOR MALL DEL SUR"/>
    <s v="BBVA"/>
  </r>
  <r>
    <n v="1044162"/>
    <s v="MC"/>
    <s v="A"/>
    <d v="2026-04-15T00:00:00"/>
    <d v="2026-04-15T00:00:00"/>
    <m/>
    <n v="884"/>
    <s v="PS0002"/>
    <n v="3940"/>
    <n v="763973"/>
    <n v="3"/>
    <s v="553650******6343"/>
    <s v="Nac"/>
    <s v="COM"/>
    <x v="14"/>
    <n v="1799"/>
    <s v="Abonado"/>
    <n v="83.47"/>
    <n v="6.12"/>
    <n v="1.1000000000000001"/>
    <n v="1714.43"/>
    <n v="2033.45"/>
    <d v="2026-04-16T00:00:00"/>
    <n v="20260416"/>
    <n v="104101"/>
    <s v="CREDITO"/>
    <n v="3908900"/>
    <s v="BBVA"/>
    <s v="SI"/>
    <m/>
    <d v="1899-12-30T20:21:35"/>
    <s v="HONOR MALL DEL SUR"/>
    <s v="BBVA"/>
  </r>
  <r>
    <n v="1044162"/>
    <s v="VA"/>
    <s v="A"/>
    <d v="2026-04-15T00:00:00"/>
    <d v="2026-04-15T00:00:00"/>
    <m/>
    <n v="884"/>
    <n v="65656565"/>
    <n v="3906"/>
    <n v="968699"/>
    <m/>
    <s v="455788******3795"/>
    <s v="Nac"/>
    <s v="COM"/>
    <x v="14"/>
    <n v="29.9"/>
    <s v="Abonado"/>
    <n v="0.86"/>
    <n v="0.38"/>
    <n v="7.0000000000000007E-2"/>
    <n v="28.97"/>
    <n v="0"/>
    <m/>
    <n v="20260416"/>
    <m/>
    <s v="DEBITO"/>
    <n v="3908900"/>
    <s v="BCP"/>
    <m/>
    <s v="Yape"/>
    <d v="1899-12-30T10:51:37"/>
    <s v="HONOR MALL DEL SUR"/>
    <s v="BBVA"/>
  </r>
  <r>
    <n v="1044162"/>
    <s v="VA"/>
    <s v="A"/>
    <d v="2026-04-15T00:00:00"/>
    <d v="2026-04-15T00:00:00"/>
    <m/>
    <n v="884"/>
    <s v="PS0002"/>
    <n v="3909"/>
    <n v="51506"/>
    <m/>
    <s v="448700******4614"/>
    <s v="Nac"/>
    <s v="COM"/>
    <x v="14"/>
    <n v="568"/>
    <s v="Abonado"/>
    <n v="16.420000000000002"/>
    <n v="4.49"/>
    <n v="0.81"/>
    <n v="550.77"/>
    <n v="0"/>
    <m/>
    <n v="20260416"/>
    <m/>
    <s v="CREDITO"/>
    <n v="3908900"/>
    <s v="SCOTIABANK"/>
    <m/>
    <m/>
    <d v="1899-12-30T11:10:38"/>
    <s v="HONOR MALL DEL SUR"/>
    <s v="BBVA"/>
  </r>
  <r>
    <n v="1044162"/>
    <s v="VA"/>
    <s v="A"/>
    <d v="2026-04-15T00:00:00"/>
    <d v="2026-04-15T00:00:00"/>
    <m/>
    <n v="884"/>
    <s v="PS0002"/>
    <n v="3911"/>
    <n v="550574"/>
    <m/>
    <s v="477289******8747"/>
    <s v="Nac"/>
    <s v="COM"/>
    <x v="14"/>
    <n v="1049"/>
    <s v="Abonado"/>
    <n v="30.32"/>
    <n v="4.09"/>
    <n v="0.74"/>
    <n v="1017.94"/>
    <n v="0"/>
    <m/>
    <n v="20260416"/>
    <m/>
    <s v="CREDITO"/>
    <n v="3908900"/>
    <s v="IBK PRIVADA"/>
    <m/>
    <m/>
    <d v="1899-12-30T11:54:57"/>
    <s v="HONOR MALL DEL SUR"/>
    <s v="BBVA"/>
  </r>
  <r>
    <n v="1044162"/>
    <s v="VA"/>
    <s v="A"/>
    <d v="2026-04-15T00:00:00"/>
    <d v="2026-04-15T00:00:00"/>
    <m/>
    <n v="884"/>
    <s v="PS0002"/>
    <n v="3915"/>
    <n v="7551"/>
    <m/>
    <s v="466721******4855"/>
    <s v="Nac"/>
    <s v="COM"/>
    <x v="14"/>
    <n v="89"/>
    <s v="Abonado"/>
    <n v="2.57"/>
    <n v="0.7"/>
    <n v="0.13"/>
    <n v="86.3"/>
    <n v="0"/>
    <m/>
    <n v="20260416"/>
    <m/>
    <s v="CREDITO"/>
    <n v="3908900"/>
    <s v="SCOTIABANK"/>
    <m/>
    <m/>
    <d v="1899-12-30T15:14:42"/>
    <s v="HONOR MALL DEL SUR"/>
    <s v="BBVA"/>
  </r>
  <r>
    <n v="1044162"/>
    <s v="VA"/>
    <s v="A"/>
    <d v="2026-04-15T00:00:00"/>
    <d v="2026-04-15T00:00:00"/>
    <m/>
    <n v="884"/>
    <s v="PS0002"/>
    <n v="3917"/>
    <n v="87870"/>
    <m/>
    <s v="421355******4442"/>
    <s v="Nac"/>
    <s v="COM"/>
    <x v="14"/>
    <n v="629"/>
    <s v="Abonado"/>
    <n v="18.18"/>
    <n v="8.1199999999999992"/>
    <n v="1.46"/>
    <n v="609.36"/>
    <n v="0"/>
    <m/>
    <n v="20260416"/>
    <m/>
    <s v="DEBITO"/>
    <n v="3908900"/>
    <s v="IBK PRIVADA"/>
    <m/>
    <m/>
    <d v="1899-12-30T15:32:28"/>
    <s v="HONOR MALL DEL SUR"/>
    <s v="BBVA"/>
  </r>
  <r>
    <n v="1044162"/>
    <s v="VA"/>
    <s v="A"/>
    <d v="2026-04-15T00:00:00"/>
    <d v="2026-04-15T00:00:00"/>
    <m/>
    <n v="884"/>
    <s v="PS0002"/>
    <n v="3928"/>
    <n v="186620"/>
    <m/>
    <s v="455788******8941"/>
    <s v="Nac"/>
    <s v="COM"/>
    <x v="14"/>
    <n v="100"/>
    <s v="Abonado"/>
    <n v="2.89"/>
    <n v="1.29"/>
    <n v="0.23"/>
    <n v="96.88"/>
    <n v="0"/>
    <m/>
    <n v="20260416"/>
    <m/>
    <s v="DEBITO"/>
    <n v="3908900"/>
    <s v="VISA LOC"/>
    <m/>
    <m/>
    <d v="1899-12-30T17:42:25"/>
    <s v="HONOR MALL DEL SUR"/>
    <s v="BBVA"/>
  </r>
  <r>
    <n v="1044162"/>
    <s v="VA"/>
    <s v="A"/>
    <d v="2026-04-15T00:00:00"/>
    <d v="2026-04-15T00:00:00"/>
    <m/>
    <n v="884"/>
    <s v="PS0002"/>
    <n v="3930"/>
    <n v="205193"/>
    <m/>
    <s v="421355******0408"/>
    <s v="Nac"/>
    <s v="COM"/>
    <x v="14"/>
    <n v="45"/>
    <s v="Abonado"/>
    <n v="1.3"/>
    <n v="0.57999999999999996"/>
    <n v="0.1"/>
    <n v="43.6"/>
    <n v="0"/>
    <m/>
    <n v="20260416"/>
    <m/>
    <s v="DEBITO"/>
    <n v="3908900"/>
    <s v="IBK PRIVADA"/>
    <m/>
    <m/>
    <d v="1899-12-30T17:42:50"/>
    <s v="HONOR MALL DEL SUR"/>
    <s v="BBVA"/>
  </r>
  <r>
    <n v="1044162"/>
    <s v="VA"/>
    <s v="A"/>
    <d v="2026-04-15T00:00:00"/>
    <d v="2026-04-15T00:00:00"/>
    <m/>
    <n v="884"/>
    <s v="PS0002"/>
    <n v="3932"/>
    <n v="174421"/>
    <m/>
    <s v="483039******9147"/>
    <s v="Nac"/>
    <s v="COM"/>
    <x v="14"/>
    <n v="863"/>
    <s v="Abonado"/>
    <n v="24.94"/>
    <n v="6.82"/>
    <n v="1.23"/>
    <n v="836.83"/>
    <n v="0"/>
    <m/>
    <n v="20260416"/>
    <m/>
    <s v="DEBITO"/>
    <n v="3908900"/>
    <s v="IBK PRIVADA"/>
    <m/>
    <m/>
    <d v="1899-12-30T17:43:20"/>
    <s v="HONOR MALL DEL SUR"/>
    <s v="BBVA"/>
  </r>
  <r>
    <n v="1044162"/>
    <s v="VA"/>
    <s v="A"/>
    <d v="2026-04-15T00:00:00"/>
    <d v="2026-04-15T00:00:00"/>
    <m/>
    <n v="884"/>
    <s v="PS0002"/>
    <n v="3934"/>
    <n v="368729"/>
    <m/>
    <s v="455103******1587"/>
    <s v="Nac"/>
    <s v="COM"/>
    <x v="14"/>
    <n v="89"/>
    <s v="Abonado"/>
    <n v="2.57"/>
    <n v="1.1499999999999999"/>
    <n v="0.21"/>
    <n v="86.22"/>
    <n v="0"/>
    <m/>
    <n v="20260416"/>
    <m/>
    <s v="DEBITO"/>
    <n v="3908900"/>
    <s v="BBVA"/>
    <m/>
    <m/>
    <d v="1899-12-30T18:53:00"/>
    <s v="HONOR MALL DEL SUR"/>
    <s v="BBVA"/>
  </r>
  <r>
    <n v="1044162"/>
    <s v="VA"/>
    <s v="A"/>
    <d v="2026-04-15T00:00:00"/>
    <d v="2026-04-15T00:00:00"/>
    <m/>
    <n v="884"/>
    <s v="PS0002"/>
    <n v="3936"/>
    <n v="922808"/>
    <m/>
    <s v="447409******3873"/>
    <s v="Nac"/>
    <s v="COM"/>
    <x v="14"/>
    <n v="300"/>
    <s v="Abonado"/>
    <n v="8.67"/>
    <n v="2.37"/>
    <n v="0.43"/>
    <n v="290.89999999999998"/>
    <n v="0"/>
    <m/>
    <n v="20260416"/>
    <m/>
    <s v="CREDITO"/>
    <n v="3908900"/>
    <s v="BFALABELLA"/>
    <m/>
    <m/>
    <d v="1899-12-30T20:13:39"/>
    <s v="HONOR MALL DEL SUR"/>
    <s v="BBVA"/>
  </r>
  <r>
    <n v="1044162"/>
    <s v="VA"/>
    <s v="A"/>
    <d v="2026-04-15T00:00:00"/>
    <d v="2026-04-15T00:00:00"/>
    <m/>
    <n v="884"/>
    <s v="PS0002"/>
    <n v="3942"/>
    <n v="604608"/>
    <m/>
    <s v="455788******1933"/>
    <s v="Nac"/>
    <s v="COM"/>
    <x v="14"/>
    <n v="114.9"/>
    <s v="Abonado"/>
    <n v="3.32"/>
    <n v="1.48"/>
    <n v="0.27"/>
    <n v="111.31"/>
    <n v="0"/>
    <m/>
    <n v="20260416"/>
    <m/>
    <s v="DEBITO"/>
    <n v="3908900"/>
    <s v="BCP"/>
    <m/>
    <m/>
    <d v="1899-12-30T21:15:03"/>
    <s v="HONOR MALL DEL SUR"/>
    <s v="BBVA"/>
  </r>
  <r>
    <n v="1044162"/>
    <s v="VA"/>
    <s v="A"/>
    <d v="2026-04-15T00:00:00"/>
    <d v="2026-04-15T00:00:00"/>
    <m/>
    <n v="884"/>
    <s v="PS0002"/>
    <n v="3944"/>
    <n v="2652"/>
    <n v="4"/>
    <s v="463402******2641"/>
    <s v="Nac"/>
    <s v="COM"/>
    <x v="14"/>
    <n v="2748"/>
    <s v="Abonado"/>
    <n v="79.42"/>
    <n v="21.71"/>
    <n v="3.91"/>
    <n v="2664.67"/>
    <n v="0"/>
    <m/>
    <n v="20260416"/>
    <m/>
    <s v="CREDITO"/>
    <n v="3908900"/>
    <s v="BCP"/>
    <s v="NO"/>
    <m/>
    <d v="1899-12-30T21:24:51"/>
    <s v="HONOR MALL DEL SUR"/>
    <s v="BBVA"/>
  </r>
  <r>
    <n v="1044162"/>
    <s v="VA"/>
    <s v="A"/>
    <d v="2026-04-15T00:00:00"/>
    <d v="2026-04-15T00:00:00"/>
    <m/>
    <n v="884"/>
    <s v="PS0002"/>
    <n v="3946"/>
    <n v="963105"/>
    <n v="2"/>
    <s v="447409******5298"/>
    <s v="Nac"/>
    <s v="COM"/>
    <x v="14"/>
    <n v="200"/>
    <s v="Abonado"/>
    <n v="5.78"/>
    <n v="1.58"/>
    <n v="0.28000000000000003"/>
    <n v="193.94"/>
    <n v="6617.69"/>
    <d v="2026-04-16T00:00:00"/>
    <n v="20260416"/>
    <n v="104101"/>
    <s v="CREDITO"/>
    <n v="3908900"/>
    <s v="BFALABELLA"/>
    <s v="NO"/>
    <m/>
    <d v="1899-12-30T21:25:41"/>
    <s v="HONOR MALL DEL SUR"/>
    <s v="BBVA"/>
  </r>
  <r>
    <n v="1044162"/>
    <s v="VA"/>
    <s v="A"/>
    <d v="2026-04-16T00:00:00"/>
    <d v="2026-04-16T00:00:00"/>
    <m/>
    <n v="885"/>
    <n v="65656565"/>
    <n v="3955"/>
    <n v="707294"/>
    <m/>
    <s v="455788******6269"/>
    <s v="Nac"/>
    <s v="COM"/>
    <x v="15"/>
    <n v="500"/>
    <s v="Abonado"/>
    <n v="14.45"/>
    <n v="6.45"/>
    <n v="1.1599999999999999"/>
    <n v="484.39"/>
    <n v="0"/>
    <m/>
    <n v="20260417"/>
    <m/>
    <s v="DEBITO"/>
    <n v="3908900"/>
    <s v="BCP"/>
    <m/>
    <s v="Yape"/>
    <d v="1899-12-30T10:57:49"/>
    <s v="HONOR MALL DEL SUR"/>
    <s v="BBVA"/>
  </r>
  <r>
    <n v="1044162"/>
    <s v="VA"/>
    <s v="A"/>
    <d v="2026-04-16T00:00:00"/>
    <d v="2026-04-16T00:00:00"/>
    <m/>
    <n v="885"/>
    <n v="65656565"/>
    <n v="3958"/>
    <n v="649040"/>
    <m/>
    <s v="455788******6269"/>
    <s v="Nac"/>
    <s v="COM"/>
    <x v="15"/>
    <n v="449"/>
    <s v="Abonado"/>
    <n v="12.97"/>
    <n v="5.79"/>
    <n v="1.04"/>
    <n v="434.99"/>
    <n v="0"/>
    <m/>
    <n v="20260417"/>
    <m/>
    <s v="DEBITO"/>
    <n v="3908900"/>
    <s v="BCP"/>
    <m/>
    <s v="Yape"/>
    <d v="1899-12-30T10:58:22"/>
    <s v="HONOR MALL DEL SUR"/>
    <s v="BBVA"/>
  </r>
  <r>
    <n v="1044162"/>
    <s v="VA"/>
    <s v="A"/>
    <d v="2026-04-16T00:00:00"/>
    <d v="2026-04-16T00:00:00"/>
    <m/>
    <n v="885"/>
    <s v="PS0002"/>
    <n v="3961"/>
    <n v="114614"/>
    <m/>
    <s v="455788******6272"/>
    <s v="Nac"/>
    <s v="COM"/>
    <x v="15"/>
    <n v="629"/>
    <s v="Abonado"/>
    <n v="18.18"/>
    <n v="8.1199999999999992"/>
    <n v="1.46"/>
    <n v="609.36"/>
    <n v="0"/>
    <m/>
    <n v="20260417"/>
    <m/>
    <s v="DEBITO"/>
    <n v="3908900"/>
    <s v="BCP"/>
    <m/>
    <m/>
    <d v="1899-12-30T14:58:48"/>
    <s v="HONOR MALL DEL SUR"/>
    <s v="BBVA"/>
  </r>
  <r>
    <n v="1044162"/>
    <s v="VA"/>
    <s v="A"/>
    <d v="2026-04-16T00:00:00"/>
    <d v="2026-04-16T00:00:00"/>
    <m/>
    <n v="885"/>
    <n v="65656565"/>
    <n v="3974"/>
    <n v="325948"/>
    <m/>
    <s v="455788******0031"/>
    <s v="Nac"/>
    <s v="COM"/>
    <x v="15"/>
    <n v="500"/>
    <s v="Abonado"/>
    <n v="14.45"/>
    <n v="6.45"/>
    <n v="1.1599999999999999"/>
    <n v="484.39"/>
    <n v="0"/>
    <m/>
    <n v="20260417"/>
    <m/>
    <s v="DEBITO"/>
    <n v="3908900"/>
    <s v="BCP"/>
    <m/>
    <s v="Yape"/>
    <d v="1899-12-30T17:44:13"/>
    <s v="HONOR MALL DEL SUR"/>
    <s v="BBVA"/>
  </r>
  <r>
    <n v="1044162"/>
    <s v="VA"/>
    <s v="A"/>
    <d v="2026-04-16T00:00:00"/>
    <d v="2026-04-16T00:00:00"/>
    <m/>
    <n v="885"/>
    <n v="65656565"/>
    <n v="3977"/>
    <n v="386259"/>
    <m/>
    <s v="455788******0031"/>
    <s v="Nac"/>
    <s v="COM"/>
    <x v="15"/>
    <n v="500"/>
    <s v="Abonado"/>
    <n v="14.45"/>
    <n v="6.45"/>
    <n v="1.1599999999999999"/>
    <n v="484.39"/>
    <n v="0"/>
    <m/>
    <n v="20260417"/>
    <m/>
    <s v="DEBITO"/>
    <n v="3908900"/>
    <s v="BCP"/>
    <m/>
    <s v="Yape"/>
    <d v="1899-12-30T17:44:52"/>
    <s v="HONOR MALL DEL SUR"/>
    <s v="BBVA"/>
  </r>
  <r>
    <n v="1044162"/>
    <s v="VA"/>
    <s v="A"/>
    <d v="2026-04-16T00:00:00"/>
    <d v="2026-04-16T00:00:00"/>
    <m/>
    <n v="885"/>
    <n v="65656565"/>
    <n v="3980"/>
    <n v="387519"/>
    <m/>
    <s v="455788******0031"/>
    <s v="Nac"/>
    <s v="COM"/>
    <x v="15"/>
    <n v="149"/>
    <s v="Abonado"/>
    <n v="4.3"/>
    <n v="1.92"/>
    <n v="0.35"/>
    <n v="144.35"/>
    <n v="0"/>
    <m/>
    <n v="20260417"/>
    <m/>
    <s v="DEBITO"/>
    <n v="3908900"/>
    <s v="BCP"/>
    <m/>
    <s v="Yape"/>
    <d v="1899-12-30T17:45:33"/>
    <s v="HONOR MALL DEL SUR"/>
    <s v="BBVA"/>
  </r>
  <r>
    <n v="1044162"/>
    <s v="VA"/>
    <s v="A"/>
    <d v="2026-04-16T00:00:00"/>
    <d v="2026-04-16T00:00:00"/>
    <m/>
    <n v="885"/>
    <s v="PS0002"/>
    <n v="3983"/>
    <n v="18244"/>
    <n v="3"/>
    <s v="491914******4699"/>
    <s v="Nac"/>
    <s v="COM"/>
    <x v="15"/>
    <n v="629"/>
    <s v="Abonado"/>
    <n v="29.19"/>
    <n v="3.71"/>
    <n v="0.67"/>
    <n v="599.14"/>
    <n v="0"/>
    <m/>
    <n v="20260417"/>
    <m/>
    <s v="CREDITO"/>
    <n v="3908900"/>
    <s v="BBVA"/>
    <s v="SI"/>
    <m/>
    <d v="1899-12-30T19:43:49"/>
    <s v="HONOR MALL DEL SUR"/>
    <s v="BBVA"/>
  </r>
  <r>
    <n v="1044162"/>
    <s v="VA"/>
    <s v="A"/>
    <d v="2026-04-16T00:00:00"/>
    <d v="2026-04-16T00:00:00"/>
    <m/>
    <n v="885"/>
    <s v="PS0002"/>
    <n v="3986"/>
    <n v="529206"/>
    <m/>
    <s v="438877******1453"/>
    <s v="Nac"/>
    <s v="COM"/>
    <x v="15"/>
    <n v="500"/>
    <s v="Abonado"/>
    <n v="14.45"/>
    <n v="6.45"/>
    <n v="1.1599999999999999"/>
    <n v="484.39"/>
    <n v="0"/>
    <m/>
    <n v="20260417"/>
    <m/>
    <s v="DEBITO"/>
    <n v="3908900"/>
    <s v="VISA LOC"/>
    <m/>
    <m/>
    <d v="1899-12-30T20:02:07"/>
    <s v="HONOR MALL DEL SUR"/>
    <s v="BBVA"/>
  </r>
  <r>
    <n v="1044162"/>
    <s v="VA"/>
    <s v="A"/>
    <d v="2026-04-16T00:00:00"/>
    <d v="2026-04-16T00:00:00"/>
    <m/>
    <n v="885"/>
    <s v="PS0002"/>
    <n v="3989"/>
    <s v="T512LD"/>
    <m/>
    <s v="470458******1058"/>
    <s v="Nac"/>
    <s v="COM"/>
    <x v="15"/>
    <n v="218.9"/>
    <s v="Abonado"/>
    <n v="6.33"/>
    <n v="1.73"/>
    <n v="0.31"/>
    <n v="212.26"/>
    <n v="3937.66"/>
    <d v="2026-04-17T00:00:00"/>
    <n v="20260417"/>
    <n v="104101"/>
    <s v="CREDITO"/>
    <n v="3908900"/>
    <s v="BCP"/>
    <m/>
    <m/>
    <d v="1899-12-30T20:04:37"/>
    <s v="HONOR MALL DEL SUR"/>
    <s v="BBVA"/>
  </r>
  <r>
    <n v="1044162"/>
    <s v="VA"/>
    <s v="A"/>
    <d v="2026-04-17T00:00:00"/>
    <d v="2026-04-17T00:00:00"/>
    <m/>
    <n v="886"/>
    <s v="PS0002"/>
    <n v="3994"/>
    <n v="394862"/>
    <m/>
    <s v="421355******4914"/>
    <s v="Ext"/>
    <s v="COM"/>
    <x v="16"/>
    <n v="688"/>
    <s v="Abonado"/>
    <n v="19.88"/>
    <n v="8.8699999999999992"/>
    <n v="1.6"/>
    <n v="666.52"/>
    <n v="0"/>
    <m/>
    <n v="20260420"/>
    <m/>
    <m/>
    <n v="3908900"/>
    <s v="IBK PRIVADA"/>
    <m/>
    <m/>
    <d v="1899-12-30T10:31:02"/>
    <s v="HONOR MALL DEL SUR"/>
    <s v="BBVA"/>
  </r>
  <r>
    <n v="1044162"/>
    <s v="VA"/>
    <s v="A"/>
    <d v="2026-04-17T00:00:00"/>
    <d v="2026-04-17T00:00:00"/>
    <m/>
    <n v="886"/>
    <s v="PS0002"/>
    <n v="3996"/>
    <n v="357783"/>
    <n v="3"/>
    <s v="447410******3904"/>
    <s v="Nac"/>
    <s v="COM"/>
    <x v="16"/>
    <n v="629"/>
    <s v="Abonado"/>
    <n v="18.18"/>
    <n v="3.71"/>
    <n v="0.67"/>
    <n v="610.15"/>
    <n v="0"/>
    <m/>
    <n v="20260420"/>
    <m/>
    <s v="CREDITO"/>
    <n v="3908900"/>
    <s v="BFALABELLA"/>
    <s v="NO"/>
    <m/>
    <d v="1899-12-30T13:38:41"/>
    <s v="HONOR MALL DEL SUR"/>
    <s v="BBVA"/>
  </r>
  <r>
    <n v="1044162"/>
    <s v="VA"/>
    <s v="A"/>
    <d v="2026-04-17T00:00:00"/>
    <d v="2026-04-17T00:00:00"/>
    <m/>
    <n v="886"/>
    <s v="PS0002"/>
    <n v="4007"/>
    <n v="380367"/>
    <m/>
    <s v="455696******4930"/>
    <s v="Nac"/>
    <s v="COM"/>
    <x v="16"/>
    <n v="629"/>
    <s v="Abonado"/>
    <n v="18.18"/>
    <n v="2.4500000000000002"/>
    <n v="0.44"/>
    <n v="610.38"/>
    <n v="0"/>
    <m/>
    <n v="20260420"/>
    <m/>
    <s v="CREDITO"/>
    <n v="3908900"/>
    <s v="IBK PRIVADA"/>
    <m/>
    <m/>
    <d v="1899-12-30T15:37:55"/>
    <s v="HONOR MALL DEL SUR"/>
    <s v="BBVA"/>
  </r>
  <r>
    <n v="1044162"/>
    <s v="VA"/>
    <s v="A"/>
    <d v="2026-04-17T00:00:00"/>
    <d v="2026-04-17T00:00:00"/>
    <m/>
    <n v="886"/>
    <n v="65656565"/>
    <n v="4015"/>
    <n v="716129"/>
    <m/>
    <s v="455788******4790"/>
    <s v="Nac"/>
    <s v="COM"/>
    <x v="16"/>
    <n v="400"/>
    <s v="Abonado"/>
    <n v="11.56"/>
    <n v="5.16"/>
    <n v="0.93"/>
    <n v="387.51"/>
    <n v="0"/>
    <m/>
    <n v="20260420"/>
    <m/>
    <s v="DEBITO"/>
    <n v="3908900"/>
    <s v="BCP"/>
    <m/>
    <s v="Yape"/>
    <d v="1899-12-30T16:22:41"/>
    <s v="HONOR MALL DEL SUR"/>
    <s v="BBVA"/>
  </r>
  <r>
    <n v="1044162"/>
    <s v="VA"/>
    <s v="A"/>
    <d v="2026-04-17T00:00:00"/>
    <d v="2026-04-17T00:00:00"/>
    <m/>
    <n v="886"/>
    <n v="65656565"/>
    <n v="4018"/>
    <n v="774752"/>
    <m/>
    <s v="455788******4790"/>
    <s v="Nac"/>
    <s v="COM"/>
    <x v="16"/>
    <n v="129"/>
    <s v="Abonado"/>
    <n v="3.72"/>
    <n v="1.66"/>
    <n v="0.3"/>
    <n v="124.98"/>
    <n v="0"/>
    <m/>
    <n v="20260420"/>
    <m/>
    <s v="DEBITO"/>
    <n v="3908900"/>
    <s v="BCP"/>
    <m/>
    <s v="Yape"/>
    <d v="1899-12-30T16:24:00"/>
    <s v="HONOR MALL DEL SUR"/>
    <s v="BBVA"/>
  </r>
  <r>
    <n v="1044162"/>
    <s v="VA"/>
    <s v="A"/>
    <d v="2026-04-17T00:00:00"/>
    <d v="2026-04-17T00:00:00"/>
    <m/>
    <n v="886"/>
    <s v="PS0002"/>
    <n v="4021"/>
    <n v="823599"/>
    <m/>
    <s v="455788******2052"/>
    <s v="Nac"/>
    <s v="COM"/>
    <x v="16"/>
    <n v="500"/>
    <s v="Abonado"/>
    <n v="14.45"/>
    <n v="6.45"/>
    <n v="1.1599999999999999"/>
    <n v="484.39"/>
    <n v="0"/>
    <m/>
    <n v="20260420"/>
    <m/>
    <s v="DEBITO"/>
    <n v="3908900"/>
    <s v="VISA LOC"/>
    <m/>
    <m/>
    <d v="1899-12-30T17:27:18"/>
    <s v="HONOR MALL DEL SUR"/>
    <s v="BBVA"/>
  </r>
  <r>
    <n v="1044162"/>
    <s v="VA"/>
    <s v="A"/>
    <d v="2026-04-17T00:00:00"/>
    <d v="2026-04-17T00:00:00"/>
    <m/>
    <n v="886"/>
    <s v="PS0002"/>
    <n v="4023"/>
    <n v="429973"/>
    <n v="7"/>
    <s v="447409******3973"/>
    <s v="Nac"/>
    <s v="COM"/>
    <x v="16"/>
    <n v="1008"/>
    <s v="Abonado"/>
    <n v="29.13"/>
    <n v="7.96"/>
    <n v="1.43"/>
    <n v="977.44"/>
    <n v="0"/>
    <m/>
    <n v="20260420"/>
    <m/>
    <s v="CREDITO"/>
    <n v="3908900"/>
    <s v="BFALABELLA"/>
    <s v="NO"/>
    <m/>
    <d v="1899-12-30T17:58:34"/>
    <s v="HONOR MALL DEL SUR"/>
    <s v="BBVA"/>
  </r>
  <r>
    <n v="1044162"/>
    <s v="VA"/>
    <s v="A"/>
    <d v="2026-04-17T00:00:00"/>
    <d v="2026-04-17T00:00:00"/>
    <m/>
    <n v="886"/>
    <s v="PS0002"/>
    <n v="4025"/>
    <n v="97774"/>
    <m/>
    <s v="455170******8407"/>
    <s v="Nac"/>
    <s v="COM"/>
    <x v="16"/>
    <n v="49.75"/>
    <s v="Abonado"/>
    <n v="1.44"/>
    <n v="0.64"/>
    <n v="0.12"/>
    <n v="48.19"/>
    <n v="0"/>
    <m/>
    <n v="20260420"/>
    <m/>
    <s v="DEBITO"/>
    <n v="3908900"/>
    <s v="BBVA"/>
    <m/>
    <m/>
    <d v="1899-12-30T18:46:16"/>
    <s v="HONOR MALL DEL SUR"/>
    <s v="BBVA"/>
  </r>
  <r>
    <n v="1044162"/>
    <s v="VA"/>
    <s v="A"/>
    <d v="2026-04-17T00:00:00"/>
    <d v="2026-04-17T00:00:00"/>
    <m/>
    <n v="886"/>
    <s v="PS0002"/>
    <n v="4027"/>
    <n v="987432"/>
    <m/>
    <s v="455788******5046"/>
    <s v="Nac"/>
    <s v="COM"/>
    <x v="16"/>
    <n v="459"/>
    <s v="Abonado"/>
    <n v="13.27"/>
    <n v="5.93"/>
    <n v="1.07"/>
    <n v="444.66"/>
    <n v="0"/>
    <m/>
    <n v="20260420"/>
    <m/>
    <s v="DEBITO"/>
    <n v="3908900"/>
    <s v="BCP"/>
    <m/>
    <m/>
    <d v="1899-12-30T19:28:53"/>
    <s v="HONOR MALL DEL SUR"/>
    <s v="BBVA"/>
  </r>
  <r>
    <n v="1044162"/>
    <s v="VA"/>
    <s v="A"/>
    <d v="2026-04-17T00:00:00"/>
    <d v="2026-04-17T00:00:00"/>
    <m/>
    <n v="886"/>
    <s v="PS0002"/>
    <n v="4029"/>
    <n v="452818"/>
    <m/>
    <s v="455170******4299"/>
    <s v="Nac"/>
    <s v="COM"/>
    <x v="16"/>
    <n v="629"/>
    <s v="Abonado"/>
    <n v="18.18"/>
    <n v="8.1199999999999992"/>
    <n v="1.46"/>
    <n v="609.36"/>
    <n v="4963.58"/>
    <d v="2026-04-20T00:00:00"/>
    <n v="20260420"/>
    <n v="104101"/>
    <s v="DEBITO"/>
    <n v="3908900"/>
    <s v="BBVA"/>
    <m/>
    <m/>
    <d v="1899-12-30T20:13:27"/>
    <s v="HONOR MALL DEL SUR"/>
    <s v="BBVA"/>
  </r>
  <r>
    <n v="1044162"/>
    <s v="MC"/>
    <s v="A"/>
    <d v="2026-04-18T00:00:00"/>
    <d v="2026-04-18T00:00:00"/>
    <m/>
    <n v="887"/>
    <s v="PS0002"/>
    <n v="4074"/>
    <n v="480267"/>
    <n v="2"/>
    <s v="525435******6107"/>
    <s v="Nac"/>
    <s v="COM"/>
    <x v="17"/>
    <n v="1898"/>
    <s v="Abonado"/>
    <n v="54.85"/>
    <n v="14.99"/>
    <n v="2.7"/>
    <n v="1840.45"/>
    <n v="1840.45"/>
    <d v="2026-04-20T00:00:00"/>
    <n v="20260420"/>
    <n v="104101"/>
    <s v="CREDITO"/>
    <n v="3908900"/>
    <s v="BRIPLEY"/>
    <s v="NO"/>
    <m/>
    <d v="1899-12-30T19:15:11"/>
    <s v="HONOR MALL DEL SUR"/>
    <s v="BBVA"/>
  </r>
  <r>
    <n v="1044162"/>
    <s v="VA"/>
    <s v="A"/>
    <d v="2026-04-18T00:00:00"/>
    <d v="2026-04-18T00:00:00"/>
    <m/>
    <n v="887"/>
    <s v="PS0002"/>
    <n v="4034"/>
    <n v="910042"/>
    <m/>
    <s v="455788******3384"/>
    <s v="Nac"/>
    <s v="COM"/>
    <x v="17"/>
    <n v="568"/>
    <s v="Abonado"/>
    <n v="16.420000000000002"/>
    <n v="7.33"/>
    <n v="1.32"/>
    <n v="550.26"/>
    <n v="0"/>
    <m/>
    <n v="20260420"/>
    <m/>
    <s v="DEBITO"/>
    <n v="3908900"/>
    <s v="BCP"/>
    <m/>
    <m/>
    <d v="1899-12-30T12:25:49"/>
    <s v="HONOR MALL DEL SUR"/>
    <s v="BBVA"/>
  </r>
  <r>
    <n v="1044162"/>
    <s v="VA"/>
    <s v="A"/>
    <d v="2026-04-18T00:00:00"/>
    <d v="2026-04-18T00:00:00"/>
    <m/>
    <n v="887"/>
    <s v="PS0002"/>
    <n v="4036"/>
    <n v="634701"/>
    <m/>
    <s v="455788******7835"/>
    <s v="Nac"/>
    <s v="COM"/>
    <x v="17"/>
    <n v="498"/>
    <s v="Abonado"/>
    <n v="14.39"/>
    <n v="6.42"/>
    <n v="1.1599999999999999"/>
    <n v="482.45"/>
    <n v="0"/>
    <m/>
    <n v="20260420"/>
    <m/>
    <s v="DEBITO"/>
    <n v="3908900"/>
    <s v="BCP"/>
    <m/>
    <m/>
    <d v="1899-12-30T12:37:22"/>
    <s v="HONOR MALL DEL SUR"/>
    <s v="BBVA"/>
  </r>
  <r>
    <n v="1044162"/>
    <s v="VA"/>
    <s v="A"/>
    <d v="2026-04-18T00:00:00"/>
    <d v="2026-04-18T00:00:00"/>
    <m/>
    <n v="887"/>
    <s v="PS0002"/>
    <n v="4038"/>
    <n v="8576"/>
    <m/>
    <s v="445330******4784"/>
    <s v="Nac"/>
    <s v="COM"/>
    <x v="17"/>
    <n v="199"/>
    <s v="Abonado"/>
    <n v="5.75"/>
    <n v="0.77"/>
    <n v="0.14000000000000001"/>
    <n v="193.11"/>
    <n v="0"/>
    <m/>
    <n v="20260420"/>
    <m/>
    <s v="CREDITO"/>
    <n v="3908900"/>
    <s v="BCP"/>
    <m/>
    <m/>
    <d v="1899-12-30T13:49:08"/>
    <s v="HONOR MALL DEL SUR"/>
    <s v="BBVA"/>
  </r>
  <r>
    <n v="1044162"/>
    <s v="VA"/>
    <s v="A"/>
    <d v="2026-04-18T00:00:00"/>
    <d v="2026-04-18T00:00:00"/>
    <m/>
    <n v="887"/>
    <s v="PS0002"/>
    <n v="4040"/>
    <n v="620001"/>
    <m/>
    <s v="455170******9589"/>
    <s v="Nac"/>
    <s v="COM"/>
    <x v="17"/>
    <n v="1788"/>
    <s v="Abonado"/>
    <n v="51.67"/>
    <n v="23.06"/>
    <n v="4.1500000000000004"/>
    <n v="1732.18"/>
    <n v="0"/>
    <m/>
    <n v="20260420"/>
    <m/>
    <s v="DEBITO"/>
    <n v="3908900"/>
    <s v="BBVA"/>
    <m/>
    <m/>
    <d v="1899-12-30T13:56:25"/>
    <s v="HONOR MALL DEL SUR"/>
    <s v="BBVA"/>
  </r>
  <r>
    <n v="1044162"/>
    <s v="VA"/>
    <s v="A"/>
    <d v="2026-04-18T00:00:00"/>
    <d v="2026-04-18T00:00:00"/>
    <m/>
    <n v="887"/>
    <s v="PS0002"/>
    <n v="4042"/>
    <n v="675024"/>
    <m/>
    <s v="455103******1767"/>
    <s v="Nac"/>
    <s v="COM"/>
    <x v="17"/>
    <n v="459"/>
    <s v="Abonado"/>
    <n v="13.27"/>
    <n v="5.93"/>
    <n v="1.07"/>
    <n v="444.66"/>
    <n v="0"/>
    <m/>
    <n v="20260420"/>
    <m/>
    <s v="DEBITO"/>
    <n v="3908900"/>
    <s v="BBVA"/>
    <m/>
    <m/>
    <d v="1899-12-30T14:09:40"/>
    <s v="HONOR MALL DEL SUR"/>
    <s v="BBVA"/>
  </r>
  <r>
    <n v="1044162"/>
    <s v="VA"/>
    <s v="A"/>
    <d v="2026-04-18T00:00:00"/>
    <d v="2026-04-18T00:00:00"/>
    <m/>
    <n v="887"/>
    <n v="65656565"/>
    <n v="4057"/>
    <n v="342970"/>
    <m/>
    <s v="455788******6466"/>
    <s v="Nac"/>
    <s v="COM"/>
    <x v="17"/>
    <n v="63"/>
    <s v="Abonado"/>
    <n v="1.82"/>
    <n v="0.81"/>
    <n v="0.15"/>
    <n v="61.03"/>
    <n v="0"/>
    <m/>
    <n v="20260420"/>
    <m/>
    <s v="DEBITO"/>
    <n v="3908900"/>
    <s v="BCP"/>
    <m/>
    <s v="Yape"/>
    <d v="1899-12-30T16:18:51"/>
    <s v="HONOR MALL DEL SUR"/>
    <s v="BBVA"/>
  </r>
  <r>
    <n v="1044162"/>
    <s v="VA"/>
    <s v="A"/>
    <d v="2026-04-18T00:00:00"/>
    <d v="2026-04-18T00:00:00"/>
    <m/>
    <n v="887"/>
    <s v="PS0002"/>
    <n v="4060"/>
    <n v="166208"/>
    <n v="3"/>
    <s v="491909******3619"/>
    <s v="Nac"/>
    <s v="COM"/>
    <x v="17"/>
    <n v="629"/>
    <s v="Abonado"/>
    <n v="29.19"/>
    <n v="4.97"/>
    <n v="0.89"/>
    <n v="598.91999999999996"/>
    <n v="0"/>
    <m/>
    <n v="20260420"/>
    <m/>
    <s v="CREDITO"/>
    <n v="3908900"/>
    <s v="BBVA"/>
    <s v="SI"/>
    <m/>
    <d v="1899-12-30T16:21:46"/>
    <s v="HONOR MALL DEL SUR"/>
    <s v="BBVA"/>
  </r>
  <r>
    <n v="1044162"/>
    <s v="VA"/>
    <s v="A"/>
    <d v="2026-04-18T00:00:00"/>
    <d v="2026-04-18T00:00:00"/>
    <m/>
    <n v="887"/>
    <s v="PS0002"/>
    <n v="4063"/>
    <n v="209297"/>
    <n v="3"/>
    <s v="438466******6926"/>
    <s v="Nac"/>
    <s v="COM"/>
    <x v="17"/>
    <n v="629"/>
    <s v="Abonado"/>
    <n v="29.19"/>
    <n v="4.97"/>
    <n v="0.89"/>
    <n v="598.91999999999996"/>
    <n v="0"/>
    <m/>
    <n v="20260420"/>
    <m/>
    <s v="CREDITO"/>
    <n v="3908900"/>
    <s v="BBVA"/>
    <s v="SI"/>
    <m/>
    <d v="1899-12-30T16:33:48"/>
    <s v="HONOR MALL DEL SUR"/>
    <s v="BBVA"/>
  </r>
  <r>
    <n v="1044162"/>
    <s v="VA"/>
    <s v="A"/>
    <d v="2026-04-18T00:00:00"/>
    <d v="2026-04-18T00:00:00"/>
    <m/>
    <n v="887"/>
    <s v="PS0002"/>
    <n v="4065"/>
    <n v="433309"/>
    <m/>
    <s v="455788******3249"/>
    <s v="Nac"/>
    <s v="COM"/>
    <x v="17"/>
    <n v="529"/>
    <s v="Abonado"/>
    <n v="15.29"/>
    <n v="6.83"/>
    <n v="1.23"/>
    <n v="512.48"/>
    <n v="0"/>
    <m/>
    <n v="20260420"/>
    <m/>
    <s v="DEBITO"/>
    <n v="3908900"/>
    <s v="BCP"/>
    <m/>
    <m/>
    <d v="1899-12-30T17:09:55"/>
    <s v="HONOR MALL DEL SUR"/>
    <s v="BBVA"/>
  </r>
  <r>
    <n v="1044162"/>
    <s v="VA"/>
    <s v="A"/>
    <d v="2026-04-18T00:00:00"/>
    <d v="2026-04-18T00:00:00"/>
    <m/>
    <n v="887"/>
    <n v="65656565"/>
    <n v="4067"/>
    <n v="699957"/>
    <m/>
    <s v="455788******3157"/>
    <s v="Nac"/>
    <s v="COM"/>
    <x v="17"/>
    <n v="99"/>
    <s v="Abonado"/>
    <n v="2.86"/>
    <n v="1.28"/>
    <n v="0.23"/>
    <n v="95.91"/>
    <n v="0"/>
    <m/>
    <n v="20260420"/>
    <m/>
    <s v="DEBITO"/>
    <n v="3908900"/>
    <s v="BCP"/>
    <m/>
    <s v="Yape"/>
    <d v="1899-12-30T18:19:00"/>
    <s v="HONOR MALL DEL SUR"/>
    <s v="BBVA"/>
  </r>
  <r>
    <n v="1044162"/>
    <s v="VA"/>
    <s v="A"/>
    <d v="2026-04-18T00:00:00"/>
    <d v="2026-04-18T00:00:00"/>
    <m/>
    <n v="887"/>
    <s v="PS0002"/>
    <n v="4072"/>
    <n v="671934"/>
    <n v="3"/>
    <s v="414791******0942"/>
    <s v="Nac"/>
    <s v="COM"/>
    <x v="17"/>
    <n v="1149"/>
    <s v="Abonado"/>
    <n v="53.32"/>
    <n v="6.78"/>
    <n v="1.22"/>
    <n v="1094.46"/>
    <n v="0"/>
    <m/>
    <n v="20260420"/>
    <m/>
    <s v="CREDITO"/>
    <n v="3908900"/>
    <s v="BBVA"/>
    <s v="SI"/>
    <m/>
    <d v="1899-12-30T18:35:54"/>
    <s v="HONOR MALL DEL SUR"/>
    <s v="BBVA"/>
  </r>
  <r>
    <n v="1044162"/>
    <s v="VA"/>
    <s v="A"/>
    <d v="2026-04-18T00:00:00"/>
    <d v="2026-04-18T00:00:00"/>
    <m/>
    <n v="887"/>
    <s v="PS0002"/>
    <n v="4076"/>
    <n v="8009"/>
    <m/>
    <s v="463403******8992"/>
    <s v="Nac"/>
    <s v="COM"/>
    <x v="17"/>
    <n v="1799"/>
    <s v="Abonado"/>
    <n v="51.99"/>
    <n v="10.61"/>
    <n v="1.91"/>
    <n v="1745.1"/>
    <n v="8109.48"/>
    <d v="2026-04-20T00:00:00"/>
    <n v="20260420"/>
    <n v="104101"/>
    <s v="CREDITO"/>
    <n v="3908900"/>
    <s v="BCP"/>
    <m/>
    <m/>
    <d v="1899-12-30T19:44:17"/>
    <s v="HONOR MALL DEL SUR"/>
    <s v="BBVA"/>
  </r>
  <r>
    <n v="1044162"/>
    <s v="VA"/>
    <s v="A"/>
    <d v="2026-04-19T00:00:00"/>
    <d v="2026-04-19T00:00:00"/>
    <m/>
    <n v="888"/>
    <s v="PS0002"/>
    <n v="4083"/>
    <n v="637927"/>
    <m/>
    <s v="455788******1113"/>
    <s v="Nac"/>
    <s v="COM"/>
    <x v="18"/>
    <n v="629"/>
    <s v="Abonado"/>
    <n v="18.18"/>
    <n v="8.1199999999999992"/>
    <n v="1.46"/>
    <n v="609.36"/>
    <n v="0"/>
    <m/>
    <n v="20260420"/>
    <m/>
    <s v="DEBITO"/>
    <n v="3908900"/>
    <s v="BCP"/>
    <m/>
    <m/>
    <d v="1899-12-30T11:28:38"/>
    <s v="HONOR MALL DEL SUR"/>
    <s v="BBVA"/>
  </r>
  <r>
    <n v="1044162"/>
    <s v="VA"/>
    <s v="A"/>
    <d v="2026-04-19T00:00:00"/>
    <d v="2026-04-19T00:00:00"/>
    <m/>
    <n v="888"/>
    <s v="PS0002"/>
    <n v="4085"/>
    <n v="269157"/>
    <m/>
    <s v="421355******7411"/>
    <s v="Nac"/>
    <s v="COM"/>
    <x v="18"/>
    <n v="529"/>
    <s v="Abonado"/>
    <n v="15.29"/>
    <n v="6.83"/>
    <n v="1.23"/>
    <n v="512.48"/>
    <n v="0"/>
    <m/>
    <n v="20260420"/>
    <m/>
    <s v="DEBITO"/>
    <n v="3908900"/>
    <s v="IBK PRIVADA"/>
    <m/>
    <m/>
    <d v="1899-12-30T12:47:31"/>
    <s v="HONOR MALL DEL SUR"/>
    <s v="BBVA"/>
  </r>
  <r>
    <n v="1044162"/>
    <s v="VA"/>
    <s v="A"/>
    <d v="2026-04-19T00:00:00"/>
    <d v="2026-04-19T00:00:00"/>
    <m/>
    <n v="888"/>
    <s v="PS0002"/>
    <n v="4087"/>
    <n v="921762"/>
    <m/>
    <s v="447409******0380"/>
    <s v="Nac"/>
    <s v="COM"/>
    <x v="18"/>
    <n v="459"/>
    <s v="Abonado"/>
    <n v="13.27"/>
    <n v="3.63"/>
    <n v="0.65"/>
    <n v="445.08"/>
    <n v="0"/>
    <m/>
    <n v="20260420"/>
    <m/>
    <s v="CREDITO"/>
    <n v="3908900"/>
    <s v="BFALABELLA"/>
    <m/>
    <m/>
    <d v="1899-12-30T14:02:41"/>
    <s v="HONOR MALL DEL SUR"/>
    <s v="BBVA"/>
  </r>
  <r>
    <n v="1044162"/>
    <s v="VA"/>
    <s v="A"/>
    <d v="2026-04-19T00:00:00"/>
    <d v="2026-04-19T00:00:00"/>
    <m/>
    <n v="888"/>
    <s v="PS0002"/>
    <n v="4089"/>
    <n v="906446"/>
    <m/>
    <s v="455788******4040"/>
    <s v="Nac"/>
    <s v="COM"/>
    <x v="18"/>
    <n v="629"/>
    <s v="Abonado"/>
    <n v="18.18"/>
    <n v="8.1199999999999992"/>
    <n v="1.46"/>
    <n v="609.36"/>
    <n v="0"/>
    <m/>
    <n v="20260420"/>
    <m/>
    <s v="DEBITO"/>
    <n v="3908900"/>
    <s v="BCP"/>
    <m/>
    <m/>
    <d v="1899-12-30T14:14:02"/>
    <s v="HONOR MALL DEL SUR"/>
    <s v="BBVA"/>
  </r>
  <r>
    <n v="1044162"/>
    <s v="VA"/>
    <s v="A"/>
    <d v="2026-04-19T00:00:00"/>
    <d v="2026-04-19T00:00:00"/>
    <m/>
    <n v="888"/>
    <s v="PS0002"/>
    <n v="4091"/>
    <n v="931607"/>
    <n v="3"/>
    <s v="447410******3907"/>
    <s v="Nac"/>
    <s v="COM"/>
    <x v="18"/>
    <n v="629"/>
    <s v="Abonado"/>
    <n v="18.18"/>
    <n v="3.71"/>
    <n v="0.67"/>
    <n v="610.15"/>
    <n v="0"/>
    <m/>
    <n v="20260420"/>
    <m/>
    <s v="CREDITO"/>
    <n v="3908900"/>
    <s v="BFALABELLA"/>
    <s v="NO"/>
    <m/>
    <d v="1899-12-30T14:36:08"/>
    <s v="HONOR MALL DEL SUR"/>
    <s v="BBVA"/>
  </r>
  <r>
    <n v="1044162"/>
    <s v="VA"/>
    <s v="A"/>
    <d v="2026-04-19T00:00:00"/>
    <d v="2026-04-19T00:00:00"/>
    <m/>
    <n v="888"/>
    <s v="PS0002"/>
    <n v="4093"/>
    <n v="691821"/>
    <m/>
    <s v="491246******0097"/>
    <s v="Nac"/>
    <s v="COM"/>
    <x v="18"/>
    <n v="629"/>
    <s v="Abonado"/>
    <n v="18.18"/>
    <n v="4.97"/>
    <n v="0.89"/>
    <n v="609.92999999999995"/>
    <n v="0"/>
    <m/>
    <n v="20260420"/>
    <m/>
    <s v="DEBITO"/>
    <n v="3908900"/>
    <s v="BCP"/>
    <m/>
    <m/>
    <d v="1899-12-30T14:48:31"/>
    <s v="HONOR MALL DEL SUR"/>
    <s v="BBVA"/>
  </r>
  <r>
    <n v="1044162"/>
    <s v="VA"/>
    <s v="A"/>
    <d v="2026-04-19T00:00:00"/>
    <d v="2026-04-19T00:00:00"/>
    <m/>
    <n v="888"/>
    <s v="PS0002"/>
    <n v="4095"/>
    <n v="592215"/>
    <m/>
    <s v="491246******8718"/>
    <s v="Nac"/>
    <s v="COM"/>
    <x v="18"/>
    <n v="299"/>
    <s v="Abonado"/>
    <n v="8.64"/>
    <n v="2.36"/>
    <n v="0.42"/>
    <n v="289.94"/>
    <n v="0"/>
    <m/>
    <n v="20260420"/>
    <m/>
    <s v="DEBITO"/>
    <n v="3908900"/>
    <s v="BCP"/>
    <m/>
    <m/>
    <d v="1899-12-30T15:08:46"/>
    <s v="HONOR MALL DEL SUR"/>
    <s v="BBVA"/>
  </r>
  <r>
    <n v="1044162"/>
    <s v="VA"/>
    <s v="A"/>
    <d v="2026-04-19T00:00:00"/>
    <d v="2026-04-19T00:00:00"/>
    <m/>
    <n v="888"/>
    <s v="PS0002"/>
    <n v="4098"/>
    <n v="748443"/>
    <m/>
    <s v="438877******4358"/>
    <s v="Nac"/>
    <s v="COM"/>
    <x v="18"/>
    <n v="459"/>
    <s v="Abonado"/>
    <n v="13.27"/>
    <n v="5.93"/>
    <n v="1.07"/>
    <n v="444.66"/>
    <n v="0"/>
    <m/>
    <n v="20260420"/>
    <m/>
    <s v="DEBITO"/>
    <n v="3908900"/>
    <s v="VISA LOC"/>
    <m/>
    <m/>
    <d v="1899-12-30T15:25:33"/>
    <s v="HONOR MALL DEL SUR"/>
    <s v="BBVA"/>
  </r>
  <r>
    <n v="1044162"/>
    <s v="VA"/>
    <s v="A"/>
    <d v="2026-04-19T00:00:00"/>
    <d v="2026-04-19T00:00:00"/>
    <m/>
    <n v="888"/>
    <s v="PS0002"/>
    <n v="4109"/>
    <n v="773585"/>
    <m/>
    <s v="455788******1321"/>
    <s v="Nac"/>
    <s v="COM"/>
    <x v="18"/>
    <n v="529"/>
    <s v="Abonado"/>
    <n v="15.29"/>
    <n v="6.83"/>
    <n v="1.23"/>
    <n v="512.48"/>
    <n v="0"/>
    <m/>
    <n v="20260420"/>
    <m/>
    <s v="DEBITO"/>
    <n v="3908900"/>
    <s v="BCP"/>
    <m/>
    <m/>
    <d v="1899-12-30T15:42:25"/>
    <s v="HONOR MALL DEL SUR"/>
    <s v="BBVA"/>
  </r>
  <r>
    <n v="1044162"/>
    <s v="VA"/>
    <s v="A"/>
    <d v="2026-04-19T00:00:00"/>
    <d v="2026-04-19T00:00:00"/>
    <m/>
    <n v="888"/>
    <s v="PS0002"/>
    <n v="4111"/>
    <n v="658367"/>
    <m/>
    <s v="455788******6995"/>
    <s v="Nac"/>
    <s v="COM"/>
    <x v="18"/>
    <n v="839"/>
    <s v="Abonado"/>
    <n v="24.25"/>
    <n v="10.83"/>
    <n v="1.95"/>
    <n v="812.8"/>
    <n v="0"/>
    <m/>
    <n v="20260420"/>
    <m/>
    <s v="DEBITO"/>
    <n v="3908900"/>
    <s v="BCP"/>
    <m/>
    <m/>
    <d v="1899-12-30T15:52:12"/>
    <s v="HONOR MALL DEL SUR"/>
    <s v="BBVA"/>
  </r>
  <r>
    <n v="1044162"/>
    <s v="VA"/>
    <s v="A"/>
    <d v="2026-04-19T00:00:00"/>
    <d v="2026-04-19T00:00:00"/>
    <m/>
    <n v="888"/>
    <s v="PS0002"/>
    <n v="4113"/>
    <n v="61226"/>
    <m/>
    <s v="455788******9332"/>
    <s v="Nac"/>
    <s v="COM"/>
    <x v="18"/>
    <n v="329"/>
    <s v="Abonado"/>
    <n v="9.51"/>
    <n v="4.25"/>
    <n v="0.77"/>
    <n v="318.72000000000003"/>
    <n v="0"/>
    <m/>
    <n v="20260420"/>
    <m/>
    <s v="DEBITO"/>
    <n v="3908900"/>
    <s v="BCP"/>
    <m/>
    <m/>
    <d v="1899-12-30T15:56:58"/>
    <s v="HONOR MALL DEL SUR"/>
    <s v="BBVA"/>
  </r>
  <r>
    <n v="1044162"/>
    <s v="VA"/>
    <s v="A"/>
    <d v="2026-04-19T00:00:00"/>
    <d v="2026-04-19T00:00:00"/>
    <m/>
    <n v="888"/>
    <s v="PS0002"/>
    <n v="4117"/>
    <n v="533866"/>
    <m/>
    <s v="455696******4609"/>
    <s v="Nac"/>
    <s v="COM"/>
    <x v="18"/>
    <n v="79"/>
    <s v="Abonado"/>
    <n v="2.2799999999999998"/>
    <n v="0.62"/>
    <n v="0.11"/>
    <n v="76.61"/>
    <n v="0"/>
    <m/>
    <n v="20260420"/>
    <m/>
    <s v="CREDITO"/>
    <n v="3908900"/>
    <s v="IBK PRIVADA"/>
    <m/>
    <m/>
    <d v="1899-12-30T16:53:30"/>
    <s v="HONOR MALL DEL SUR"/>
    <s v="BBVA"/>
  </r>
  <r>
    <n v="1044162"/>
    <s v="VA"/>
    <s v="A"/>
    <d v="2026-04-19T00:00:00"/>
    <d v="2026-04-19T00:00:00"/>
    <m/>
    <n v="888"/>
    <s v="PS0002"/>
    <n v="4119"/>
    <n v="654144"/>
    <m/>
    <s v="455103******1500"/>
    <s v="Nac"/>
    <s v="COM"/>
    <x v="18"/>
    <n v="1799"/>
    <s v="Abonado"/>
    <n v="51.99"/>
    <n v="23.21"/>
    <n v="4.18"/>
    <n v="1742.83"/>
    <n v="0"/>
    <m/>
    <n v="20260420"/>
    <m/>
    <s v="DEBITO"/>
    <n v="3908900"/>
    <s v="BBVA"/>
    <m/>
    <m/>
    <d v="1899-12-30T16:57:02"/>
    <s v="HONOR MALL DEL SUR"/>
    <s v="BBVA"/>
  </r>
  <r>
    <n v="1044162"/>
    <s v="VA"/>
    <s v="A"/>
    <d v="2026-04-19T00:00:00"/>
    <d v="2026-04-19T00:00:00"/>
    <m/>
    <n v="888"/>
    <n v="65656565"/>
    <n v="4123"/>
    <n v="861085"/>
    <m/>
    <s v="421355******4180"/>
    <s v="Nac"/>
    <s v="COM"/>
    <x v="18"/>
    <n v="629"/>
    <s v="Abonado"/>
    <n v="18.170000000000002"/>
    <n v="8.11"/>
    <n v="1.46"/>
    <n v="609.37"/>
    <n v="0"/>
    <m/>
    <n v="20260420"/>
    <m/>
    <s v="DEBITO"/>
    <n v="3908900"/>
    <s v="IBK PRIVADA"/>
    <m/>
    <s v="IBK Plin"/>
    <d v="1899-12-30T16:59:34"/>
    <s v="HONOR MALL DEL SUR"/>
    <s v="BBVA"/>
  </r>
  <r>
    <n v="1044162"/>
    <s v="VA"/>
    <s v="A"/>
    <d v="2026-04-19T00:00:00"/>
    <d v="2026-04-19T00:00:00"/>
    <m/>
    <n v="888"/>
    <s v="PS0002"/>
    <n v="4126"/>
    <n v="891262"/>
    <m/>
    <s v="455788******0045"/>
    <s v="Nac"/>
    <s v="COM"/>
    <x v="18"/>
    <n v="89"/>
    <s v="Abonado"/>
    <n v="2.57"/>
    <n v="1.1499999999999999"/>
    <n v="0.21"/>
    <n v="86.22"/>
    <n v="0"/>
    <m/>
    <n v="20260420"/>
    <m/>
    <s v="DEBITO"/>
    <n v="3908900"/>
    <s v="VISA LOC"/>
    <m/>
    <m/>
    <d v="1899-12-30T17:01:41"/>
    <s v="HONOR MALL DEL SUR"/>
    <s v="BBVA"/>
  </r>
  <r>
    <n v="1044162"/>
    <s v="VA"/>
    <s v="A"/>
    <d v="2026-04-19T00:00:00"/>
    <d v="2026-04-19T00:00:00"/>
    <m/>
    <n v="888"/>
    <n v="65656565"/>
    <n v="4128"/>
    <n v="897577"/>
    <m/>
    <s v="455788******6635"/>
    <s v="Nac"/>
    <s v="COM"/>
    <x v="18"/>
    <n v="238"/>
    <s v="Abonado"/>
    <n v="6.87"/>
    <n v="3.06"/>
    <n v="0.55000000000000004"/>
    <n v="230.58"/>
    <n v="0"/>
    <m/>
    <n v="20260420"/>
    <m/>
    <s v="DEBITO"/>
    <n v="3908900"/>
    <s v="BCP"/>
    <m/>
    <s v="Yape"/>
    <d v="1899-12-30T17:05:46"/>
    <s v="HONOR MALL DEL SUR"/>
    <s v="BBVA"/>
  </r>
  <r>
    <n v="1044162"/>
    <s v="VA"/>
    <s v="A"/>
    <d v="2026-04-19T00:00:00"/>
    <d v="2026-04-19T00:00:00"/>
    <m/>
    <n v="888"/>
    <s v="PS0002"/>
    <n v="4132"/>
    <n v="734882"/>
    <m/>
    <s v="438466******0441"/>
    <s v="Nac"/>
    <s v="COM"/>
    <x v="18"/>
    <n v="200"/>
    <s v="Abonado"/>
    <n v="5.78"/>
    <n v="2.58"/>
    <n v="0.46"/>
    <n v="193.76"/>
    <n v="0"/>
    <m/>
    <n v="20260420"/>
    <m/>
    <s v="DEBITO"/>
    <n v="3908900"/>
    <s v="VISA LOC"/>
    <m/>
    <m/>
    <d v="1899-12-30T17:25:19"/>
    <s v="HONOR MALL DEL SUR"/>
    <s v="BBVA"/>
  </r>
  <r>
    <n v="1044162"/>
    <s v="VA"/>
    <s v="A"/>
    <d v="2026-04-19T00:00:00"/>
    <d v="2026-04-19T00:00:00"/>
    <m/>
    <n v="888"/>
    <s v="PS0002"/>
    <n v="4134"/>
    <n v="736629"/>
    <n v="3"/>
    <s v="491909******0825"/>
    <s v="Nac"/>
    <s v="COM"/>
    <x v="18"/>
    <n v="499"/>
    <s v="Abonado"/>
    <n v="23.15"/>
    <n v="3.94"/>
    <n v="0.71"/>
    <n v="475.14"/>
    <n v="0"/>
    <m/>
    <n v="20260420"/>
    <m/>
    <s v="CREDITO"/>
    <n v="3908900"/>
    <s v="BBVA"/>
    <s v="SI"/>
    <m/>
    <d v="1899-12-30T17:25:56"/>
    <s v="HONOR MALL DEL SUR"/>
    <s v="BBVA"/>
  </r>
  <r>
    <n v="1044162"/>
    <s v="VA"/>
    <s v="A"/>
    <d v="2026-04-19T00:00:00"/>
    <d v="2026-04-19T00:00:00"/>
    <m/>
    <n v="888"/>
    <s v="PS0002"/>
    <n v="4137"/>
    <n v="979712"/>
    <m/>
    <s v="455788******0034"/>
    <s v="Nac"/>
    <s v="COM"/>
    <x v="18"/>
    <n v="718"/>
    <s v="Abonado"/>
    <n v="20.75"/>
    <n v="9.26"/>
    <n v="1.67"/>
    <n v="695.58"/>
    <n v="0"/>
    <m/>
    <n v="20260420"/>
    <m/>
    <s v="DEBITO"/>
    <n v="3908900"/>
    <s v="BCP"/>
    <m/>
    <m/>
    <d v="1899-12-30T17:58:29"/>
    <s v="HONOR MALL DEL SUR"/>
    <s v="BBVA"/>
  </r>
  <r>
    <n v="1044162"/>
    <s v="VA"/>
    <s v="A"/>
    <d v="2026-04-19T00:00:00"/>
    <d v="2026-04-19T00:00:00"/>
    <m/>
    <n v="888"/>
    <s v="PS0002"/>
    <n v="4139"/>
    <n v="259559"/>
    <m/>
    <s v="455788******7152"/>
    <s v="Nac"/>
    <s v="COM"/>
    <x v="18"/>
    <n v="158"/>
    <s v="Abonado"/>
    <n v="4.57"/>
    <n v="2.04"/>
    <n v="0.37"/>
    <n v="153.06"/>
    <n v="0"/>
    <m/>
    <n v="20260420"/>
    <m/>
    <s v="DEBITO"/>
    <n v="3908900"/>
    <s v="BCP"/>
    <m/>
    <m/>
    <d v="1899-12-30T18:07:07"/>
    <s v="HONOR MALL DEL SUR"/>
    <s v="BBVA"/>
  </r>
  <r>
    <n v="1044162"/>
    <s v="VA"/>
    <s v="A"/>
    <d v="2026-04-19T00:00:00"/>
    <d v="2026-04-19T00:00:00"/>
    <m/>
    <n v="888"/>
    <s v="PS0002"/>
    <n v="4141"/>
    <n v="180838"/>
    <m/>
    <s v="483039******9147"/>
    <s v="Nac"/>
    <s v="COM"/>
    <x v="18"/>
    <n v="471"/>
    <s v="Abonado"/>
    <n v="13.61"/>
    <n v="3.72"/>
    <n v="0.67"/>
    <n v="456.72"/>
    <n v="0"/>
    <m/>
    <n v="20260420"/>
    <m/>
    <s v="DEBITO"/>
    <n v="3908900"/>
    <s v="IBK PRIVADA"/>
    <m/>
    <m/>
    <d v="1899-12-30T18:07:38"/>
    <s v="HONOR MALL DEL SUR"/>
    <s v="BBVA"/>
  </r>
  <r>
    <n v="1044162"/>
    <s v="VA"/>
    <s v="A"/>
    <d v="2026-04-19T00:00:00"/>
    <d v="2026-04-19T00:00:00"/>
    <m/>
    <n v="888"/>
    <s v="PS0002"/>
    <n v="4143"/>
    <n v="40386"/>
    <n v="3"/>
    <s v="414791******6280"/>
    <s v="Nac"/>
    <s v="COM"/>
    <x v="18"/>
    <n v="1799"/>
    <s v="Abonado"/>
    <n v="83.47"/>
    <n v="10.61"/>
    <n v="1.91"/>
    <n v="1713.62"/>
    <n v="0"/>
    <m/>
    <n v="20260420"/>
    <m/>
    <s v="CREDITO"/>
    <n v="3908900"/>
    <s v="BBVA"/>
    <s v="SI"/>
    <m/>
    <d v="1899-12-30T19:05:13"/>
    <s v="HONOR MALL DEL SUR"/>
    <s v="BBVA"/>
  </r>
  <r>
    <n v="1044162"/>
    <s v="VA"/>
    <s v="A"/>
    <d v="2026-04-19T00:00:00"/>
    <d v="2026-04-19T00:00:00"/>
    <m/>
    <n v="888"/>
    <s v="PS0002"/>
    <n v="4145"/>
    <n v="126699"/>
    <m/>
    <s v="421410******3550"/>
    <s v="Nac"/>
    <s v="COM"/>
    <x v="18"/>
    <n v="1699"/>
    <s v="Abonado"/>
    <n v="49.1"/>
    <n v="21.92"/>
    <n v="3.95"/>
    <n v="1645.95"/>
    <n v="0"/>
    <m/>
    <n v="20260420"/>
    <m/>
    <s v="DEBITO"/>
    <n v="3908900"/>
    <s v="NACION"/>
    <m/>
    <m/>
    <d v="1899-12-30T19:31:51"/>
    <s v="HONOR MALL DEL SUR"/>
    <s v="BBVA"/>
  </r>
  <r>
    <n v="1044162"/>
    <s v="VA"/>
    <s v="A"/>
    <d v="2026-04-19T00:00:00"/>
    <d v="2026-04-19T00:00:00"/>
    <m/>
    <n v="888"/>
    <s v="PS0002"/>
    <n v="4147"/>
    <n v="22452"/>
    <m/>
    <s v="455788******7065"/>
    <s v="Nac"/>
    <s v="COM"/>
    <x v="18"/>
    <n v="499"/>
    <s v="Abonado"/>
    <n v="14.42"/>
    <n v="6.44"/>
    <n v="1.1599999999999999"/>
    <n v="483.42"/>
    <n v="0"/>
    <m/>
    <n v="20260420"/>
    <m/>
    <s v="DEBITO"/>
    <n v="3908900"/>
    <s v="BCP"/>
    <m/>
    <m/>
    <d v="1899-12-30T19:36:42"/>
    <s v="HONOR MALL DEL SUR"/>
    <s v="BBVA"/>
  </r>
  <r>
    <n v="1044162"/>
    <s v="VA"/>
    <s v="A"/>
    <d v="2026-04-19T00:00:00"/>
    <d v="2026-04-19T00:00:00"/>
    <m/>
    <n v="888"/>
    <n v="65656565"/>
    <n v="4153"/>
    <n v="530166"/>
    <m/>
    <s v="455788******4135"/>
    <s v="Nac"/>
    <s v="COM"/>
    <x v="18"/>
    <n v="498"/>
    <s v="Abonado"/>
    <n v="14.39"/>
    <n v="6.42"/>
    <n v="1.1599999999999999"/>
    <n v="482.45"/>
    <n v="0"/>
    <m/>
    <n v="20260420"/>
    <m/>
    <s v="DEBITO"/>
    <n v="3908900"/>
    <s v="VISA LOC"/>
    <m/>
    <s v="Yape"/>
    <d v="1899-12-30T20:44:01"/>
    <s v="HONOR MALL DEL SUR"/>
    <s v="BBVA"/>
  </r>
  <r>
    <n v="1044162"/>
    <s v="VA"/>
    <s v="A"/>
    <d v="2026-04-19T00:00:00"/>
    <d v="2026-04-19T00:00:00"/>
    <m/>
    <n v="888"/>
    <s v="PS0002"/>
    <n v="4156"/>
    <n v="264536"/>
    <m/>
    <s v="455788******5829"/>
    <s v="Nac"/>
    <s v="COM"/>
    <x v="18"/>
    <n v="1799"/>
    <s v="Abonado"/>
    <n v="51.99"/>
    <n v="23.21"/>
    <n v="4.18"/>
    <n v="1742.83"/>
    <n v="0"/>
    <m/>
    <n v="20260420"/>
    <m/>
    <s v="DEBITO"/>
    <n v="3908900"/>
    <s v="BCP"/>
    <m/>
    <m/>
    <d v="1899-12-30T20:47:12"/>
    <s v="HONOR MALL DEL SUR"/>
    <s v="BBVA"/>
  </r>
  <r>
    <n v="1044162"/>
    <s v="VA"/>
    <s v="A"/>
    <d v="2026-04-19T00:00:00"/>
    <d v="2026-04-19T00:00:00"/>
    <m/>
    <n v="888"/>
    <s v="PS0002"/>
    <n v="4158"/>
    <n v="35257"/>
    <n v="12"/>
    <s v="422052******5000"/>
    <s v="Nac"/>
    <s v="COM"/>
    <x v="18"/>
    <n v="1149"/>
    <s v="Abonado"/>
    <n v="33.21"/>
    <n v="9.08"/>
    <n v="1.63"/>
    <n v="1114.1600000000001"/>
    <n v="0"/>
    <m/>
    <n v="20260420"/>
    <m/>
    <s v="CREDITO"/>
    <n v="3908900"/>
    <s v="CSF PRIV"/>
    <s v="NO"/>
    <m/>
    <d v="1899-12-30T21:21:37"/>
    <s v="HONOR MALL DEL SUR"/>
    <s v="BBVA"/>
  </r>
  <r>
    <n v="1044162"/>
    <s v="VA"/>
    <s v="A"/>
    <d v="2026-04-19T00:00:00"/>
    <d v="2026-04-19T00:00:00"/>
    <m/>
    <n v="888"/>
    <s v="PS0002"/>
    <n v="4162"/>
    <n v="147893"/>
    <m/>
    <s v="421410******9599"/>
    <s v="Nac"/>
    <s v="COM"/>
    <x v="18"/>
    <n v="189"/>
    <s v="Abonado"/>
    <n v="5.46"/>
    <n v="2.44"/>
    <n v="0.44"/>
    <n v="183.1"/>
    <n v="17860.36"/>
    <d v="2026-04-20T00:00:00"/>
    <n v="20260420"/>
    <n v="104101"/>
    <s v="DEBITO"/>
    <n v="3908900"/>
    <s v="NACION"/>
    <m/>
    <m/>
    <d v="1899-12-30T21:35:49"/>
    <s v="HONOR MALL DEL SUR"/>
    <s v="BBVA"/>
  </r>
  <r>
    <n v="1044162"/>
    <s v="VK"/>
    <s v="A"/>
    <d v="2026-04-19T00:00:00"/>
    <d v="2026-04-19T00:00:00"/>
    <m/>
    <n v="888"/>
    <s v="PS0002"/>
    <n v="4160"/>
    <n v="9992"/>
    <m/>
    <s v="404071******2008"/>
    <s v="Nac"/>
    <s v="COM"/>
    <x v="18"/>
    <n v="629"/>
    <s v="Abonado"/>
    <n v="18.18"/>
    <n v="4.97"/>
    <n v="0.89"/>
    <n v="609.92999999999995"/>
    <n v="609.92999999999995"/>
    <d v="2026-04-20T00:00:00"/>
    <n v="20260420"/>
    <n v="104101"/>
    <s v="CREDITO"/>
    <n v="3908900"/>
    <s v="SIP MC"/>
    <m/>
    <m/>
    <d v="1899-12-30T21:26:11"/>
    <s v="HONOR MALL DEL SUR"/>
    <s v="BBVA"/>
  </r>
  <r>
    <n v="1044162"/>
    <s v="VA"/>
    <s v="A"/>
    <d v="2026-04-20T00:00:00"/>
    <d v="2026-04-20T00:00:00"/>
    <m/>
    <n v="889"/>
    <n v="65656565"/>
    <n v="4168"/>
    <n v="266987"/>
    <m/>
    <s v="421355******3627"/>
    <s v="Nac"/>
    <s v="COM"/>
    <x v="19"/>
    <n v="79"/>
    <s v="Abonado"/>
    <n v="2.2799999999999998"/>
    <n v="1.02"/>
    <n v="0.18"/>
    <n v="76.540000000000006"/>
    <n v="0"/>
    <m/>
    <n v="20260421"/>
    <m/>
    <s v="DEBITO"/>
    <n v="3908900"/>
    <s v="IBK PRIVADA"/>
    <m/>
    <s v="IBK Plin"/>
    <d v="1899-12-30T11:08:52"/>
    <s v="HONOR MALL DEL SUR"/>
    <s v="BBVA"/>
  </r>
  <r>
    <n v="1044162"/>
    <s v="VA"/>
    <s v="A"/>
    <d v="2026-04-20T00:00:00"/>
    <d v="2026-04-20T00:00:00"/>
    <m/>
    <n v="889"/>
    <s v="PS0002"/>
    <n v="4171"/>
    <n v="924571"/>
    <m/>
    <s v="455788******0216"/>
    <s v="Nac"/>
    <s v="COM"/>
    <x v="19"/>
    <n v="114.9"/>
    <s v="Abonado"/>
    <n v="3.32"/>
    <n v="1.48"/>
    <n v="0.27"/>
    <n v="111.31"/>
    <n v="0"/>
    <m/>
    <n v="20260421"/>
    <m/>
    <s v="DEBITO"/>
    <n v="3908900"/>
    <s v="BCP"/>
    <m/>
    <m/>
    <d v="1899-12-30T11:44:16"/>
    <s v="HONOR MALL DEL SUR"/>
    <s v="BBVA"/>
  </r>
  <r>
    <n v="1044162"/>
    <s v="VA"/>
    <s v="A"/>
    <d v="2026-04-20T00:00:00"/>
    <d v="2026-04-20T00:00:00"/>
    <m/>
    <n v="889"/>
    <s v="PS0002"/>
    <n v="4173"/>
    <n v="221446"/>
    <n v="2"/>
    <s v="447409******5974"/>
    <s v="Nac"/>
    <s v="COM"/>
    <x v="19"/>
    <n v="629"/>
    <s v="Abonado"/>
    <n v="18.18"/>
    <n v="4.97"/>
    <n v="0.89"/>
    <n v="609.92999999999995"/>
    <n v="0"/>
    <m/>
    <n v="20260421"/>
    <m/>
    <s v="CREDITO"/>
    <n v="3908900"/>
    <s v="BFALABELLA"/>
    <s v="NO"/>
    <m/>
    <d v="1899-12-30T12:11:12"/>
    <s v="HONOR MALL DEL SUR"/>
    <s v="BBVA"/>
  </r>
  <r>
    <n v="1044162"/>
    <s v="VA"/>
    <s v="A"/>
    <d v="2026-04-20T00:00:00"/>
    <d v="2026-04-20T00:00:00"/>
    <m/>
    <n v="889"/>
    <s v="PS0002"/>
    <n v="4175"/>
    <n v="224755"/>
    <m/>
    <s v="447409******5974"/>
    <s v="Nac"/>
    <s v="COM"/>
    <x v="19"/>
    <n v="158"/>
    <s v="Abonado"/>
    <n v="4.57"/>
    <n v="1.25"/>
    <n v="0.23"/>
    <n v="153.19999999999999"/>
    <n v="0"/>
    <m/>
    <n v="20260421"/>
    <m/>
    <s v="CREDITO"/>
    <n v="3908900"/>
    <s v="BFALABELLA"/>
    <m/>
    <m/>
    <d v="1899-12-30T12:21:06"/>
    <s v="HONOR MALL DEL SUR"/>
    <s v="BBVA"/>
  </r>
  <r>
    <n v="1044162"/>
    <s v="VA"/>
    <s v="A"/>
    <d v="2026-04-20T00:00:00"/>
    <d v="2026-04-20T00:00:00"/>
    <m/>
    <n v="889"/>
    <s v="PS0002"/>
    <n v="4177"/>
    <n v="353887"/>
    <m/>
    <s v="455788******8653"/>
    <s v="Nac"/>
    <s v="COM"/>
    <x v="19"/>
    <n v="79.8"/>
    <s v="Abonado"/>
    <n v="2.31"/>
    <n v="1.03"/>
    <n v="0.19"/>
    <n v="77.3"/>
    <n v="0"/>
    <m/>
    <n v="20260421"/>
    <m/>
    <s v="DEBITO"/>
    <n v="3908900"/>
    <s v="VISA LOC"/>
    <m/>
    <m/>
    <d v="1899-12-30T13:17:35"/>
    <s v="HONOR MALL DEL SUR"/>
    <s v="BBVA"/>
  </r>
  <r>
    <n v="1044162"/>
    <s v="VA"/>
    <s v="A"/>
    <d v="2026-04-20T00:00:00"/>
    <d v="2026-04-20T00:00:00"/>
    <m/>
    <n v="889"/>
    <s v="PS0002"/>
    <n v="4188"/>
    <n v="234155"/>
    <m/>
    <s v="455788******2202"/>
    <s v="Nac"/>
    <s v="COM"/>
    <x v="19"/>
    <n v="568"/>
    <s v="Abonado"/>
    <n v="16.420000000000002"/>
    <n v="7.33"/>
    <n v="1.32"/>
    <n v="550.26"/>
    <n v="0"/>
    <m/>
    <n v="20260421"/>
    <m/>
    <s v="DEBITO"/>
    <n v="3908900"/>
    <s v="BCP"/>
    <m/>
    <m/>
    <d v="1899-12-30T15:43:02"/>
    <s v="HONOR MALL DEL SUR"/>
    <s v="BBVA"/>
  </r>
  <r>
    <n v="1044162"/>
    <s v="VA"/>
    <s v="A"/>
    <d v="2026-04-20T00:00:00"/>
    <d v="2026-04-20T00:00:00"/>
    <m/>
    <n v="889"/>
    <s v="PS0002"/>
    <n v="4190"/>
    <n v="672668"/>
    <m/>
    <s v="455788******4557"/>
    <s v="Nac"/>
    <s v="COM"/>
    <x v="19"/>
    <n v="568"/>
    <s v="Abonado"/>
    <n v="16.420000000000002"/>
    <n v="7.33"/>
    <n v="1.32"/>
    <n v="550.26"/>
    <n v="0"/>
    <m/>
    <n v="20260421"/>
    <m/>
    <s v="DEBITO"/>
    <n v="3908900"/>
    <s v="BCP"/>
    <m/>
    <m/>
    <d v="1899-12-30T16:32:47"/>
    <s v="HONOR MALL DEL SUR"/>
    <s v="BBVA"/>
  </r>
  <r>
    <n v="1044162"/>
    <s v="VA"/>
    <s v="A"/>
    <d v="2026-04-20T00:00:00"/>
    <d v="2026-04-20T00:00:00"/>
    <m/>
    <n v="889"/>
    <s v="PS0002"/>
    <n v="4192"/>
    <n v="661243"/>
    <n v="3"/>
    <s v="491909******5730"/>
    <s v="Nac"/>
    <s v="COM"/>
    <x v="19"/>
    <n v="1099"/>
    <s v="Abonado"/>
    <n v="50.99"/>
    <n v="8.68"/>
    <n v="1.56"/>
    <n v="1046.45"/>
    <n v="0"/>
    <m/>
    <n v="20260421"/>
    <m/>
    <s v="CREDITO"/>
    <n v="3908900"/>
    <s v="BBVA"/>
    <s v="SI"/>
    <m/>
    <d v="1899-12-30T16:36:22"/>
    <s v="HONOR MALL DEL SUR"/>
    <s v="BBVA"/>
  </r>
  <r>
    <n v="1044162"/>
    <s v="VA"/>
    <s v="A"/>
    <d v="2026-04-20T00:00:00"/>
    <d v="2026-04-20T00:00:00"/>
    <m/>
    <n v="889"/>
    <s v="PS0002"/>
    <n v="4194"/>
    <n v="490080"/>
    <m/>
    <s v="455788******6799"/>
    <s v="Nac"/>
    <s v="COM"/>
    <x v="19"/>
    <n v="149"/>
    <s v="Abonado"/>
    <n v="4.3099999999999996"/>
    <n v="1.93"/>
    <n v="0.35"/>
    <n v="144.34"/>
    <n v="0"/>
    <m/>
    <n v="20260421"/>
    <m/>
    <s v="DEBITO"/>
    <n v="3908900"/>
    <s v="BCP"/>
    <m/>
    <m/>
    <d v="1899-12-30T17:26:00"/>
    <s v="HONOR MALL DEL SUR"/>
    <s v="BBVA"/>
  </r>
  <r>
    <n v="1044162"/>
    <s v="VA"/>
    <s v="A"/>
    <d v="2026-04-20T00:00:00"/>
    <d v="2026-04-20T00:00:00"/>
    <m/>
    <n v="889"/>
    <s v="PS0002"/>
    <n v="4196"/>
    <n v="765695"/>
    <m/>
    <s v="491257******4245"/>
    <s v="Nac"/>
    <s v="COM"/>
    <x v="19"/>
    <n v="179"/>
    <s v="Abonado"/>
    <n v="5.17"/>
    <n v="2.31"/>
    <n v="0.42"/>
    <n v="173.41"/>
    <n v="0"/>
    <m/>
    <n v="20260421"/>
    <m/>
    <s v="DEBITO"/>
    <n v="3908900"/>
    <s v="BCP"/>
    <m/>
    <m/>
    <d v="1899-12-30T17:28:44"/>
    <s v="HONOR MALL DEL SUR"/>
    <s v="BBVA"/>
  </r>
  <r>
    <n v="1044162"/>
    <s v="VA"/>
    <s v="A"/>
    <d v="2026-04-20T00:00:00"/>
    <d v="2026-04-20T00:00:00"/>
    <m/>
    <n v="889"/>
    <s v="PS0002"/>
    <n v="4198"/>
    <n v="4231"/>
    <n v="3"/>
    <s v="463402******8539"/>
    <s v="Nac"/>
    <s v="COM"/>
    <x v="19"/>
    <n v="629"/>
    <s v="Abonado"/>
    <n v="18.18"/>
    <n v="4.97"/>
    <n v="0.89"/>
    <n v="609.92999999999995"/>
    <n v="0"/>
    <m/>
    <n v="20260421"/>
    <m/>
    <s v="CREDITO"/>
    <n v="3908900"/>
    <s v="BCP"/>
    <s v="NO"/>
    <m/>
    <d v="1899-12-30T18:11:05"/>
    <s v="HONOR MALL DEL SUR"/>
    <s v="BBVA"/>
  </r>
  <r>
    <n v="1044162"/>
    <s v="VA"/>
    <s v="A"/>
    <d v="2026-04-20T00:00:00"/>
    <d v="2026-04-20T00:00:00"/>
    <m/>
    <n v="889"/>
    <s v="PS0002"/>
    <n v="4204"/>
    <n v="173964"/>
    <n v="4"/>
    <s v="455696******4237"/>
    <s v="Nac"/>
    <s v="COM"/>
    <x v="19"/>
    <n v="1749"/>
    <s v="Abonado"/>
    <n v="50.55"/>
    <n v="10.32"/>
    <n v="1.86"/>
    <n v="1696.59"/>
    <n v="0"/>
    <m/>
    <n v="20260421"/>
    <m/>
    <s v="CREDITO"/>
    <n v="3908900"/>
    <s v="IBK PRIVADA"/>
    <s v="NO"/>
    <m/>
    <d v="1899-12-30T18:17:31"/>
    <s v="HONOR MALL DEL SUR"/>
    <s v="BBVA"/>
  </r>
  <r>
    <n v="1044162"/>
    <s v="VA"/>
    <s v="A"/>
    <d v="2026-04-20T00:00:00"/>
    <d v="2026-04-20T00:00:00"/>
    <m/>
    <n v="889"/>
    <s v="PS0002"/>
    <n v="4206"/>
    <n v="903228"/>
    <m/>
    <s v="455788******2208"/>
    <s v="Nac"/>
    <s v="COM"/>
    <x v="19"/>
    <n v="459"/>
    <s v="Abonado"/>
    <n v="13.27"/>
    <n v="5.93"/>
    <n v="1.07"/>
    <n v="444.66"/>
    <n v="0"/>
    <m/>
    <n v="20260421"/>
    <m/>
    <s v="DEBITO"/>
    <n v="3908900"/>
    <s v="BCP"/>
    <m/>
    <m/>
    <d v="1899-12-30T18:40:04"/>
    <s v="HONOR MALL DEL SUR"/>
    <s v="BBVA"/>
  </r>
  <r>
    <n v="1044162"/>
    <s v="VA"/>
    <s v="A"/>
    <d v="2026-04-20T00:00:00"/>
    <d v="2026-04-20T00:00:00"/>
    <m/>
    <n v="889"/>
    <s v="PS0002"/>
    <n v="4209"/>
    <n v="751903"/>
    <m/>
    <s v="455788******8201"/>
    <s v="Nac"/>
    <s v="COM"/>
    <x v="19"/>
    <n v="1000"/>
    <s v="Abonado"/>
    <n v="28.9"/>
    <n v="12.9"/>
    <n v="2.3199999999999998"/>
    <n v="968.78"/>
    <n v="0"/>
    <m/>
    <n v="20260421"/>
    <m/>
    <s v="DEBITO"/>
    <n v="3908900"/>
    <s v="BCP"/>
    <m/>
    <m/>
    <d v="1899-12-30T20:18:25"/>
    <s v="HONOR MALL DEL SUR"/>
    <s v="BBVA"/>
  </r>
  <r>
    <n v="1044162"/>
    <s v="VA"/>
    <s v="A"/>
    <d v="2026-04-20T00:00:00"/>
    <d v="2026-04-20T00:00:00"/>
    <m/>
    <n v="889"/>
    <n v="65656565"/>
    <n v="4213"/>
    <n v="118400"/>
    <m/>
    <s v="455788******9993"/>
    <s v="Nac"/>
    <s v="COM"/>
    <x v="19"/>
    <n v="500"/>
    <s v="Abonado"/>
    <n v="14.45"/>
    <n v="6.45"/>
    <n v="1.1599999999999999"/>
    <n v="484.39"/>
    <n v="0"/>
    <m/>
    <n v="20260421"/>
    <m/>
    <s v="DEBITO"/>
    <n v="3908900"/>
    <s v="BCP"/>
    <m/>
    <s v="Yape"/>
    <d v="1899-12-30T20:28:11"/>
    <s v="HONOR MALL DEL SUR"/>
    <s v="BBVA"/>
  </r>
  <r>
    <n v="1044162"/>
    <s v="VA"/>
    <s v="A"/>
    <d v="2026-04-20T00:00:00"/>
    <d v="2026-04-20T00:00:00"/>
    <m/>
    <n v="889"/>
    <n v="65656565"/>
    <n v="4216"/>
    <n v="849284"/>
    <m/>
    <s v="455788******9993"/>
    <s v="Nac"/>
    <s v="COM"/>
    <x v="19"/>
    <n v="249"/>
    <s v="Abonado"/>
    <n v="7.19"/>
    <n v="3.21"/>
    <n v="0.57999999999999996"/>
    <n v="241.23"/>
    <n v="7938.58"/>
    <d v="2026-04-21T00:00:00"/>
    <n v="20260421"/>
    <m/>
    <s v="DEBITO"/>
    <n v="3908900"/>
    <s v="BCP"/>
    <m/>
    <s v="Yape"/>
    <d v="1899-12-30T20:29:05"/>
    <s v="HONOR MALL DEL SUR"/>
    <s v="BB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B0F40-38DA-4A74-9A77-4F0EAB87B034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J1:AK22" firstHeaderRow="1" firstDataRow="1" firstDataCol="1"/>
  <pivotFields count="33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numFmtId="43" showAll="0"/>
    <pivotField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1" showAll="0"/>
    <pivotField showAll="0"/>
    <pivotField showAll="0"/>
  </pivotFields>
  <rowFields count="1">
    <field x="1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Import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3EEDF-066C-4C65-BAA2-D82CD975C591}" name="TablaDiná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B1:AC10" firstHeaderRow="1" firstDataRow="1" firstDataCol="1"/>
  <pivotFields count="24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m="1" x="17"/>
        <item m="1" x="10"/>
        <item m="1" x="13"/>
        <item m="1" x="20"/>
        <item m="1" x="16"/>
        <item m="1" x="14"/>
        <item m="1" x="8"/>
        <item m="1" x="11"/>
        <item m="1" x="18"/>
        <item m="1" x="9"/>
        <item m="1" x="12"/>
        <item m="1" x="19"/>
        <item m="1" x="15"/>
        <item x="0"/>
        <item x="2"/>
        <item x="3"/>
        <item x="4"/>
        <item x="5"/>
        <item x="6"/>
        <item x="7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9"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a de Import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A8D6F-8D42-454D-B147-C945A55BD2D6}" name="TablaDinámica5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C1:AD7" firstHeaderRow="1" firstDataRow="1" firstDataCol="1"/>
  <pivotFields count="26"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numFmtId="14" showAll="0">
      <items count="18">
        <item m="1" x="8"/>
        <item m="1" x="15"/>
        <item m="1" x="6"/>
        <item m="1" x="10"/>
        <item m="1" x="11"/>
        <item m="1" x="7"/>
        <item m="1" x="14"/>
        <item m="1" x="13"/>
        <item m="1" x="12"/>
        <item m="1" x="5"/>
        <item m="1" x="9"/>
        <item m="1" x="16"/>
        <item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3"/>
  </rowFields>
  <rowItems count="6"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a de Importe del consumo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E464-E3E5-474F-AAF3-F313A52E6B8E}">
  <dimension ref="A1:AD32"/>
  <sheetViews>
    <sheetView zoomScale="95" zoomScaleNormal="95" workbookViewId="0">
      <selection activeCell="E25" sqref="E25"/>
    </sheetView>
  </sheetViews>
  <sheetFormatPr baseColWidth="10" defaultRowHeight="14.4" x14ac:dyDescent="0.3"/>
  <cols>
    <col min="3" max="3" width="23.5546875" bestFit="1" customWidth="1"/>
    <col min="4" max="4" width="13.5546875" bestFit="1" customWidth="1"/>
    <col min="7" max="7" width="12.44140625" bestFit="1" customWidth="1"/>
  </cols>
  <sheetData>
    <row r="1" spans="1:30" s="1" customFormat="1" ht="57.6" x14ac:dyDescent="0.3">
      <c r="A1" s="142" t="s">
        <v>0</v>
      </c>
      <c r="B1" s="142" t="s">
        <v>1</v>
      </c>
      <c r="C1" s="142" t="s">
        <v>2</v>
      </c>
      <c r="D1" s="143" t="s">
        <v>35</v>
      </c>
      <c r="E1" s="143" t="s">
        <v>3</v>
      </c>
      <c r="F1" s="143" t="s">
        <v>4</v>
      </c>
      <c r="G1" s="143" t="s">
        <v>82</v>
      </c>
      <c r="H1" s="143" t="s">
        <v>36</v>
      </c>
      <c r="I1" s="143" t="s">
        <v>83</v>
      </c>
      <c r="J1" s="143" t="s">
        <v>7</v>
      </c>
      <c r="K1" s="143" t="s">
        <v>8</v>
      </c>
      <c r="L1" s="143" t="s">
        <v>9</v>
      </c>
      <c r="M1" s="143" t="s">
        <v>10</v>
      </c>
      <c r="N1" s="143" t="s">
        <v>11</v>
      </c>
      <c r="O1" s="143" t="s">
        <v>12</v>
      </c>
      <c r="P1" s="143" t="s">
        <v>13</v>
      </c>
      <c r="Q1" s="143" t="s">
        <v>14</v>
      </c>
      <c r="R1" s="143" t="s">
        <v>15</v>
      </c>
      <c r="S1" s="143" t="s">
        <v>16</v>
      </c>
      <c r="T1" s="143" t="s">
        <v>17</v>
      </c>
      <c r="U1" s="143" t="s">
        <v>18</v>
      </c>
      <c r="V1" s="143" t="s">
        <v>19</v>
      </c>
      <c r="W1" s="143" t="s">
        <v>21</v>
      </c>
      <c r="X1" s="143" t="s">
        <v>37</v>
      </c>
      <c r="Y1" s="143" t="s">
        <v>20</v>
      </c>
      <c r="Z1" s="143" t="s">
        <v>38</v>
      </c>
      <c r="AA1" s="143" t="s">
        <v>22</v>
      </c>
      <c r="AB1" s="144"/>
      <c r="AC1" s="144"/>
      <c r="AD1" s="144"/>
    </row>
    <row r="2" spans="1:30" x14ac:dyDescent="0.3">
      <c r="A2" s="2">
        <v>46113</v>
      </c>
      <c r="B2" t="s">
        <v>157</v>
      </c>
      <c r="C2" t="s">
        <v>141</v>
      </c>
      <c r="D2" s="106">
        <v>18563.169999999998</v>
      </c>
      <c r="E2" s="106">
        <v>0</v>
      </c>
      <c r="F2" s="145">
        <v>747</v>
      </c>
      <c r="G2" s="106">
        <v>15387.07</v>
      </c>
      <c r="H2" s="106">
        <v>459</v>
      </c>
      <c r="I2" s="106">
        <v>0</v>
      </c>
      <c r="J2" s="106">
        <v>0</v>
      </c>
      <c r="K2" s="106">
        <v>0</v>
      </c>
      <c r="L2" s="106">
        <v>0</v>
      </c>
      <c r="M2" s="106">
        <v>0</v>
      </c>
      <c r="N2" s="106">
        <v>0</v>
      </c>
      <c r="O2" s="106">
        <v>0</v>
      </c>
      <c r="P2" s="106">
        <v>0</v>
      </c>
      <c r="Q2" s="106">
        <v>0</v>
      </c>
      <c r="R2" s="106">
        <v>0</v>
      </c>
      <c r="S2" s="106">
        <v>0</v>
      </c>
      <c r="T2" s="106">
        <v>0</v>
      </c>
      <c r="U2" s="106">
        <v>0</v>
      </c>
      <c r="V2" s="106">
        <v>1970.1</v>
      </c>
      <c r="W2" s="106">
        <v>0</v>
      </c>
      <c r="X2" s="106">
        <v>0</v>
      </c>
      <c r="Y2" s="106">
        <v>0</v>
      </c>
      <c r="Z2" s="106">
        <v>0</v>
      </c>
      <c r="AA2" s="106">
        <v>36379.339999999997</v>
      </c>
    </row>
    <row r="3" spans="1:30" x14ac:dyDescent="0.3">
      <c r="A3" s="2">
        <v>46114</v>
      </c>
      <c r="B3" t="s">
        <v>157</v>
      </c>
      <c r="C3" t="s">
        <v>141</v>
      </c>
      <c r="D3" s="106">
        <v>40303.9</v>
      </c>
      <c r="E3" s="106">
        <v>0</v>
      </c>
      <c r="F3" s="145">
        <v>3985</v>
      </c>
      <c r="G3" s="106">
        <v>23291.4</v>
      </c>
      <c r="H3" s="106">
        <v>3247</v>
      </c>
      <c r="I3" s="106">
        <v>0</v>
      </c>
      <c r="J3" s="106">
        <v>0</v>
      </c>
      <c r="K3" s="106">
        <v>0</v>
      </c>
      <c r="L3" s="106">
        <v>0</v>
      </c>
      <c r="M3" s="106">
        <v>0</v>
      </c>
      <c r="N3" s="106">
        <v>0</v>
      </c>
      <c r="O3" s="106">
        <v>0</v>
      </c>
      <c r="P3" s="106">
        <v>0</v>
      </c>
      <c r="Q3" s="106">
        <v>0</v>
      </c>
      <c r="R3" s="106">
        <v>0</v>
      </c>
      <c r="S3" s="106">
        <v>0</v>
      </c>
      <c r="T3" s="106">
        <v>0</v>
      </c>
      <c r="U3" s="106">
        <v>0</v>
      </c>
      <c r="V3" s="106">
        <v>9780.5</v>
      </c>
      <c r="W3" s="106">
        <v>0</v>
      </c>
      <c r="X3" s="106">
        <v>0</v>
      </c>
      <c r="Y3" s="106">
        <v>0</v>
      </c>
      <c r="Z3" s="106">
        <v>0</v>
      </c>
      <c r="AA3" s="106">
        <v>76622.8</v>
      </c>
    </row>
    <row r="4" spans="1:30" x14ac:dyDescent="0.3">
      <c r="A4" s="2">
        <v>46115</v>
      </c>
      <c r="B4" t="s">
        <v>157</v>
      </c>
      <c r="C4" t="s">
        <v>141</v>
      </c>
      <c r="D4" s="106">
        <v>15744</v>
      </c>
      <c r="E4" s="106">
        <v>0</v>
      </c>
      <c r="F4" s="145">
        <v>688</v>
      </c>
      <c r="G4" s="106">
        <v>13047.9</v>
      </c>
      <c r="H4" s="106">
        <v>89</v>
      </c>
      <c r="I4" s="106">
        <v>0</v>
      </c>
      <c r="J4" s="106">
        <v>0</v>
      </c>
      <c r="K4" s="106">
        <v>0</v>
      </c>
      <c r="L4" s="106">
        <v>0</v>
      </c>
      <c r="M4" s="106">
        <v>0</v>
      </c>
      <c r="N4" s="106">
        <v>0</v>
      </c>
      <c r="O4" s="106">
        <v>0</v>
      </c>
      <c r="P4" s="106">
        <v>0</v>
      </c>
      <c r="Q4" s="106">
        <v>0</v>
      </c>
      <c r="R4" s="106">
        <v>0</v>
      </c>
      <c r="S4" s="106">
        <v>0</v>
      </c>
      <c r="T4" s="106">
        <v>0</v>
      </c>
      <c r="U4" s="106">
        <v>0</v>
      </c>
      <c r="V4" s="106">
        <v>1919.1</v>
      </c>
      <c r="W4" s="106">
        <v>0</v>
      </c>
      <c r="X4" s="106">
        <v>0</v>
      </c>
      <c r="Y4" s="106">
        <v>0</v>
      </c>
      <c r="Z4" s="106">
        <v>0</v>
      </c>
      <c r="AA4" s="106">
        <v>30800</v>
      </c>
    </row>
    <row r="5" spans="1:30" x14ac:dyDescent="0.3">
      <c r="A5" s="2">
        <v>46116</v>
      </c>
      <c r="B5" t="s">
        <v>157</v>
      </c>
      <c r="C5" t="s">
        <v>141</v>
      </c>
      <c r="D5" s="106">
        <v>21848</v>
      </c>
      <c r="E5" s="106">
        <v>0</v>
      </c>
      <c r="F5" s="145">
        <v>7937.8</v>
      </c>
      <c r="G5" s="106">
        <v>12991</v>
      </c>
      <c r="H5" s="106">
        <v>0</v>
      </c>
      <c r="I5" s="106">
        <v>0</v>
      </c>
      <c r="J5" s="106">
        <v>0</v>
      </c>
      <c r="K5" s="106">
        <v>0</v>
      </c>
      <c r="L5" s="106">
        <v>0</v>
      </c>
      <c r="M5" s="106">
        <v>0</v>
      </c>
      <c r="N5" s="106">
        <v>0</v>
      </c>
      <c r="O5" s="106">
        <v>0</v>
      </c>
      <c r="P5" s="106">
        <v>0</v>
      </c>
      <c r="Q5" s="106">
        <v>0</v>
      </c>
      <c r="R5" s="106">
        <v>0</v>
      </c>
      <c r="S5" s="106">
        <v>0</v>
      </c>
      <c r="T5" s="106">
        <v>0</v>
      </c>
      <c r="U5" s="106">
        <v>0</v>
      </c>
      <c r="V5" s="106">
        <v>919.2</v>
      </c>
      <c r="W5" s="106">
        <v>0</v>
      </c>
      <c r="X5" s="106">
        <v>0</v>
      </c>
      <c r="Y5" s="106">
        <v>0</v>
      </c>
      <c r="Z5" s="106">
        <v>0</v>
      </c>
      <c r="AA5" s="106">
        <v>35758.199999999997</v>
      </c>
    </row>
    <row r="6" spans="1:30" s="29" customFormat="1" x14ac:dyDescent="0.3">
      <c r="A6" s="2">
        <v>46117</v>
      </c>
      <c r="B6" t="s">
        <v>157</v>
      </c>
      <c r="C6" t="s">
        <v>141</v>
      </c>
      <c r="D6" s="106">
        <v>25216</v>
      </c>
      <c r="E6" s="106">
        <v>0</v>
      </c>
      <c r="F6" s="145">
        <v>7533.8</v>
      </c>
      <c r="G6" s="106">
        <v>15623</v>
      </c>
      <c r="H6" s="106">
        <v>0</v>
      </c>
      <c r="I6" s="106">
        <v>0</v>
      </c>
      <c r="J6" s="106">
        <v>0</v>
      </c>
      <c r="K6" s="106">
        <v>0</v>
      </c>
      <c r="L6" s="106">
        <v>0</v>
      </c>
      <c r="M6" s="106">
        <v>0</v>
      </c>
      <c r="N6" s="106">
        <v>0</v>
      </c>
      <c r="O6" s="106">
        <v>0</v>
      </c>
      <c r="P6" s="106">
        <v>0</v>
      </c>
      <c r="Q6" s="106">
        <v>0</v>
      </c>
      <c r="R6" s="106">
        <v>0</v>
      </c>
      <c r="S6" s="106">
        <v>0</v>
      </c>
      <c r="T6" s="106">
        <v>0</v>
      </c>
      <c r="U6" s="106">
        <v>0</v>
      </c>
      <c r="V6" s="106">
        <v>2059.1999999999998</v>
      </c>
      <c r="W6" s="106">
        <v>0</v>
      </c>
      <c r="X6" s="106">
        <v>0</v>
      </c>
      <c r="Y6" s="106">
        <v>0</v>
      </c>
      <c r="Z6" s="106">
        <v>0</v>
      </c>
      <c r="AA6" s="106">
        <v>42898.2</v>
      </c>
      <c r="AB6"/>
      <c r="AC6"/>
      <c r="AD6"/>
    </row>
    <row r="7" spans="1:30" s="29" customFormat="1" x14ac:dyDescent="0.3">
      <c r="A7" s="2">
        <v>46118</v>
      </c>
      <c r="B7" t="s">
        <v>157</v>
      </c>
      <c r="C7" t="s">
        <v>141</v>
      </c>
      <c r="D7" s="106">
        <v>31530.7</v>
      </c>
      <c r="E7" s="106">
        <v>0</v>
      </c>
      <c r="F7" s="145">
        <v>6373.7</v>
      </c>
      <c r="G7" s="106">
        <v>20075.849999999999</v>
      </c>
      <c r="H7" s="106">
        <v>0</v>
      </c>
      <c r="I7" s="106">
        <v>0</v>
      </c>
      <c r="J7" s="106">
        <v>0</v>
      </c>
      <c r="K7" s="106">
        <v>0</v>
      </c>
      <c r="L7" s="106">
        <v>0</v>
      </c>
      <c r="M7" s="106">
        <v>0</v>
      </c>
      <c r="N7" s="106">
        <v>0</v>
      </c>
      <c r="O7" s="106">
        <v>0</v>
      </c>
      <c r="P7" s="106">
        <v>0</v>
      </c>
      <c r="Q7" s="106">
        <v>0</v>
      </c>
      <c r="R7" s="106">
        <v>0</v>
      </c>
      <c r="S7" s="106">
        <v>0</v>
      </c>
      <c r="T7" s="106">
        <v>0</v>
      </c>
      <c r="U7" s="106">
        <v>0</v>
      </c>
      <c r="V7" s="106">
        <v>5081.1499999999996</v>
      </c>
      <c r="W7" s="106">
        <v>0</v>
      </c>
      <c r="X7" s="106">
        <v>0</v>
      </c>
      <c r="Y7" s="106">
        <v>0</v>
      </c>
      <c r="Z7" s="106">
        <v>0</v>
      </c>
      <c r="AA7" s="106">
        <v>56687.7</v>
      </c>
      <c r="AB7"/>
      <c r="AC7"/>
      <c r="AD7"/>
    </row>
    <row r="8" spans="1:30" s="29" customFormat="1" x14ac:dyDescent="0.3">
      <c r="A8" s="2">
        <v>46119</v>
      </c>
      <c r="B8" t="s">
        <v>157</v>
      </c>
      <c r="C8" t="s">
        <v>141</v>
      </c>
      <c r="D8" s="106">
        <v>18051</v>
      </c>
      <c r="E8" s="106">
        <v>0</v>
      </c>
      <c r="F8" s="145">
        <v>784</v>
      </c>
      <c r="G8" s="106">
        <v>14261.5</v>
      </c>
      <c r="H8" s="106">
        <v>1399</v>
      </c>
      <c r="I8" s="106">
        <v>0</v>
      </c>
      <c r="J8" s="106">
        <v>0</v>
      </c>
      <c r="K8" s="106">
        <v>0</v>
      </c>
      <c r="L8" s="106">
        <v>0</v>
      </c>
      <c r="M8" s="106">
        <v>0</v>
      </c>
      <c r="N8" s="106">
        <v>0</v>
      </c>
      <c r="O8" s="106">
        <v>0</v>
      </c>
      <c r="P8" s="106">
        <v>0</v>
      </c>
      <c r="Q8" s="106">
        <v>0</v>
      </c>
      <c r="R8" s="106">
        <v>0</v>
      </c>
      <c r="S8" s="106">
        <v>0</v>
      </c>
      <c r="T8" s="106">
        <v>0</v>
      </c>
      <c r="U8" s="106">
        <v>0</v>
      </c>
      <c r="V8" s="106">
        <v>1606.5</v>
      </c>
      <c r="W8" s="106">
        <v>0</v>
      </c>
      <c r="X8" s="106">
        <v>0</v>
      </c>
      <c r="Y8" s="106">
        <v>0</v>
      </c>
      <c r="Z8" s="106">
        <v>0</v>
      </c>
      <c r="AA8" s="106">
        <v>35318</v>
      </c>
      <c r="AB8"/>
      <c r="AC8"/>
      <c r="AD8"/>
    </row>
    <row r="9" spans="1:30" s="29" customFormat="1" x14ac:dyDescent="0.3">
      <c r="A9" s="2">
        <v>46120</v>
      </c>
      <c r="B9" t="s">
        <v>157</v>
      </c>
      <c r="C9" t="s">
        <v>141</v>
      </c>
      <c r="D9" s="106">
        <v>24613</v>
      </c>
      <c r="E9" s="106">
        <v>0</v>
      </c>
      <c r="F9" s="145">
        <v>2697</v>
      </c>
      <c r="G9" s="106">
        <v>16828.599999999999</v>
      </c>
      <c r="H9" s="106">
        <v>0</v>
      </c>
      <c r="I9" s="106">
        <v>0</v>
      </c>
      <c r="J9" s="106">
        <v>0</v>
      </c>
      <c r="K9" s="106">
        <v>0</v>
      </c>
      <c r="L9" s="106">
        <v>0</v>
      </c>
      <c r="M9" s="106">
        <v>0</v>
      </c>
      <c r="N9" s="106">
        <v>0</v>
      </c>
      <c r="O9" s="106">
        <v>0</v>
      </c>
      <c r="P9" s="106">
        <v>0</v>
      </c>
      <c r="Q9" s="106">
        <v>0</v>
      </c>
      <c r="R9" s="106">
        <v>0</v>
      </c>
      <c r="S9" s="106">
        <v>0</v>
      </c>
      <c r="T9" s="106">
        <v>0</v>
      </c>
      <c r="U9" s="106">
        <v>0</v>
      </c>
      <c r="V9" s="106">
        <v>3938.4</v>
      </c>
      <c r="W9" s="106">
        <v>0</v>
      </c>
      <c r="X9" s="106">
        <v>0</v>
      </c>
      <c r="Y9" s="106">
        <v>1149</v>
      </c>
      <c r="Z9" s="106">
        <v>0</v>
      </c>
      <c r="AA9" s="106">
        <v>46529</v>
      </c>
      <c r="AB9"/>
      <c r="AC9"/>
      <c r="AD9"/>
    </row>
    <row r="10" spans="1:30" x14ac:dyDescent="0.3">
      <c r="A10" s="2">
        <v>46121</v>
      </c>
      <c r="B10" t="s">
        <v>157</v>
      </c>
      <c r="C10" t="s">
        <v>141</v>
      </c>
      <c r="D10" s="106">
        <v>18270</v>
      </c>
      <c r="E10" s="106">
        <v>0</v>
      </c>
      <c r="F10" s="145">
        <v>3218</v>
      </c>
      <c r="G10" s="106">
        <v>15052</v>
      </c>
      <c r="H10" s="106">
        <v>0</v>
      </c>
      <c r="I10" s="106">
        <v>0</v>
      </c>
      <c r="J10" s="106">
        <v>0</v>
      </c>
      <c r="K10" s="106">
        <v>0</v>
      </c>
      <c r="L10" s="106">
        <v>0</v>
      </c>
      <c r="M10" s="106">
        <v>0</v>
      </c>
      <c r="N10" s="106">
        <v>0</v>
      </c>
      <c r="O10" s="106">
        <v>0</v>
      </c>
      <c r="P10" s="106">
        <v>0</v>
      </c>
      <c r="Q10" s="106">
        <v>0</v>
      </c>
      <c r="R10" s="106">
        <v>0</v>
      </c>
      <c r="S10" s="106">
        <v>0</v>
      </c>
      <c r="T10" s="106">
        <v>0</v>
      </c>
      <c r="U10" s="106">
        <v>0</v>
      </c>
      <c r="V10" s="106">
        <v>0</v>
      </c>
      <c r="W10" s="106">
        <v>0</v>
      </c>
      <c r="X10" s="106">
        <v>0</v>
      </c>
      <c r="Y10" s="106">
        <v>0</v>
      </c>
      <c r="Z10" s="106">
        <v>0</v>
      </c>
      <c r="AA10" s="106">
        <v>33322</v>
      </c>
    </row>
    <row r="11" spans="1:30" x14ac:dyDescent="0.3">
      <c r="A11" s="2">
        <v>46122</v>
      </c>
      <c r="B11" t="s">
        <v>157</v>
      </c>
      <c r="C11" t="s">
        <v>141</v>
      </c>
      <c r="D11" s="106">
        <v>20949</v>
      </c>
      <c r="E11" s="106">
        <v>0</v>
      </c>
      <c r="F11" s="145">
        <v>757</v>
      </c>
      <c r="G11" s="106">
        <v>15721.45</v>
      </c>
      <c r="H11" s="106">
        <v>0</v>
      </c>
      <c r="I11" s="106">
        <v>0</v>
      </c>
      <c r="J11" s="106">
        <v>0</v>
      </c>
      <c r="K11" s="106">
        <v>0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106">
        <v>0</v>
      </c>
      <c r="R11" s="106">
        <v>0</v>
      </c>
      <c r="S11" s="106">
        <v>0</v>
      </c>
      <c r="T11" s="106">
        <v>0</v>
      </c>
      <c r="U11" s="106">
        <v>0</v>
      </c>
      <c r="V11" s="106">
        <v>3472.55</v>
      </c>
      <c r="W11" s="106">
        <v>0</v>
      </c>
      <c r="X11" s="106">
        <v>0</v>
      </c>
      <c r="Y11" s="106">
        <v>998</v>
      </c>
      <c r="Z11" s="106">
        <v>0</v>
      </c>
      <c r="AA11" s="106">
        <v>41141</v>
      </c>
    </row>
    <row r="12" spans="1:30" x14ac:dyDescent="0.3">
      <c r="A12" s="2">
        <v>46123</v>
      </c>
      <c r="B12" t="s">
        <v>157</v>
      </c>
      <c r="C12" t="s">
        <v>141</v>
      </c>
      <c r="D12" s="106">
        <v>40186.400000000001</v>
      </c>
      <c r="E12" s="106">
        <v>0</v>
      </c>
      <c r="F12" s="106">
        <v>5224.8</v>
      </c>
      <c r="G12" s="106">
        <v>29443</v>
      </c>
      <c r="H12" s="106">
        <v>1399</v>
      </c>
      <c r="I12" s="106">
        <v>0</v>
      </c>
      <c r="J12" s="106">
        <v>0</v>
      </c>
      <c r="K12" s="106">
        <v>0</v>
      </c>
      <c r="L12" s="106">
        <v>0</v>
      </c>
      <c r="M12" s="106">
        <v>0</v>
      </c>
      <c r="N12" s="106">
        <v>0</v>
      </c>
      <c r="O12" s="106">
        <v>0</v>
      </c>
      <c r="P12" s="106">
        <v>0</v>
      </c>
      <c r="Q12" s="106">
        <v>0</v>
      </c>
      <c r="R12" s="106">
        <v>0</v>
      </c>
      <c r="S12" s="106">
        <v>0</v>
      </c>
      <c r="T12" s="106">
        <v>0</v>
      </c>
      <c r="U12" s="106">
        <v>0</v>
      </c>
      <c r="V12" s="106">
        <v>4119.6000000000004</v>
      </c>
      <c r="W12" s="106">
        <v>0</v>
      </c>
      <c r="X12" s="106">
        <v>0</v>
      </c>
      <c r="Y12" s="106">
        <v>0</v>
      </c>
      <c r="Z12" s="106">
        <v>0</v>
      </c>
      <c r="AA12" s="106">
        <v>75148</v>
      </c>
    </row>
    <row r="13" spans="1:30" x14ac:dyDescent="0.3">
      <c r="A13" s="2">
        <v>46124</v>
      </c>
      <c r="B13" t="s">
        <v>157</v>
      </c>
      <c r="C13" t="s">
        <v>141</v>
      </c>
      <c r="D13" s="3">
        <v>35398.9</v>
      </c>
      <c r="E13">
        <v>0</v>
      </c>
      <c r="F13" s="3">
        <v>2689.6</v>
      </c>
      <c r="G13" s="3">
        <v>25503.5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5406.8</v>
      </c>
      <c r="W13">
        <v>0</v>
      </c>
      <c r="X13">
        <v>0</v>
      </c>
      <c r="Y13">
        <v>1799</v>
      </c>
      <c r="Z13" s="3">
        <v>0</v>
      </c>
      <c r="AA13">
        <v>68108.2</v>
      </c>
    </row>
    <row r="14" spans="1:30" x14ac:dyDescent="0.3">
      <c r="A14" s="2">
        <v>46125</v>
      </c>
      <c r="B14" t="s">
        <v>157</v>
      </c>
      <c r="C14" t="s">
        <v>141</v>
      </c>
      <c r="D14" s="3">
        <v>14091</v>
      </c>
      <c r="E14">
        <v>0</v>
      </c>
      <c r="F14" s="3">
        <v>629</v>
      </c>
      <c r="G14" s="3">
        <v>10947.5</v>
      </c>
      <c r="H14">
        <v>0</v>
      </c>
      <c r="I14">
        <v>89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2425.5</v>
      </c>
      <c r="W14">
        <v>0</v>
      </c>
      <c r="X14">
        <v>0</v>
      </c>
      <c r="Y14">
        <v>0</v>
      </c>
      <c r="Z14" s="3">
        <v>0</v>
      </c>
      <c r="AA14">
        <v>27553</v>
      </c>
    </row>
    <row r="15" spans="1:30" s="29" customFormat="1" x14ac:dyDescent="0.3">
      <c r="A15" s="2">
        <v>46126</v>
      </c>
      <c r="B15" t="s">
        <v>157</v>
      </c>
      <c r="C15" t="s">
        <v>141</v>
      </c>
      <c r="D15" s="3">
        <v>25466</v>
      </c>
      <c r="E15">
        <v>0</v>
      </c>
      <c r="F15" s="3">
        <v>3890</v>
      </c>
      <c r="G15" s="3">
        <v>16358.9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3">
        <v>1619.1</v>
      </c>
      <c r="W15">
        <v>0</v>
      </c>
      <c r="X15">
        <v>0</v>
      </c>
      <c r="Y15">
        <v>3598</v>
      </c>
      <c r="Z15" s="3">
        <v>0</v>
      </c>
      <c r="AA15">
        <v>47042</v>
      </c>
    </row>
    <row r="16" spans="1:30" s="29" customFormat="1" x14ac:dyDescent="0.3">
      <c r="A16" s="2">
        <v>46127</v>
      </c>
      <c r="B16" t="s">
        <v>157</v>
      </c>
      <c r="C16" t="s">
        <v>141</v>
      </c>
      <c r="D16" s="3">
        <v>10285.9</v>
      </c>
      <c r="E16">
        <v>0</v>
      </c>
      <c r="F16">
        <v>299</v>
      </c>
      <c r="G16" s="3">
        <v>8952.7999999999993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1034.0999999999999</v>
      </c>
      <c r="W16">
        <v>0</v>
      </c>
      <c r="X16">
        <v>0</v>
      </c>
      <c r="Y16">
        <v>0</v>
      </c>
      <c r="Z16" s="3">
        <v>0</v>
      </c>
      <c r="AA16">
        <v>20272.8</v>
      </c>
    </row>
    <row r="17" spans="1:27" x14ac:dyDescent="0.3">
      <c r="A17" s="2">
        <v>46128</v>
      </c>
      <c r="B17" t="s">
        <v>157</v>
      </c>
      <c r="C17" t="s">
        <v>141</v>
      </c>
      <c r="D17" s="3">
        <v>7471.9</v>
      </c>
      <c r="E17">
        <v>0</v>
      </c>
      <c r="F17" s="3">
        <v>2362.9</v>
      </c>
      <c r="G17" s="3">
        <v>4074.9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1034.0999999999999</v>
      </c>
      <c r="W17">
        <v>0</v>
      </c>
      <c r="X17">
        <v>0</v>
      </c>
      <c r="Y17">
        <v>0</v>
      </c>
      <c r="Z17" s="3">
        <v>0</v>
      </c>
      <c r="AA17">
        <v>12580.9</v>
      </c>
    </row>
    <row r="18" spans="1:27" x14ac:dyDescent="0.3">
      <c r="A18" s="2">
        <v>46129</v>
      </c>
      <c r="B18" t="s">
        <v>157</v>
      </c>
      <c r="C18" t="s">
        <v>141</v>
      </c>
      <c r="D18" s="3">
        <v>9114</v>
      </c>
      <c r="E18">
        <v>0</v>
      </c>
      <c r="F18" s="3">
        <v>2945</v>
      </c>
      <c r="G18" s="3">
        <v>5120.75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149.25</v>
      </c>
      <c r="W18">
        <v>0</v>
      </c>
      <c r="X18">
        <v>0</v>
      </c>
      <c r="Y18">
        <v>899</v>
      </c>
      <c r="Z18" s="3">
        <v>0</v>
      </c>
      <c r="AA18" s="3">
        <v>15283</v>
      </c>
    </row>
    <row r="19" spans="1:27" x14ac:dyDescent="0.3">
      <c r="A19" s="2">
        <v>46130</v>
      </c>
      <c r="B19" t="s">
        <v>157</v>
      </c>
      <c r="C19" t="s">
        <v>141</v>
      </c>
      <c r="D19" s="3">
        <v>32007</v>
      </c>
      <c r="E19">
        <v>0</v>
      </c>
      <c r="F19" s="3">
        <v>9412.7999999999993</v>
      </c>
      <c r="G19" s="3">
        <v>10307</v>
      </c>
      <c r="H19">
        <v>8998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1789.2</v>
      </c>
      <c r="W19">
        <v>0</v>
      </c>
      <c r="X19">
        <v>0</v>
      </c>
      <c r="Y19">
        <v>1500</v>
      </c>
      <c r="Z19" s="3">
        <v>0</v>
      </c>
      <c r="AA19">
        <v>54601.2</v>
      </c>
    </row>
    <row r="20" spans="1:27" x14ac:dyDescent="0.3">
      <c r="A20" s="2">
        <v>46131</v>
      </c>
      <c r="B20" t="s">
        <v>157</v>
      </c>
      <c r="C20" t="s">
        <v>141</v>
      </c>
      <c r="D20" s="3">
        <v>33668</v>
      </c>
      <c r="E20">
        <v>0</v>
      </c>
      <c r="F20" s="3">
        <v>5371.6</v>
      </c>
      <c r="G20" s="3">
        <v>19100</v>
      </c>
      <c r="H20">
        <v>4227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3270.4</v>
      </c>
      <c r="W20">
        <v>0</v>
      </c>
      <c r="X20">
        <v>1699</v>
      </c>
      <c r="Y20">
        <v>0</v>
      </c>
      <c r="Z20" s="3">
        <v>0</v>
      </c>
      <c r="AA20">
        <v>61964.4</v>
      </c>
    </row>
    <row r="21" spans="1:27" x14ac:dyDescent="0.3">
      <c r="A21" s="2">
        <v>46132</v>
      </c>
      <c r="B21" t="s">
        <v>157</v>
      </c>
      <c r="C21" t="s">
        <v>141</v>
      </c>
      <c r="D21" s="3">
        <v>13989</v>
      </c>
      <c r="E21">
        <v>0</v>
      </c>
      <c r="F21" s="3">
        <v>2971.9</v>
      </c>
      <c r="G21" s="3">
        <v>8209.7000000000007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3">
        <v>2807.4</v>
      </c>
      <c r="W21">
        <v>0</v>
      </c>
      <c r="X21">
        <v>0</v>
      </c>
      <c r="Y21">
        <v>0</v>
      </c>
      <c r="Z21" s="3">
        <v>0</v>
      </c>
      <c r="AA21">
        <v>25006.1</v>
      </c>
    </row>
    <row r="22" spans="1:27" x14ac:dyDescent="0.3">
      <c r="A22" s="2">
        <v>46133</v>
      </c>
      <c r="B22" t="s">
        <v>157</v>
      </c>
      <c r="C22" t="s">
        <v>141</v>
      </c>
      <c r="D22" s="3">
        <v>11235</v>
      </c>
      <c r="E22">
        <v>0</v>
      </c>
      <c r="F22" s="3">
        <v>4803</v>
      </c>
      <c r="G22" s="3">
        <v>6432</v>
      </c>
      <c r="H22" s="3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3">
        <v>0</v>
      </c>
      <c r="AA22">
        <v>17667</v>
      </c>
    </row>
    <row r="23" spans="1:27" x14ac:dyDescent="0.3">
      <c r="A23" s="2">
        <v>46134</v>
      </c>
      <c r="B23" t="s">
        <v>157</v>
      </c>
      <c r="C23" t="s">
        <v>141</v>
      </c>
      <c r="D23" s="3">
        <v>18350</v>
      </c>
      <c r="E23">
        <v>0</v>
      </c>
      <c r="F23">
        <v>3278.7</v>
      </c>
      <c r="G23" s="3">
        <v>14648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423.3</v>
      </c>
      <c r="W23">
        <v>0</v>
      </c>
      <c r="X23">
        <v>0</v>
      </c>
      <c r="Y23">
        <v>0</v>
      </c>
      <c r="Z23" s="3">
        <v>0</v>
      </c>
      <c r="AA23">
        <v>33421.300000000003</v>
      </c>
    </row>
    <row r="24" spans="1:27" x14ac:dyDescent="0.3">
      <c r="A24" s="2">
        <v>46135</v>
      </c>
      <c r="B24" t="s">
        <v>157</v>
      </c>
      <c r="C24" t="s">
        <v>141</v>
      </c>
      <c r="D24" s="3">
        <v>18825</v>
      </c>
      <c r="E24">
        <v>0</v>
      </c>
      <c r="F24">
        <v>3622.8</v>
      </c>
      <c r="G24" s="3">
        <v>12210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1493.2</v>
      </c>
      <c r="W24">
        <v>0</v>
      </c>
      <c r="X24">
        <v>0</v>
      </c>
      <c r="Y24">
        <v>1499</v>
      </c>
      <c r="Z24" s="3">
        <v>0</v>
      </c>
      <c r="AA24">
        <v>34027.199999999997</v>
      </c>
    </row>
    <row r="25" spans="1:27" x14ac:dyDescent="0.3">
      <c r="A25" s="2">
        <v>46136</v>
      </c>
      <c r="B25" t="s">
        <v>157</v>
      </c>
      <c r="C25" t="s">
        <v>141</v>
      </c>
      <c r="D25" s="3">
        <v>24606.6</v>
      </c>
      <c r="E25">
        <v>0</v>
      </c>
      <c r="F25" s="3">
        <v>2676</v>
      </c>
      <c r="G25" s="3">
        <v>21295.5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635.1</v>
      </c>
      <c r="W25">
        <v>0</v>
      </c>
      <c r="X25">
        <v>0</v>
      </c>
      <c r="Y25">
        <v>0</v>
      </c>
      <c r="Z25" s="3">
        <v>0</v>
      </c>
      <c r="AA25">
        <v>46537.2</v>
      </c>
    </row>
    <row r="26" spans="1:27" x14ac:dyDescent="0.3">
      <c r="A26" s="2">
        <v>46137</v>
      </c>
      <c r="B26" t="s">
        <v>157</v>
      </c>
      <c r="C26" t="s">
        <v>141</v>
      </c>
      <c r="D26" s="3">
        <v>27150.799999999999</v>
      </c>
      <c r="E26">
        <v>0</v>
      </c>
      <c r="F26" s="3">
        <v>6291.8</v>
      </c>
      <c r="G26" s="3">
        <v>19248.900000000001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3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1610.1</v>
      </c>
      <c r="W26">
        <v>0</v>
      </c>
      <c r="X26">
        <v>0</v>
      </c>
      <c r="Y26">
        <v>0</v>
      </c>
      <c r="Z26" s="3">
        <v>0</v>
      </c>
      <c r="AA26">
        <v>48009.8</v>
      </c>
    </row>
    <row r="27" spans="1:27" x14ac:dyDescent="0.3">
      <c r="A27" s="2">
        <v>46138</v>
      </c>
      <c r="B27" t="s">
        <v>157</v>
      </c>
      <c r="C27" t="s">
        <v>141</v>
      </c>
      <c r="D27" s="3">
        <v>33618.9</v>
      </c>
      <c r="E27">
        <v>0</v>
      </c>
      <c r="F27" s="3">
        <v>4845.8</v>
      </c>
      <c r="G27" s="3">
        <v>23694.6</v>
      </c>
      <c r="H27">
        <v>1168</v>
      </c>
      <c r="I27">
        <v>1499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2411.5</v>
      </c>
      <c r="W27">
        <v>0</v>
      </c>
      <c r="X27">
        <v>0</v>
      </c>
      <c r="Y27" s="3">
        <v>0</v>
      </c>
      <c r="Z27" s="3">
        <v>0</v>
      </c>
      <c r="AA27">
        <v>62392</v>
      </c>
    </row>
    <row r="28" spans="1:27" x14ac:dyDescent="0.3">
      <c r="A28" s="2">
        <v>46139</v>
      </c>
      <c r="B28" t="s">
        <v>157</v>
      </c>
      <c r="C28" t="s">
        <v>141</v>
      </c>
      <c r="D28" s="3">
        <v>15336</v>
      </c>
      <c r="E28">
        <v>0</v>
      </c>
      <c r="F28" s="3">
        <v>6946</v>
      </c>
      <c r="G28" s="3">
        <v>6605.9</v>
      </c>
      <c r="H28" s="3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3">
        <v>1784.1</v>
      </c>
      <c r="W28">
        <v>0</v>
      </c>
      <c r="X28">
        <v>0</v>
      </c>
      <c r="Y28">
        <v>0</v>
      </c>
      <c r="Z28" s="3">
        <v>0</v>
      </c>
      <c r="AA28">
        <v>23726</v>
      </c>
    </row>
    <row r="29" spans="1:27" x14ac:dyDescent="0.3">
      <c r="A29" s="2">
        <v>46140</v>
      </c>
      <c r="B29" t="s">
        <v>157</v>
      </c>
      <c r="C29" t="s">
        <v>141</v>
      </c>
      <c r="D29" s="3">
        <v>23114.9</v>
      </c>
      <c r="E29">
        <v>0</v>
      </c>
      <c r="F29">
        <v>6368.8</v>
      </c>
      <c r="G29" s="3">
        <v>12544.9</v>
      </c>
      <c r="H29">
        <v>0</v>
      </c>
      <c r="I29">
        <v>1699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3">
        <v>803.2</v>
      </c>
      <c r="W29" s="3">
        <v>0</v>
      </c>
      <c r="X29">
        <v>0</v>
      </c>
      <c r="Y29">
        <v>1699</v>
      </c>
      <c r="Z29" s="3">
        <v>0</v>
      </c>
      <c r="AA29">
        <v>39861</v>
      </c>
    </row>
    <row r="30" spans="1:27" x14ac:dyDescent="0.3">
      <c r="A30" s="2">
        <v>46141</v>
      </c>
      <c r="B30" t="s">
        <v>157</v>
      </c>
      <c r="C30" t="s">
        <v>141</v>
      </c>
      <c r="D30" s="3">
        <v>18970</v>
      </c>
      <c r="E30">
        <v>0</v>
      </c>
      <c r="F30" s="3">
        <v>279</v>
      </c>
      <c r="G30" s="3">
        <v>17836.900000000001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854.1</v>
      </c>
      <c r="W30">
        <v>0</v>
      </c>
      <c r="X30">
        <v>0</v>
      </c>
      <c r="Y30">
        <v>0</v>
      </c>
      <c r="Z30" s="3">
        <v>0</v>
      </c>
      <c r="AA30">
        <v>37661</v>
      </c>
    </row>
    <row r="31" spans="1:27" x14ac:dyDescent="0.3">
      <c r="A31" s="2">
        <v>46142</v>
      </c>
      <c r="B31" t="s">
        <v>157</v>
      </c>
      <c r="C31" t="s">
        <v>141</v>
      </c>
      <c r="D31" s="3">
        <v>17745</v>
      </c>
      <c r="E31">
        <v>0</v>
      </c>
      <c r="F31" s="3">
        <v>1447</v>
      </c>
      <c r="G31" s="3">
        <v>12999.8</v>
      </c>
      <c r="H31">
        <v>1699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1599.2</v>
      </c>
      <c r="W31">
        <v>0</v>
      </c>
      <c r="X31">
        <v>0</v>
      </c>
      <c r="Y31">
        <v>0</v>
      </c>
      <c r="Z31" s="3">
        <v>0</v>
      </c>
      <c r="AA31">
        <v>34043</v>
      </c>
    </row>
    <row r="32" spans="1:27" x14ac:dyDescent="0.3">
      <c r="A32" s="2"/>
      <c r="D32" s="3"/>
      <c r="F32" s="3"/>
      <c r="G32" s="3"/>
      <c r="I32" s="3"/>
      <c r="V32" s="3"/>
      <c r="W32" s="3"/>
      <c r="Z32" s="3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2DBA-79F5-4F3F-8D22-578A05F5EA89}">
  <sheetPr>
    <tabColor rgb="FFFF0000"/>
  </sheetPr>
  <dimension ref="A1:AD38"/>
  <sheetViews>
    <sheetView showGridLines="0" tabSelected="1" topLeftCell="A3" zoomScale="80" zoomScaleNormal="80" workbookViewId="0">
      <pane xSplit="1" topLeftCell="B1" activePane="topRight" state="frozen"/>
      <selection pane="topRight" activeCell="L25" sqref="L25"/>
    </sheetView>
  </sheetViews>
  <sheetFormatPr baseColWidth="10" defaultRowHeight="14.4" x14ac:dyDescent="0.3"/>
  <cols>
    <col min="2" max="2" width="10.5546875" bestFit="1" customWidth="1"/>
    <col min="3" max="3" width="23.5546875" bestFit="1" customWidth="1"/>
    <col min="4" max="4" width="11.44140625" customWidth="1"/>
    <col min="5" max="5" width="9.6640625" customWidth="1"/>
    <col min="6" max="6" width="11.44140625" customWidth="1"/>
    <col min="7" max="7" width="11.44140625" style="54" customWidth="1"/>
    <col min="9" max="9" width="11.44140625" style="54"/>
    <col min="10" max="10" width="11.5546875" style="106"/>
    <col min="11" max="11" width="11.44140625" style="54"/>
    <col min="12" max="12" width="11.5546875" style="106"/>
    <col min="13" max="13" width="11.44140625" style="54"/>
    <col min="14" max="26" width="11.44140625" style="106" customWidth="1"/>
    <col min="27" max="28" width="11.44140625" customWidth="1"/>
  </cols>
  <sheetData>
    <row r="1" spans="1:30" ht="28.8" x14ac:dyDescent="0.3">
      <c r="A1" s="6" t="s">
        <v>0</v>
      </c>
      <c r="B1" s="6" t="s">
        <v>1</v>
      </c>
      <c r="C1" s="6" t="s">
        <v>2</v>
      </c>
      <c r="D1" s="7" t="s">
        <v>26</v>
      </c>
      <c r="E1" s="6" t="s">
        <v>3</v>
      </c>
      <c r="F1" s="6" t="s">
        <v>4</v>
      </c>
      <c r="G1" s="52" t="s">
        <v>23</v>
      </c>
      <c r="H1" s="6" t="s">
        <v>5</v>
      </c>
      <c r="I1" s="52" t="s">
        <v>23</v>
      </c>
      <c r="J1" s="126" t="s">
        <v>27</v>
      </c>
      <c r="K1" s="52" t="s">
        <v>23</v>
      </c>
      <c r="L1" s="127" t="s">
        <v>6</v>
      </c>
      <c r="M1" s="52" t="s">
        <v>23</v>
      </c>
      <c r="N1" s="128" t="s">
        <v>7</v>
      </c>
      <c r="O1" s="128" t="s">
        <v>8</v>
      </c>
      <c r="P1" s="128" t="s">
        <v>9</v>
      </c>
      <c r="Q1" s="128" t="s">
        <v>10</v>
      </c>
      <c r="R1" s="128" t="s">
        <v>11</v>
      </c>
      <c r="S1" s="128" t="s">
        <v>12</v>
      </c>
      <c r="T1" s="128" t="s">
        <v>13</v>
      </c>
      <c r="U1" s="128" t="s">
        <v>14</v>
      </c>
      <c r="V1" s="128" t="s">
        <v>15</v>
      </c>
      <c r="W1" s="128" t="s">
        <v>16</v>
      </c>
      <c r="X1" s="128" t="s">
        <v>17</v>
      </c>
      <c r="Y1" s="128" t="s">
        <v>18</v>
      </c>
      <c r="Z1" s="128" t="s">
        <v>19</v>
      </c>
      <c r="AA1" s="4" t="s">
        <v>20</v>
      </c>
      <c r="AB1" s="4" t="s">
        <v>21</v>
      </c>
      <c r="AC1" s="6" t="s">
        <v>22</v>
      </c>
      <c r="AD1" s="7" t="s">
        <v>28</v>
      </c>
    </row>
    <row r="2" spans="1:30" x14ac:dyDescent="0.3">
      <c r="A2" s="2">
        <f>+SAP!A2</f>
        <v>46113</v>
      </c>
      <c r="B2" s="2" t="str">
        <f>+SAP!B2</f>
        <v>HON.MS01</v>
      </c>
      <c r="C2" s="2" t="str">
        <f>+SAP!C2</f>
        <v>HONOR MALL DEL SUR</v>
      </c>
      <c r="D2" s="10">
        <f>+SAP!D2</f>
        <v>18563.169999999998</v>
      </c>
      <c r="E2" s="10">
        <f>+SAP!E2</f>
        <v>0</v>
      </c>
      <c r="F2" s="10">
        <f>+SAP!F2</f>
        <v>747</v>
      </c>
      <c r="G2" s="53">
        <f>+F2-SAP!F2</f>
        <v>0</v>
      </c>
      <c r="H2" s="3">
        <f>+SAP!G2</f>
        <v>15387.07</v>
      </c>
      <c r="I2" s="53">
        <f>+H2-MC!AO1</f>
        <v>0</v>
      </c>
      <c r="J2" s="106">
        <f>+SAP!H2</f>
        <v>459</v>
      </c>
      <c r="K2" s="53">
        <f>+J2-AMEX!AI2</f>
        <v>0</v>
      </c>
      <c r="L2" s="106">
        <f>+SAP!I2</f>
        <v>0</v>
      </c>
      <c r="M2" s="53">
        <f>+L2-DINNERS!AI2</f>
        <v>0</v>
      </c>
      <c r="N2" s="106">
        <f>+SAP!J2</f>
        <v>0</v>
      </c>
      <c r="O2" s="106">
        <f>+SAP!K2</f>
        <v>0</v>
      </c>
      <c r="P2" s="106">
        <f>+SAP!L2</f>
        <v>0</v>
      </c>
      <c r="Q2" s="106">
        <f>+SAP!M2</f>
        <v>0</v>
      </c>
      <c r="R2" s="106">
        <f>+SAP!N2</f>
        <v>0</v>
      </c>
      <c r="S2" s="106">
        <f>+SAP!O2</f>
        <v>0</v>
      </c>
      <c r="T2" s="106">
        <f>+SAP!P2</f>
        <v>0</v>
      </c>
      <c r="U2" s="106">
        <f>+SAP!Q2</f>
        <v>0</v>
      </c>
      <c r="V2" s="106">
        <f>+SAP!R2</f>
        <v>0</v>
      </c>
      <c r="W2" s="106">
        <f>+SAP!S2</f>
        <v>0</v>
      </c>
      <c r="X2" s="106">
        <f>+SAP!T2</f>
        <v>0</v>
      </c>
      <c r="Y2" s="106">
        <f>+SAP!U2</f>
        <v>0</v>
      </c>
      <c r="Z2" s="106">
        <f>+SAP!V2</f>
        <v>1970.1</v>
      </c>
      <c r="AA2">
        <f>+SAP!W2</f>
        <v>0</v>
      </c>
      <c r="AB2">
        <f>+SAP!X2</f>
        <v>0</v>
      </c>
      <c r="AC2">
        <f>+SAP!Y2</f>
        <v>0</v>
      </c>
      <c r="AD2">
        <f>+SAP!Z2</f>
        <v>0</v>
      </c>
    </row>
    <row r="3" spans="1:30" x14ac:dyDescent="0.3">
      <c r="A3" s="2">
        <f>+SAP!A3</f>
        <v>46114</v>
      </c>
      <c r="B3" s="2" t="str">
        <f>+SAP!B3</f>
        <v>HON.MS01</v>
      </c>
      <c r="C3" s="2" t="str">
        <f>+SAP!C3</f>
        <v>HONOR MALL DEL SUR</v>
      </c>
      <c r="D3" s="10">
        <f>+SAP!D3</f>
        <v>40303.9</v>
      </c>
      <c r="E3" s="10">
        <f>+SAP!E3</f>
        <v>0</v>
      </c>
      <c r="F3" s="10">
        <f>+SAP!F3</f>
        <v>3985</v>
      </c>
      <c r="G3" s="53">
        <f>+F3-SAP!F3</f>
        <v>0</v>
      </c>
      <c r="H3" s="3">
        <f>+SAP!G3</f>
        <v>23291.4</v>
      </c>
      <c r="I3" s="53">
        <f>+H3-MC!AO2</f>
        <v>0</v>
      </c>
      <c r="J3" s="106">
        <f>+SAP!H3</f>
        <v>3247</v>
      </c>
      <c r="K3" s="53">
        <f>+J3-AMEX!AI3</f>
        <v>0</v>
      </c>
      <c r="L3" s="106">
        <f>+SAP!I3</f>
        <v>0</v>
      </c>
      <c r="M3" s="53">
        <f>+L3-DINNERS!AI3</f>
        <v>0</v>
      </c>
      <c r="N3" s="106">
        <f>+SAP!J3</f>
        <v>0</v>
      </c>
      <c r="O3" s="106">
        <f>+SAP!K3</f>
        <v>0</v>
      </c>
      <c r="P3" s="106">
        <f>+SAP!L3</f>
        <v>0</v>
      </c>
      <c r="Q3" s="106">
        <f>+SAP!M3</f>
        <v>0</v>
      </c>
      <c r="R3" s="106">
        <f>+SAP!N3</f>
        <v>0</v>
      </c>
      <c r="S3" s="106">
        <f>+SAP!O3</f>
        <v>0</v>
      </c>
      <c r="T3" s="106">
        <f>+SAP!P3</f>
        <v>0</v>
      </c>
      <c r="U3" s="106">
        <f>+SAP!Q3</f>
        <v>0</v>
      </c>
      <c r="V3" s="106">
        <f>+SAP!R3</f>
        <v>0</v>
      </c>
      <c r="W3" s="106">
        <f>+SAP!S3</f>
        <v>0</v>
      </c>
      <c r="X3" s="106">
        <f>+SAP!T3</f>
        <v>0</v>
      </c>
      <c r="Y3" s="106">
        <f>+SAP!U3</f>
        <v>0</v>
      </c>
      <c r="Z3" s="106">
        <f>+SAP!V3</f>
        <v>9780.5</v>
      </c>
      <c r="AA3">
        <f>+SAP!W3</f>
        <v>0</v>
      </c>
      <c r="AB3">
        <f>+SAP!X3</f>
        <v>0</v>
      </c>
      <c r="AC3">
        <f>+SAP!Y3</f>
        <v>0</v>
      </c>
      <c r="AD3">
        <f>+SAP!Z3</f>
        <v>0</v>
      </c>
    </row>
    <row r="4" spans="1:30" x14ac:dyDescent="0.3">
      <c r="A4" s="2">
        <f>+SAP!A4</f>
        <v>46115</v>
      </c>
      <c r="B4" s="2" t="str">
        <f>+SAP!B4</f>
        <v>HON.MS01</v>
      </c>
      <c r="C4" s="2" t="str">
        <f>+SAP!C4</f>
        <v>HONOR MALL DEL SUR</v>
      </c>
      <c r="D4" s="10">
        <f>+SAP!D4</f>
        <v>15744</v>
      </c>
      <c r="E4" s="10">
        <f>+SAP!E4</f>
        <v>0</v>
      </c>
      <c r="F4" s="10">
        <f>+SAP!F4</f>
        <v>688</v>
      </c>
      <c r="G4" s="53">
        <f>+F4-SAP!F4</f>
        <v>0</v>
      </c>
      <c r="H4" s="3">
        <f>+SAP!G4</f>
        <v>13047.9</v>
      </c>
      <c r="I4" s="176">
        <f>+H4-MC!AO3</f>
        <v>498</v>
      </c>
      <c r="J4" s="106">
        <f>+SAP!H4</f>
        <v>89</v>
      </c>
      <c r="K4" s="176">
        <f>+J4-AMEX!AI4</f>
        <v>-498</v>
      </c>
      <c r="L4" s="106">
        <f>+SAP!I4</f>
        <v>0</v>
      </c>
      <c r="M4" s="53">
        <f>+L4-DINNERS!AI4</f>
        <v>0</v>
      </c>
      <c r="N4" s="106">
        <f>+SAP!J4</f>
        <v>0</v>
      </c>
      <c r="O4" s="106">
        <f>+SAP!K4</f>
        <v>0</v>
      </c>
      <c r="P4" s="106">
        <f>+SAP!L4</f>
        <v>0</v>
      </c>
      <c r="Q4" s="106">
        <f>+SAP!M4</f>
        <v>0</v>
      </c>
      <c r="R4" s="106">
        <f>+SAP!N4</f>
        <v>0</v>
      </c>
      <c r="S4" s="106">
        <f>+SAP!O4</f>
        <v>0</v>
      </c>
      <c r="T4" s="106">
        <f>+SAP!P4</f>
        <v>0</v>
      </c>
      <c r="U4" s="106">
        <f>+SAP!Q4</f>
        <v>0</v>
      </c>
      <c r="V4" s="106">
        <f>+SAP!R4</f>
        <v>0</v>
      </c>
      <c r="W4" s="106">
        <f>+SAP!S4</f>
        <v>0</v>
      </c>
      <c r="X4" s="106">
        <f>+SAP!T4</f>
        <v>0</v>
      </c>
      <c r="Y4" s="106">
        <f>+SAP!U4</f>
        <v>0</v>
      </c>
      <c r="Z4" s="106">
        <f>+SAP!V4</f>
        <v>1919.1</v>
      </c>
      <c r="AA4">
        <f>+SAP!W4</f>
        <v>0</v>
      </c>
      <c r="AB4">
        <f>+SAP!X4</f>
        <v>0</v>
      </c>
      <c r="AC4">
        <f>+SAP!Y4</f>
        <v>0</v>
      </c>
      <c r="AD4">
        <f>+SAP!Z4</f>
        <v>0</v>
      </c>
    </row>
    <row r="5" spans="1:30" x14ac:dyDescent="0.3">
      <c r="A5" s="2">
        <f>+SAP!A5</f>
        <v>46116</v>
      </c>
      <c r="B5" s="2" t="str">
        <f>+SAP!B5</f>
        <v>HON.MS01</v>
      </c>
      <c r="C5" s="2" t="str">
        <f>+SAP!C5</f>
        <v>HONOR MALL DEL SUR</v>
      </c>
      <c r="D5" s="10">
        <f>+SAP!D5</f>
        <v>21848</v>
      </c>
      <c r="E5" s="10">
        <f>+SAP!E5</f>
        <v>0</v>
      </c>
      <c r="F5" s="10">
        <f>+SAP!F5</f>
        <v>7937.8</v>
      </c>
      <c r="G5" s="53">
        <f>+F5-SAP!F5</f>
        <v>0</v>
      </c>
      <c r="H5" s="3">
        <f>+SAP!G5</f>
        <v>12991</v>
      </c>
      <c r="I5" s="53">
        <f>+H5-MC!AO4</f>
        <v>-75</v>
      </c>
      <c r="J5" s="106">
        <f>+SAP!H5</f>
        <v>0</v>
      </c>
      <c r="K5" s="53">
        <f>+J5-AMEX!AI5</f>
        <v>0</v>
      </c>
      <c r="L5" s="106">
        <f>+SAP!I5</f>
        <v>0</v>
      </c>
      <c r="M5" s="53">
        <f>+L5-DINNERS!AI5</f>
        <v>0</v>
      </c>
      <c r="N5" s="106">
        <f>+SAP!J5</f>
        <v>0</v>
      </c>
      <c r="O5" s="106">
        <f>+SAP!K5</f>
        <v>0</v>
      </c>
      <c r="P5" s="106">
        <f>+SAP!L5</f>
        <v>0</v>
      </c>
      <c r="Q5" s="106">
        <f>+SAP!M5</f>
        <v>0</v>
      </c>
      <c r="R5" s="106">
        <f>+SAP!N5</f>
        <v>0</v>
      </c>
      <c r="S5" s="106">
        <f>+SAP!O5</f>
        <v>0</v>
      </c>
      <c r="T5" s="106">
        <f>+SAP!P5</f>
        <v>0</v>
      </c>
      <c r="U5" s="106">
        <f>+SAP!Q5</f>
        <v>0</v>
      </c>
      <c r="V5" s="106">
        <f>+SAP!R5</f>
        <v>0</v>
      </c>
      <c r="W5" s="106">
        <f>+SAP!S5</f>
        <v>0</v>
      </c>
      <c r="X5" s="106">
        <f>+SAP!T5</f>
        <v>0</v>
      </c>
      <c r="Y5" s="106">
        <f>+SAP!U5</f>
        <v>0</v>
      </c>
      <c r="Z5" s="106">
        <f>+SAP!V5</f>
        <v>919.2</v>
      </c>
      <c r="AA5">
        <f>+SAP!W5</f>
        <v>0</v>
      </c>
      <c r="AB5">
        <f>+SAP!X5</f>
        <v>0</v>
      </c>
      <c r="AC5">
        <f>+SAP!Y5</f>
        <v>0</v>
      </c>
      <c r="AD5">
        <f>+SAP!Z5</f>
        <v>0</v>
      </c>
    </row>
    <row r="6" spans="1:30" x14ac:dyDescent="0.3">
      <c r="A6" s="2">
        <f>+SAP!A6</f>
        <v>46117</v>
      </c>
      <c r="B6" s="2" t="str">
        <f>+SAP!B6</f>
        <v>HON.MS01</v>
      </c>
      <c r="C6" s="2" t="str">
        <f>+SAP!C6</f>
        <v>HONOR MALL DEL SUR</v>
      </c>
      <c r="D6" s="10">
        <f>+SAP!D6</f>
        <v>25216</v>
      </c>
      <c r="E6" s="10">
        <f>+SAP!E6</f>
        <v>0</v>
      </c>
      <c r="F6" s="10">
        <f>+SAP!F6</f>
        <v>7533.8</v>
      </c>
      <c r="G6" s="53">
        <f>+F6-SAP!F6</f>
        <v>0</v>
      </c>
      <c r="H6" s="3">
        <f>+SAP!G6</f>
        <v>15623</v>
      </c>
      <c r="I6" s="53">
        <f>+H6-MC!AO5</f>
        <v>0</v>
      </c>
      <c r="J6" s="106">
        <f>+SAP!H6</f>
        <v>0</v>
      </c>
      <c r="K6" s="53">
        <f>+J6-AMEX!AI6</f>
        <v>0</v>
      </c>
      <c r="L6" s="106">
        <f>+SAP!I6</f>
        <v>0</v>
      </c>
      <c r="M6" s="53">
        <f>+L6-DINNERS!AI6</f>
        <v>0</v>
      </c>
      <c r="N6" s="106">
        <f>+SAP!J6</f>
        <v>0</v>
      </c>
      <c r="O6" s="106">
        <f>+SAP!K6</f>
        <v>0</v>
      </c>
      <c r="P6" s="106">
        <f>+SAP!L6</f>
        <v>0</v>
      </c>
      <c r="Q6" s="106">
        <f>+SAP!M6</f>
        <v>0</v>
      </c>
      <c r="R6" s="106">
        <f>+SAP!N6</f>
        <v>0</v>
      </c>
      <c r="S6" s="106">
        <f>+SAP!O6</f>
        <v>0</v>
      </c>
      <c r="T6" s="106">
        <f>+SAP!P6</f>
        <v>0</v>
      </c>
      <c r="U6" s="106">
        <f>+SAP!Q6</f>
        <v>0</v>
      </c>
      <c r="V6" s="106">
        <f>+SAP!R6</f>
        <v>0</v>
      </c>
      <c r="W6" s="106">
        <f>+SAP!S6</f>
        <v>0</v>
      </c>
      <c r="X6" s="106">
        <f>+SAP!T6</f>
        <v>0</v>
      </c>
      <c r="Y6" s="106">
        <f>+SAP!U6</f>
        <v>0</v>
      </c>
      <c r="Z6" s="106">
        <f>+SAP!V6</f>
        <v>2059.1999999999998</v>
      </c>
      <c r="AA6">
        <f>+SAP!W6</f>
        <v>0</v>
      </c>
      <c r="AB6">
        <f>+SAP!X6</f>
        <v>0</v>
      </c>
      <c r="AC6">
        <f>+SAP!Y6</f>
        <v>0</v>
      </c>
      <c r="AD6">
        <f>+SAP!Z6</f>
        <v>0</v>
      </c>
    </row>
    <row r="7" spans="1:30" x14ac:dyDescent="0.3">
      <c r="A7" s="2">
        <f>+SAP!A7</f>
        <v>46118</v>
      </c>
      <c r="B7" s="2" t="str">
        <f>+SAP!B7</f>
        <v>HON.MS01</v>
      </c>
      <c r="C7" s="2" t="str">
        <f>+SAP!C7</f>
        <v>HONOR MALL DEL SUR</v>
      </c>
      <c r="D7" s="10">
        <f>+SAP!D7</f>
        <v>31530.7</v>
      </c>
      <c r="E7" s="10">
        <f>+SAP!E7</f>
        <v>0</v>
      </c>
      <c r="F7" s="10">
        <f>+SAP!F7</f>
        <v>6373.7</v>
      </c>
      <c r="G7" s="53">
        <f>+F7-SAP!F7</f>
        <v>0</v>
      </c>
      <c r="H7" s="3">
        <f>+SAP!G7</f>
        <v>20075.849999999999</v>
      </c>
      <c r="I7" s="53">
        <f>+H7-MC!AO6</f>
        <v>0</v>
      </c>
      <c r="J7" s="106">
        <f>+SAP!H7</f>
        <v>0</v>
      </c>
      <c r="K7" s="53">
        <f>+J7-AMEX!AI7</f>
        <v>0</v>
      </c>
      <c r="L7" s="106">
        <f>+SAP!I7</f>
        <v>0</v>
      </c>
      <c r="M7" s="53">
        <f>+L7-DINNERS!AI7</f>
        <v>0</v>
      </c>
      <c r="N7" s="106">
        <f>+SAP!J7</f>
        <v>0</v>
      </c>
      <c r="O7" s="106">
        <f>+SAP!K7</f>
        <v>0</v>
      </c>
      <c r="P7" s="106">
        <f>+SAP!L7</f>
        <v>0</v>
      </c>
      <c r="Q7" s="106">
        <f>+SAP!M7</f>
        <v>0</v>
      </c>
      <c r="R7" s="106">
        <f>+SAP!N7</f>
        <v>0</v>
      </c>
      <c r="S7" s="106">
        <f>+SAP!O7</f>
        <v>0</v>
      </c>
      <c r="T7" s="106">
        <f>+SAP!P7</f>
        <v>0</v>
      </c>
      <c r="U7" s="106">
        <f>+SAP!Q7</f>
        <v>0</v>
      </c>
      <c r="V7" s="106">
        <f>+SAP!R7</f>
        <v>0</v>
      </c>
      <c r="W7" s="106">
        <f>+SAP!S7</f>
        <v>0</v>
      </c>
      <c r="X7" s="106">
        <f>+SAP!T7</f>
        <v>0</v>
      </c>
      <c r="Y7" s="106">
        <f>+SAP!U7</f>
        <v>0</v>
      </c>
      <c r="Z7" s="106">
        <f>+SAP!V7</f>
        <v>5081.1499999999996</v>
      </c>
      <c r="AA7">
        <f>+SAP!W7</f>
        <v>0</v>
      </c>
      <c r="AB7">
        <f>+SAP!X7</f>
        <v>0</v>
      </c>
      <c r="AC7">
        <f>+SAP!Y7</f>
        <v>0</v>
      </c>
      <c r="AD7">
        <f>+SAP!Z7</f>
        <v>0</v>
      </c>
    </row>
    <row r="8" spans="1:30" x14ac:dyDescent="0.3">
      <c r="A8" s="2">
        <f>+SAP!A8</f>
        <v>46119</v>
      </c>
      <c r="B8" s="2" t="str">
        <f>+SAP!B8</f>
        <v>HON.MS01</v>
      </c>
      <c r="C8" s="2" t="str">
        <f>+SAP!C8</f>
        <v>HONOR MALL DEL SUR</v>
      </c>
      <c r="D8" s="10">
        <f>+SAP!D8</f>
        <v>18051</v>
      </c>
      <c r="E8" s="10">
        <f>+SAP!E8</f>
        <v>0</v>
      </c>
      <c r="F8" s="10">
        <f>+SAP!F8</f>
        <v>784</v>
      </c>
      <c r="G8" s="53">
        <f>+F8-SAP!F8</f>
        <v>0</v>
      </c>
      <c r="H8" s="3">
        <f>+SAP!G8</f>
        <v>14261.5</v>
      </c>
      <c r="I8" s="53">
        <f>+H8-MC!AO7</f>
        <v>0</v>
      </c>
      <c r="J8" s="106">
        <f>+SAP!H8</f>
        <v>1399</v>
      </c>
      <c r="K8" s="53">
        <f>+J8-AMEX!AI8</f>
        <v>0</v>
      </c>
      <c r="L8" s="106">
        <f>+SAP!I8</f>
        <v>0</v>
      </c>
      <c r="M8" s="53">
        <f>+L8-DINNERS!AI8</f>
        <v>0</v>
      </c>
      <c r="N8" s="106">
        <f>+SAP!J8</f>
        <v>0</v>
      </c>
      <c r="O8" s="106">
        <f>+SAP!K8</f>
        <v>0</v>
      </c>
      <c r="P8" s="106">
        <f>+SAP!L8</f>
        <v>0</v>
      </c>
      <c r="Q8" s="106">
        <f>+SAP!M8</f>
        <v>0</v>
      </c>
      <c r="R8" s="106">
        <f>+SAP!N8</f>
        <v>0</v>
      </c>
      <c r="S8" s="106">
        <f>+SAP!O8</f>
        <v>0</v>
      </c>
      <c r="T8" s="106">
        <f>+SAP!P8</f>
        <v>0</v>
      </c>
      <c r="U8" s="106">
        <f>+SAP!Q8</f>
        <v>0</v>
      </c>
      <c r="V8" s="106">
        <f>+SAP!R8</f>
        <v>0</v>
      </c>
      <c r="W8" s="106">
        <f>+SAP!S8</f>
        <v>0</v>
      </c>
      <c r="X8" s="106">
        <f>+SAP!T8</f>
        <v>0</v>
      </c>
      <c r="Y8" s="106">
        <f>+SAP!U8</f>
        <v>0</v>
      </c>
      <c r="Z8" s="106">
        <f>+SAP!V8</f>
        <v>1606.5</v>
      </c>
      <c r="AA8">
        <f>+SAP!W8</f>
        <v>0</v>
      </c>
      <c r="AB8">
        <f>+SAP!X8</f>
        <v>0</v>
      </c>
      <c r="AC8">
        <f>+SAP!Y8</f>
        <v>0</v>
      </c>
      <c r="AD8">
        <f>+SAP!Z8</f>
        <v>0</v>
      </c>
    </row>
    <row r="9" spans="1:30" x14ac:dyDescent="0.3">
      <c r="A9" s="2">
        <f>+SAP!A9</f>
        <v>46120</v>
      </c>
      <c r="B9" s="2" t="str">
        <f>+SAP!B9</f>
        <v>HON.MS01</v>
      </c>
      <c r="C9" s="2" t="str">
        <f>+SAP!C9</f>
        <v>HONOR MALL DEL SUR</v>
      </c>
      <c r="D9" s="10">
        <f>+SAP!D9</f>
        <v>24613</v>
      </c>
      <c r="E9" s="10">
        <f>+SAP!E9</f>
        <v>0</v>
      </c>
      <c r="F9" s="10">
        <f>+SAP!F9</f>
        <v>2697</v>
      </c>
      <c r="G9" s="53">
        <f>+F9-SAP!F9</f>
        <v>0</v>
      </c>
      <c r="H9" s="3">
        <f>+SAP!G9</f>
        <v>16828.599999999999</v>
      </c>
      <c r="I9" s="53">
        <f>+H9-MC!AO8</f>
        <v>0</v>
      </c>
      <c r="J9" s="106">
        <f>+SAP!H9</f>
        <v>0</v>
      </c>
      <c r="K9" s="53">
        <f>+J9-AMEX!AI9</f>
        <v>0</v>
      </c>
      <c r="L9" s="106">
        <f>+SAP!I9</f>
        <v>0</v>
      </c>
      <c r="M9" s="53">
        <f>+L9-DINNERS!AI9</f>
        <v>0</v>
      </c>
      <c r="N9" s="106">
        <f>+SAP!J9</f>
        <v>0</v>
      </c>
      <c r="O9" s="106">
        <f>+SAP!K9</f>
        <v>0</v>
      </c>
      <c r="P9" s="106">
        <f>+SAP!L9</f>
        <v>0</v>
      </c>
      <c r="Q9" s="106">
        <f>+SAP!M9</f>
        <v>0</v>
      </c>
      <c r="R9" s="106">
        <f>+SAP!N9</f>
        <v>0</v>
      </c>
      <c r="S9" s="106">
        <f>+SAP!O9</f>
        <v>0</v>
      </c>
      <c r="T9" s="106">
        <f>+SAP!P9</f>
        <v>0</v>
      </c>
      <c r="U9" s="106">
        <f>+SAP!Q9</f>
        <v>0</v>
      </c>
      <c r="V9" s="106">
        <f>+SAP!R9</f>
        <v>0</v>
      </c>
      <c r="W9" s="106">
        <f>+SAP!S9</f>
        <v>0</v>
      </c>
      <c r="X9" s="106">
        <f>+SAP!T9</f>
        <v>0</v>
      </c>
      <c r="Y9" s="106">
        <f>+SAP!U9</f>
        <v>0</v>
      </c>
      <c r="Z9" s="106">
        <f>+SAP!V9</f>
        <v>3938.4</v>
      </c>
      <c r="AA9">
        <f>+SAP!W9</f>
        <v>0</v>
      </c>
      <c r="AB9">
        <f>+SAP!X9</f>
        <v>0</v>
      </c>
      <c r="AC9">
        <f>+SAP!Y9</f>
        <v>1149</v>
      </c>
      <c r="AD9">
        <f>+SAP!Z9</f>
        <v>0</v>
      </c>
    </row>
    <row r="10" spans="1:30" x14ac:dyDescent="0.3">
      <c r="A10" s="2">
        <f>+SAP!A10</f>
        <v>46121</v>
      </c>
      <c r="B10" s="2" t="str">
        <f>+SAP!B10</f>
        <v>HON.MS01</v>
      </c>
      <c r="C10" s="2" t="str">
        <f>+SAP!C10</f>
        <v>HONOR MALL DEL SUR</v>
      </c>
      <c r="D10" s="10">
        <f>+SAP!D10</f>
        <v>18270</v>
      </c>
      <c r="E10" s="10">
        <f>+SAP!E10</f>
        <v>0</v>
      </c>
      <c r="F10" s="10">
        <f>+SAP!F10</f>
        <v>3218</v>
      </c>
      <c r="G10" s="53">
        <f>+F10-SAP!F10</f>
        <v>0</v>
      </c>
      <c r="H10" s="3">
        <f>+SAP!G10</f>
        <v>15052</v>
      </c>
      <c r="I10" s="53">
        <f>+H10-MC!AO9</f>
        <v>0</v>
      </c>
      <c r="J10" s="106">
        <f>+SAP!H10</f>
        <v>0</v>
      </c>
      <c r="K10" s="53">
        <f>+J10-AMEX!AI10</f>
        <v>0</v>
      </c>
      <c r="L10" s="106">
        <f>+SAP!I10</f>
        <v>0</v>
      </c>
      <c r="M10" s="53">
        <f>+L10-DINNERS!AI10</f>
        <v>0</v>
      </c>
      <c r="N10" s="106">
        <f>+SAP!J10</f>
        <v>0</v>
      </c>
      <c r="O10" s="106">
        <f>+SAP!K10</f>
        <v>0</v>
      </c>
      <c r="P10" s="106">
        <f>+SAP!L10</f>
        <v>0</v>
      </c>
      <c r="Q10" s="106">
        <f>+SAP!M10</f>
        <v>0</v>
      </c>
      <c r="R10" s="106">
        <f>+SAP!N10</f>
        <v>0</v>
      </c>
      <c r="S10" s="106">
        <f>+SAP!O10</f>
        <v>0</v>
      </c>
      <c r="T10" s="106">
        <f>+SAP!P10</f>
        <v>0</v>
      </c>
      <c r="U10" s="106">
        <f>+SAP!Q10</f>
        <v>0</v>
      </c>
      <c r="V10" s="106">
        <f>+SAP!R10</f>
        <v>0</v>
      </c>
      <c r="W10" s="106">
        <f>+SAP!S10</f>
        <v>0</v>
      </c>
      <c r="X10" s="106">
        <f>+SAP!T10</f>
        <v>0</v>
      </c>
      <c r="Y10" s="106">
        <f>+SAP!U10</f>
        <v>0</v>
      </c>
      <c r="Z10" s="106">
        <f>+SAP!V10</f>
        <v>0</v>
      </c>
      <c r="AA10">
        <f>+SAP!W10</f>
        <v>0</v>
      </c>
      <c r="AB10">
        <f>+SAP!X10</f>
        <v>0</v>
      </c>
      <c r="AC10">
        <f>+SAP!Y10</f>
        <v>0</v>
      </c>
      <c r="AD10">
        <f>+SAP!Z10</f>
        <v>0</v>
      </c>
    </row>
    <row r="11" spans="1:30" x14ac:dyDescent="0.3">
      <c r="A11" s="2">
        <f>+SAP!A11</f>
        <v>46122</v>
      </c>
      <c r="B11" s="2" t="str">
        <f>+SAP!B11</f>
        <v>HON.MS01</v>
      </c>
      <c r="C11" s="2" t="str">
        <f>+SAP!C11</f>
        <v>HONOR MALL DEL SUR</v>
      </c>
      <c r="D11" s="10">
        <f>+SAP!D11</f>
        <v>20949</v>
      </c>
      <c r="E11" s="10">
        <f>+SAP!E11</f>
        <v>0</v>
      </c>
      <c r="F11" s="10">
        <f>+SAP!F11</f>
        <v>757</v>
      </c>
      <c r="G11" s="53">
        <f>+F11-SAP!F11</f>
        <v>0</v>
      </c>
      <c r="H11" s="3">
        <f>+SAP!G11</f>
        <v>15721.45</v>
      </c>
      <c r="I11" s="176">
        <f>+H11-MC!AO10</f>
        <v>2148.0000000000018</v>
      </c>
      <c r="J11" s="106">
        <f>+SAP!H11</f>
        <v>0</v>
      </c>
      <c r="K11" s="176">
        <f>+J11-AMEX!AI11</f>
        <v>-2148</v>
      </c>
      <c r="L11" s="106">
        <f>+SAP!I11</f>
        <v>0</v>
      </c>
      <c r="M11" s="53">
        <f>+L11-DINNERS!AI11</f>
        <v>0</v>
      </c>
      <c r="N11" s="106">
        <f>+SAP!J11</f>
        <v>0</v>
      </c>
      <c r="O11" s="106">
        <f>+SAP!K11</f>
        <v>0</v>
      </c>
      <c r="P11" s="106">
        <f>+SAP!L11</f>
        <v>0</v>
      </c>
      <c r="Q11" s="106">
        <f>+SAP!M11</f>
        <v>0</v>
      </c>
      <c r="R11" s="106">
        <f>+SAP!N11</f>
        <v>0</v>
      </c>
      <c r="S11" s="106">
        <f>+SAP!O11</f>
        <v>0</v>
      </c>
      <c r="T11" s="106">
        <f>+SAP!P11</f>
        <v>0</v>
      </c>
      <c r="U11" s="106">
        <f>+SAP!Q11</f>
        <v>0</v>
      </c>
      <c r="V11" s="106">
        <f>+SAP!R11</f>
        <v>0</v>
      </c>
      <c r="W11" s="106">
        <f>+SAP!S11</f>
        <v>0</v>
      </c>
      <c r="X11" s="106">
        <f>+SAP!T11</f>
        <v>0</v>
      </c>
      <c r="Y11" s="106">
        <f>+SAP!U11</f>
        <v>0</v>
      </c>
      <c r="Z11" s="106">
        <f>+SAP!V11</f>
        <v>3472.55</v>
      </c>
      <c r="AA11">
        <f>+SAP!W11</f>
        <v>0</v>
      </c>
      <c r="AB11">
        <f>+SAP!X11</f>
        <v>0</v>
      </c>
      <c r="AC11">
        <f>+SAP!Y11</f>
        <v>998</v>
      </c>
      <c r="AD11">
        <f>+SAP!Z11</f>
        <v>0</v>
      </c>
    </row>
    <row r="12" spans="1:30" ht="14.25" customHeight="1" x14ac:dyDescent="0.3">
      <c r="A12" s="2">
        <f>+SAP!A12</f>
        <v>46123</v>
      </c>
      <c r="B12" s="2" t="str">
        <f>+SAP!B12</f>
        <v>HON.MS01</v>
      </c>
      <c r="C12" s="2" t="str">
        <f>+SAP!C12</f>
        <v>HONOR MALL DEL SUR</v>
      </c>
      <c r="D12" s="10">
        <f>+SAP!D12</f>
        <v>40186.400000000001</v>
      </c>
      <c r="E12" s="10">
        <f>+SAP!E12</f>
        <v>0</v>
      </c>
      <c r="F12" s="10">
        <f>+SAP!F12</f>
        <v>5224.8</v>
      </c>
      <c r="G12" s="53">
        <f>+F12-SAP!F12</f>
        <v>0</v>
      </c>
      <c r="H12" s="3">
        <f>+SAP!G12</f>
        <v>29443</v>
      </c>
      <c r="I12" s="53">
        <f>+H12-MC!AO11</f>
        <v>0</v>
      </c>
      <c r="J12" s="106">
        <f>+SAP!H12</f>
        <v>1399</v>
      </c>
      <c r="K12" s="53">
        <f>+J12-AMEX!AI12</f>
        <v>0</v>
      </c>
      <c r="L12" s="106">
        <f>+SAP!I12</f>
        <v>0</v>
      </c>
      <c r="M12" s="53">
        <f>+L12-DINNERS!AI12</f>
        <v>0</v>
      </c>
      <c r="N12" s="106">
        <f>+SAP!J12</f>
        <v>0</v>
      </c>
      <c r="O12" s="106">
        <f>+SAP!K12</f>
        <v>0</v>
      </c>
      <c r="P12" s="106">
        <f>+SAP!L12</f>
        <v>0</v>
      </c>
      <c r="Q12" s="106">
        <f>+SAP!M12</f>
        <v>0</v>
      </c>
      <c r="R12" s="106">
        <f>+SAP!N12</f>
        <v>0</v>
      </c>
      <c r="S12" s="106">
        <f>+SAP!O12</f>
        <v>0</v>
      </c>
      <c r="T12" s="106">
        <f>+SAP!P12</f>
        <v>0</v>
      </c>
      <c r="U12" s="106">
        <f>+SAP!Q12</f>
        <v>0</v>
      </c>
      <c r="V12" s="106">
        <f>+SAP!R12</f>
        <v>0</v>
      </c>
      <c r="W12" s="106">
        <f>+SAP!S12</f>
        <v>0</v>
      </c>
      <c r="X12" s="106">
        <f>+SAP!T12</f>
        <v>0</v>
      </c>
      <c r="Y12" s="106">
        <f>+SAP!U12</f>
        <v>0</v>
      </c>
      <c r="Z12" s="106">
        <f>+SAP!V12</f>
        <v>4119.6000000000004</v>
      </c>
      <c r="AA12">
        <f>+SAP!W12</f>
        <v>0</v>
      </c>
      <c r="AB12">
        <f>+SAP!X12</f>
        <v>0</v>
      </c>
      <c r="AC12">
        <f>+SAP!Y12</f>
        <v>0</v>
      </c>
      <c r="AD12">
        <f>+SAP!Z12</f>
        <v>0</v>
      </c>
    </row>
    <row r="13" spans="1:30" x14ac:dyDescent="0.3">
      <c r="A13" s="2">
        <f>+SAP!A13</f>
        <v>46124</v>
      </c>
      <c r="B13" s="2" t="str">
        <f>+SAP!B13</f>
        <v>HON.MS01</v>
      </c>
      <c r="C13" s="2" t="str">
        <f>+SAP!C13</f>
        <v>HONOR MALL DEL SUR</v>
      </c>
      <c r="D13" s="10">
        <f>+SAP!D13</f>
        <v>35398.9</v>
      </c>
      <c r="E13" s="10">
        <f>+SAP!E13</f>
        <v>0</v>
      </c>
      <c r="F13" s="10">
        <f>+SAP!F13</f>
        <v>2689.6</v>
      </c>
      <c r="G13" s="53">
        <f>+F13-SAP!F13</f>
        <v>0</v>
      </c>
      <c r="H13" s="3">
        <f>+SAP!G13</f>
        <v>25503.5</v>
      </c>
      <c r="I13" s="53">
        <f>+H13-MC!AO12</f>
        <v>0</v>
      </c>
      <c r="J13" s="106">
        <f>+SAP!H13</f>
        <v>0</v>
      </c>
      <c r="K13" s="53">
        <f>+J13-AMEX!AI13</f>
        <v>0</v>
      </c>
      <c r="L13" s="106">
        <f>+SAP!I13</f>
        <v>0</v>
      </c>
      <c r="M13" s="53">
        <f>+L13-DINNERS!AI13</f>
        <v>0</v>
      </c>
      <c r="N13" s="106">
        <f>+SAP!J13</f>
        <v>0</v>
      </c>
      <c r="O13" s="106">
        <f>+SAP!K13</f>
        <v>0</v>
      </c>
      <c r="P13" s="106">
        <f>+SAP!L13</f>
        <v>0</v>
      </c>
      <c r="Q13" s="106">
        <f>+SAP!M13</f>
        <v>0</v>
      </c>
      <c r="R13" s="106">
        <f>+SAP!N13</f>
        <v>0</v>
      </c>
      <c r="S13" s="106">
        <f>+SAP!O13</f>
        <v>0</v>
      </c>
      <c r="T13" s="106">
        <f>+SAP!P13</f>
        <v>0</v>
      </c>
      <c r="U13" s="106">
        <f>+SAP!Q13</f>
        <v>0</v>
      </c>
      <c r="V13" s="106">
        <f>+SAP!R13</f>
        <v>0</v>
      </c>
      <c r="W13" s="106">
        <f>+SAP!S13</f>
        <v>0</v>
      </c>
      <c r="X13" s="106">
        <f>+SAP!T13</f>
        <v>0</v>
      </c>
      <c r="Y13" s="106">
        <f>+SAP!U13</f>
        <v>0</v>
      </c>
      <c r="Z13" s="106">
        <f>+SAP!V13</f>
        <v>5406.8</v>
      </c>
      <c r="AA13">
        <f>+SAP!W13</f>
        <v>0</v>
      </c>
      <c r="AB13">
        <f>+SAP!X13</f>
        <v>0</v>
      </c>
      <c r="AC13">
        <f>+SAP!Y13</f>
        <v>1799</v>
      </c>
      <c r="AD13">
        <f>+SAP!Z13</f>
        <v>0</v>
      </c>
    </row>
    <row r="14" spans="1:30" x14ac:dyDescent="0.3">
      <c r="A14" s="2">
        <f>+SAP!A14</f>
        <v>46125</v>
      </c>
      <c r="B14" s="2" t="str">
        <f>+SAP!B14</f>
        <v>HON.MS01</v>
      </c>
      <c r="C14" s="2" t="str">
        <f>+SAP!C14</f>
        <v>HONOR MALL DEL SUR</v>
      </c>
      <c r="D14" s="10">
        <f>+SAP!D14</f>
        <v>14091</v>
      </c>
      <c r="E14" s="10">
        <f>+SAP!E14</f>
        <v>0</v>
      </c>
      <c r="F14" s="10">
        <f>+SAP!F14</f>
        <v>629</v>
      </c>
      <c r="G14" s="53">
        <f>+F14-SAP!F14</f>
        <v>0</v>
      </c>
      <c r="H14" s="3">
        <f>+SAP!G14</f>
        <v>10947.5</v>
      </c>
      <c r="I14" s="53">
        <f>+H14-MC!AO13</f>
        <v>0</v>
      </c>
      <c r="J14" s="106">
        <f>+SAP!H14</f>
        <v>0</v>
      </c>
      <c r="K14" s="53">
        <f>+J14-AMEX!AI14</f>
        <v>0</v>
      </c>
      <c r="L14" s="106">
        <f>+SAP!I14</f>
        <v>89</v>
      </c>
      <c r="M14" s="53">
        <f>+L14-DINNERS!AI14</f>
        <v>0</v>
      </c>
      <c r="N14" s="106">
        <f>+SAP!J14</f>
        <v>0</v>
      </c>
      <c r="O14" s="106">
        <f>+SAP!K14</f>
        <v>0</v>
      </c>
      <c r="P14" s="106">
        <f>+SAP!L14</f>
        <v>0</v>
      </c>
      <c r="Q14" s="106">
        <f>+SAP!M14</f>
        <v>0</v>
      </c>
      <c r="R14" s="106">
        <f>+SAP!N14</f>
        <v>0</v>
      </c>
      <c r="S14" s="106">
        <f>+SAP!O14</f>
        <v>0</v>
      </c>
      <c r="T14" s="106">
        <f>+SAP!P14</f>
        <v>0</v>
      </c>
      <c r="U14" s="106">
        <f>+SAP!Q14</f>
        <v>0</v>
      </c>
      <c r="V14" s="106">
        <f>+SAP!R14</f>
        <v>0</v>
      </c>
      <c r="W14" s="106">
        <f>+SAP!S14</f>
        <v>0</v>
      </c>
      <c r="X14" s="106">
        <f>+SAP!T14</f>
        <v>0</v>
      </c>
      <c r="Y14" s="106">
        <f>+SAP!U14</f>
        <v>0</v>
      </c>
      <c r="Z14" s="106">
        <f>+SAP!V14</f>
        <v>2425.5</v>
      </c>
      <c r="AA14">
        <f>+SAP!W14</f>
        <v>0</v>
      </c>
      <c r="AB14">
        <f>+SAP!X14</f>
        <v>0</v>
      </c>
      <c r="AC14">
        <f>+SAP!Y14</f>
        <v>0</v>
      </c>
      <c r="AD14">
        <f>+SAP!Z14</f>
        <v>0</v>
      </c>
    </row>
    <row r="15" spans="1:30" x14ac:dyDescent="0.3">
      <c r="A15" s="2">
        <f>+SAP!A15</f>
        <v>46126</v>
      </c>
      <c r="B15" s="2" t="str">
        <f>+SAP!B15</f>
        <v>HON.MS01</v>
      </c>
      <c r="C15" s="2" t="str">
        <f>+SAP!C15</f>
        <v>HONOR MALL DEL SUR</v>
      </c>
      <c r="D15" s="10">
        <f>+SAP!D15</f>
        <v>25466</v>
      </c>
      <c r="E15" s="10">
        <f>+SAP!E15</f>
        <v>0</v>
      </c>
      <c r="F15" s="10">
        <f>+SAP!F15</f>
        <v>3890</v>
      </c>
      <c r="G15" s="53">
        <f>+F15-SAP!F15</f>
        <v>0</v>
      </c>
      <c r="H15" s="3">
        <f>+SAP!G15</f>
        <v>16358.9</v>
      </c>
      <c r="I15" s="53">
        <f>+H15-MC!AO14</f>
        <v>0</v>
      </c>
      <c r="J15" s="106">
        <f>+SAP!H15</f>
        <v>0</v>
      </c>
      <c r="K15" s="53">
        <f>+J15-AMEX!AI15</f>
        <v>0</v>
      </c>
      <c r="L15" s="106">
        <f>+SAP!I15</f>
        <v>0</v>
      </c>
      <c r="M15" s="53">
        <f>+L15-DINNERS!AI15</f>
        <v>0</v>
      </c>
      <c r="N15" s="106">
        <f>+SAP!J15</f>
        <v>0</v>
      </c>
      <c r="O15" s="106">
        <f>+SAP!K15</f>
        <v>0</v>
      </c>
      <c r="P15" s="106">
        <f>+SAP!L15</f>
        <v>0</v>
      </c>
      <c r="Q15" s="106">
        <f>+SAP!M15</f>
        <v>0</v>
      </c>
      <c r="R15" s="106">
        <f>+SAP!N15</f>
        <v>0</v>
      </c>
      <c r="S15" s="106">
        <f>+SAP!O15</f>
        <v>0</v>
      </c>
      <c r="T15" s="106">
        <f>+SAP!P15</f>
        <v>0</v>
      </c>
      <c r="U15" s="106">
        <f>+SAP!Q15</f>
        <v>0</v>
      </c>
      <c r="V15" s="106">
        <f>+SAP!R15</f>
        <v>0</v>
      </c>
      <c r="W15" s="106">
        <f>+SAP!S15</f>
        <v>0</v>
      </c>
      <c r="X15" s="106">
        <f>+SAP!T15</f>
        <v>0</v>
      </c>
      <c r="Y15" s="106">
        <f>+SAP!U15</f>
        <v>0</v>
      </c>
      <c r="Z15" s="106">
        <f>+SAP!V15</f>
        <v>1619.1</v>
      </c>
      <c r="AA15">
        <f>+SAP!W15</f>
        <v>0</v>
      </c>
      <c r="AB15">
        <f>+SAP!X15</f>
        <v>0</v>
      </c>
      <c r="AC15">
        <f>+SAP!Y15</f>
        <v>3598</v>
      </c>
      <c r="AD15">
        <f>+SAP!Z15</f>
        <v>0</v>
      </c>
    </row>
    <row r="16" spans="1:30" x14ac:dyDescent="0.3">
      <c r="A16" s="2">
        <f>+SAP!A16</f>
        <v>46127</v>
      </c>
      <c r="B16" s="2" t="str">
        <f>+SAP!B16</f>
        <v>HON.MS01</v>
      </c>
      <c r="C16" s="2" t="str">
        <f>+SAP!C16</f>
        <v>HONOR MALL DEL SUR</v>
      </c>
      <c r="D16" s="10">
        <f>+SAP!D16</f>
        <v>10285.9</v>
      </c>
      <c r="E16" s="10">
        <f>+SAP!E16</f>
        <v>0</v>
      </c>
      <c r="F16" s="10">
        <f>+SAP!F16</f>
        <v>299</v>
      </c>
      <c r="G16" s="53">
        <f>+F16-SAP!F16</f>
        <v>0</v>
      </c>
      <c r="H16" s="3">
        <f>+SAP!G16</f>
        <v>8952.7999999999993</v>
      </c>
      <c r="I16" s="53">
        <f>+H16-MC!AO15</f>
        <v>0</v>
      </c>
      <c r="J16" s="106">
        <f>+SAP!H16</f>
        <v>0</v>
      </c>
      <c r="K16" s="53">
        <f>+J16-AMEX!AI16</f>
        <v>0</v>
      </c>
      <c r="L16" s="106">
        <f>+SAP!I16</f>
        <v>0</v>
      </c>
      <c r="M16" s="53">
        <f>+L16-DINNERS!AI16</f>
        <v>0</v>
      </c>
      <c r="N16" s="106">
        <f>+SAP!J16</f>
        <v>0</v>
      </c>
      <c r="O16" s="106">
        <f>+SAP!K16</f>
        <v>0</v>
      </c>
      <c r="P16" s="106">
        <f>+SAP!L16</f>
        <v>0</v>
      </c>
      <c r="Q16" s="106">
        <f>+SAP!M16</f>
        <v>0</v>
      </c>
      <c r="R16" s="106">
        <f>+SAP!N16</f>
        <v>0</v>
      </c>
      <c r="S16" s="106">
        <f>+SAP!O16</f>
        <v>0</v>
      </c>
      <c r="T16" s="106">
        <f>+SAP!P16</f>
        <v>0</v>
      </c>
      <c r="U16" s="106">
        <f>+SAP!Q16</f>
        <v>0</v>
      </c>
      <c r="V16" s="106">
        <f>+SAP!R16</f>
        <v>0</v>
      </c>
      <c r="W16" s="106">
        <f>+SAP!S16</f>
        <v>0</v>
      </c>
      <c r="X16" s="106">
        <f>+SAP!T16</f>
        <v>0</v>
      </c>
      <c r="Y16" s="106">
        <f>+SAP!U16</f>
        <v>0</v>
      </c>
      <c r="Z16" s="106">
        <f>+SAP!V16</f>
        <v>1034.0999999999999</v>
      </c>
      <c r="AA16">
        <f>+SAP!W16</f>
        <v>0</v>
      </c>
      <c r="AB16">
        <f>+SAP!X16</f>
        <v>0</v>
      </c>
      <c r="AC16">
        <f>+SAP!Y16</f>
        <v>0</v>
      </c>
      <c r="AD16">
        <f>+SAP!Z16</f>
        <v>0</v>
      </c>
    </row>
    <row r="17" spans="1:30" x14ac:dyDescent="0.3">
      <c r="A17" s="2">
        <f>+SAP!A17</f>
        <v>46128</v>
      </c>
      <c r="B17" s="2" t="str">
        <f>+SAP!B17</f>
        <v>HON.MS01</v>
      </c>
      <c r="C17" s="2" t="str">
        <f>+SAP!C17</f>
        <v>HONOR MALL DEL SUR</v>
      </c>
      <c r="D17" s="10">
        <f>+SAP!D17</f>
        <v>7471.9</v>
      </c>
      <c r="E17" s="10">
        <f>+SAP!E17</f>
        <v>0</v>
      </c>
      <c r="F17" s="10">
        <f>+SAP!F17</f>
        <v>2362.9</v>
      </c>
      <c r="G17" s="53">
        <f>+F17-SAP!F17</f>
        <v>0</v>
      </c>
      <c r="H17" s="3">
        <f>+SAP!G17</f>
        <v>4074.9</v>
      </c>
      <c r="I17" s="53">
        <f>+H17-MC!AO16</f>
        <v>0</v>
      </c>
      <c r="J17" s="106">
        <f>+SAP!H17</f>
        <v>0</v>
      </c>
      <c r="K17" s="53">
        <f>+J17-AMEX!AI17</f>
        <v>0</v>
      </c>
      <c r="L17" s="106">
        <f>+SAP!I17</f>
        <v>0</v>
      </c>
      <c r="M17" s="53">
        <f>+L17-DINNERS!AI17</f>
        <v>0</v>
      </c>
      <c r="N17" s="106">
        <f>+SAP!J17</f>
        <v>0</v>
      </c>
      <c r="O17" s="106">
        <f>+SAP!K17</f>
        <v>0</v>
      </c>
      <c r="P17" s="106">
        <f>+SAP!L17</f>
        <v>0</v>
      </c>
      <c r="Q17" s="106">
        <f>+SAP!M17</f>
        <v>0</v>
      </c>
      <c r="R17" s="106">
        <f>+SAP!N17</f>
        <v>0</v>
      </c>
      <c r="S17" s="106">
        <f>+SAP!O17</f>
        <v>0</v>
      </c>
      <c r="T17" s="106">
        <f>+SAP!P17</f>
        <v>0</v>
      </c>
      <c r="U17" s="106">
        <f>+SAP!Q17</f>
        <v>0</v>
      </c>
      <c r="V17" s="106">
        <f>+SAP!R17</f>
        <v>0</v>
      </c>
      <c r="W17" s="106">
        <f>+SAP!S17</f>
        <v>0</v>
      </c>
      <c r="X17" s="106">
        <f>+SAP!T17</f>
        <v>0</v>
      </c>
      <c r="Y17" s="106">
        <f>+SAP!U17</f>
        <v>0</v>
      </c>
      <c r="Z17" s="106">
        <f>+SAP!V17</f>
        <v>1034.0999999999999</v>
      </c>
      <c r="AA17">
        <f>+SAP!W17</f>
        <v>0</v>
      </c>
      <c r="AB17">
        <f>+SAP!X17</f>
        <v>0</v>
      </c>
      <c r="AC17">
        <f>+SAP!Y17</f>
        <v>0</v>
      </c>
      <c r="AD17">
        <f>+SAP!Z17</f>
        <v>0</v>
      </c>
    </row>
    <row r="18" spans="1:30" x14ac:dyDescent="0.3">
      <c r="A18" s="2">
        <f>+SAP!A18</f>
        <v>46129</v>
      </c>
      <c r="B18" s="2" t="str">
        <f>+SAP!B18</f>
        <v>HON.MS01</v>
      </c>
      <c r="C18" s="2" t="str">
        <f>+SAP!C18</f>
        <v>HONOR MALL DEL SUR</v>
      </c>
      <c r="D18" s="10">
        <f>+SAP!D18</f>
        <v>9114</v>
      </c>
      <c r="E18" s="10">
        <f>+SAP!E18</f>
        <v>0</v>
      </c>
      <c r="F18" s="10">
        <f>+SAP!F18</f>
        <v>2945</v>
      </c>
      <c r="G18" s="53">
        <f>+F18-SAP!F18</f>
        <v>0</v>
      </c>
      <c r="H18" s="3">
        <f>+SAP!G18</f>
        <v>5120.75</v>
      </c>
      <c r="I18" s="53">
        <f>+H18-MC!AO17</f>
        <v>0</v>
      </c>
      <c r="J18" s="106">
        <f>+SAP!H18</f>
        <v>0</v>
      </c>
      <c r="K18" s="53">
        <f>+J18-AMEX!AI18</f>
        <v>0</v>
      </c>
      <c r="L18" s="106">
        <f>+SAP!I18</f>
        <v>0</v>
      </c>
      <c r="M18" s="53">
        <f>+L18-DINNERS!AI18</f>
        <v>0</v>
      </c>
      <c r="N18" s="106">
        <f>+SAP!J18</f>
        <v>0</v>
      </c>
      <c r="O18" s="106">
        <f>+SAP!K18</f>
        <v>0</v>
      </c>
      <c r="P18" s="106">
        <f>+SAP!L18</f>
        <v>0</v>
      </c>
      <c r="Q18" s="106">
        <f>+SAP!M18</f>
        <v>0</v>
      </c>
      <c r="R18" s="106">
        <f>+SAP!N18</f>
        <v>0</v>
      </c>
      <c r="S18" s="106">
        <f>+SAP!O18</f>
        <v>0</v>
      </c>
      <c r="T18" s="106">
        <f>+SAP!P18</f>
        <v>0</v>
      </c>
      <c r="U18" s="106">
        <f>+SAP!Q18</f>
        <v>0</v>
      </c>
      <c r="V18" s="106">
        <f>+SAP!R18</f>
        <v>0</v>
      </c>
      <c r="W18" s="106">
        <f>+SAP!S18</f>
        <v>0</v>
      </c>
      <c r="X18" s="106">
        <f>+SAP!T18</f>
        <v>0</v>
      </c>
      <c r="Y18" s="106">
        <f>+SAP!U18</f>
        <v>0</v>
      </c>
      <c r="Z18" s="106">
        <f>+SAP!V18</f>
        <v>149.25</v>
      </c>
      <c r="AA18">
        <f>+SAP!W18</f>
        <v>0</v>
      </c>
      <c r="AB18">
        <f>+SAP!X18</f>
        <v>0</v>
      </c>
      <c r="AC18">
        <f>+SAP!Y18</f>
        <v>899</v>
      </c>
      <c r="AD18">
        <f>+SAP!Z18</f>
        <v>0</v>
      </c>
    </row>
    <row r="19" spans="1:30" s="138" customFormat="1" ht="15" thickBot="1" x14ac:dyDescent="0.35">
      <c r="A19" s="133">
        <f>+SAP!A19</f>
        <v>46130</v>
      </c>
      <c r="B19" s="133" t="str">
        <f>+SAP!B19</f>
        <v>HON.MS01</v>
      </c>
      <c r="C19" s="133" t="str">
        <f>+SAP!C19</f>
        <v>HONOR MALL DEL SUR</v>
      </c>
      <c r="D19" s="134">
        <f>+SAP!D19</f>
        <v>32007</v>
      </c>
      <c r="E19" s="134">
        <f>+SAP!E19</f>
        <v>0</v>
      </c>
      <c r="F19" s="134">
        <f>+SAP!F19</f>
        <v>9412.7999999999993</v>
      </c>
      <c r="G19" s="135">
        <f>+F19-SAP!F19</f>
        <v>0</v>
      </c>
      <c r="H19" s="136">
        <f>+SAP!G19</f>
        <v>10307</v>
      </c>
      <c r="I19" s="53">
        <f>+H19-MC!AO18</f>
        <v>0</v>
      </c>
      <c r="J19" s="137">
        <f>+SAP!H19</f>
        <v>8998</v>
      </c>
      <c r="K19" s="53">
        <f>+J19-AMEX!AI19</f>
        <v>0</v>
      </c>
      <c r="L19" s="137">
        <f>+SAP!I19</f>
        <v>0</v>
      </c>
      <c r="M19" s="53">
        <f>+L19-DINNERS!AI19</f>
        <v>0</v>
      </c>
      <c r="N19" s="137">
        <f>+SAP!J19</f>
        <v>0</v>
      </c>
      <c r="O19" s="137">
        <f>+SAP!K19</f>
        <v>0</v>
      </c>
      <c r="P19" s="137">
        <f>+SAP!L19</f>
        <v>0</v>
      </c>
      <c r="Q19" s="137">
        <f>+SAP!M19</f>
        <v>0</v>
      </c>
      <c r="R19" s="137">
        <f>+SAP!N19</f>
        <v>0</v>
      </c>
      <c r="S19" s="137">
        <f>+SAP!O19</f>
        <v>0</v>
      </c>
      <c r="T19" s="137">
        <f>+SAP!P19</f>
        <v>0</v>
      </c>
      <c r="U19" s="137">
        <f>+SAP!Q19</f>
        <v>0</v>
      </c>
      <c r="V19" s="137">
        <f>+SAP!R19</f>
        <v>0</v>
      </c>
      <c r="W19" s="137">
        <f>+SAP!S19</f>
        <v>0</v>
      </c>
      <c r="X19" s="137">
        <f>+SAP!T19</f>
        <v>0</v>
      </c>
      <c r="Y19" s="137">
        <f>+SAP!U19</f>
        <v>0</v>
      </c>
      <c r="Z19" s="137">
        <f>+SAP!V19</f>
        <v>1789.2</v>
      </c>
      <c r="AA19" s="138">
        <f>+SAP!W19</f>
        <v>0</v>
      </c>
      <c r="AB19" s="138">
        <f>+SAP!X19</f>
        <v>0</v>
      </c>
      <c r="AC19" s="138">
        <f>+SAP!Y19</f>
        <v>1500</v>
      </c>
      <c r="AD19" s="138">
        <f>+SAP!Z19</f>
        <v>0</v>
      </c>
    </row>
    <row r="20" spans="1:30" x14ac:dyDescent="0.3">
      <c r="A20" s="2">
        <f>+SAP!A20</f>
        <v>46131</v>
      </c>
      <c r="B20" s="2" t="str">
        <f>+SAP!B20</f>
        <v>HON.MS01</v>
      </c>
      <c r="C20" s="2" t="str">
        <f>+SAP!C20</f>
        <v>HONOR MALL DEL SUR</v>
      </c>
      <c r="D20" s="10">
        <f>+SAP!D20</f>
        <v>33668</v>
      </c>
      <c r="E20" s="10">
        <f>+SAP!E20</f>
        <v>0</v>
      </c>
      <c r="F20" s="10">
        <f>+SAP!F20</f>
        <v>5371.6</v>
      </c>
      <c r="G20" s="53">
        <f>+F20-SAP!F20</f>
        <v>0</v>
      </c>
      <c r="H20" s="3">
        <f>+SAP!G20</f>
        <v>19100</v>
      </c>
      <c r="I20" s="53">
        <f>+H20-MC!AO19</f>
        <v>0</v>
      </c>
      <c r="J20" s="106">
        <f>+SAP!H20</f>
        <v>4227</v>
      </c>
      <c r="K20" s="53">
        <f>+J20-AMEX!AI20</f>
        <v>4227</v>
      </c>
      <c r="L20" s="106">
        <f>+SAP!I20</f>
        <v>0</v>
      </c>
      <c r="M20" s="53">
        <f>+L20-DINNERS!AI20</f>
        <v>0</v>
      </c>
      <c r="N20" s="106">
        <f>+SAP!J20</f>
        <v>0</v>
      </c>
      <c r="O20" s="106">
        <f>+SAP!K20</f>
        <v>0</v>
      </c>
      <c r="P20" s="106">
        <f>+SAP!L20</f>
        <v>0</v>
      </c>
      <c r="Q20" s="106">
        <f>+SAP!M20</f>
        <v>0</v>
      </c>
      <c r="R20" s="106">
        <f>+SAP!N20</f>
        <v>0</v>
      </c>
      <c r="S20" s="106">
        <f>+SAP!O20</f>
        <v>0</v>
      </c>
      <c r="T20" s="106">
        <f>+SAP!P20</f>
        <v>0</v>
      </c>
      <c r="U20" s="106">
        <f>+SAP!Q20</f>
        <v>0</v>
      </c>
      <c r="V20" s="106">
        <f>+SAP!R20</f>
        <v>0</v>
      </c>
      <c r="W20" s="106">
        <f>+SAP!S20</f>
        <v>0</v>
      </c>
      <c r="X20" s="106">
        <f>+SAP!T20</f>
        <v>0</v>
      </c>
      <c r="Y20" s="106">
        <f>+SAP!U20</f>
        <v>0</v>
      </c>
      <c r="Z20" s="106">
        <f>+SAP!V20</f>
        <v>3270.4</v>
      </c>
      <c r="AA20">
        <f>+SAP!W20</f>
        <v>0</v>
      </c>
      <c r="AB20">
        <f>+SAP!X20</f>
        <v>1699</v>
      </c>
      <c r="AC20">
        <f>+SAP!Y20</f>
        <v>0</v>
      </c>
      <c r="AD20">
        <f>+SAP!Z20</f>
        <v>0</v>
      </c>
    </row>
    <row r="21" spans="1:30" x14ac:dyDescent="0.3">
      <c r="A21" s="2">
        <f>+SAP!A21</f>
        <v>46132</v>
      </c>
      <c r="B21" s="2" t="str">
        <f>+SAP!B21</f>
        <v>HON.MS01</v>
      </c>
      <c r="C21" s="2" t="str">
        <f>+SAP!C21</f>
        <v>HONOR MALL DEL SUR</v>
      </c>
      <c r="D21" s="10">
        <f>+SAP!D21</f>
        <v>13989</v>
      </c>
      <c r="E21" s="10">
        <f>+SAP!E21</f>
        <v>0</v>
      </c>
      <c r="F21" s="10">
        <f>+SAP!F21</f>
        <v>2971.9</v>
      </c>
      <c r="G21" s="53">
        <f>+F21-SAP!F21</f>
        <v>0</v>
      </c>
      <c r="H21" s="3">
        <f>+SAP!G21</f>
        <v>8209.7000000000007</v>
      </c>
      <c r="I21" s="53">
        <f>+H21-MC!AO20</f>
        <v>0</v>
      </c>
      <c r="J21" s="106">
        <f>+SAP!H21</f>
        <v>0</v>
      </c>
      <c r="K21" s="53">
        <f>+J21-AMEX!AI21</f>
        <v>0</v>
      </c>
      <c r="L21" s="106">
        <f>+SAP!I21</f>
        <v>0</v>
      </c>
      <c r="M21" s="53">
        <f>+L21-DINNERS!AI21</f>
        <v>0</v>
      </c>
      <c r="N21" s="106">
        <f>+SAP!J21</f>
        <v>0</v>
      </c>
      <c r="O21" s="106">
        <f>+SAP!K21</f>
        <v>0</v>
      </c>
      <c r="P21" s="106">
        <f>+SAP!L21</f>
        <v>0</v>
      </c>
      <c r="Q21" s="106">
        <f>+SAP!M21</f>
        <v>0</v>
      </c>
      <c r="R21" s="106">
        <f>+SAP!N21</f>
        <v>0</v>
      </c>
      <c r="S21" s="106">
        <f>+SAP!O21</f>
        <v>0</v>
      </c>
      <c r="T21" s="106">
        <f>+SAP!P21</f>
        <v>0</v>
      </c>
      <c r="U21" s="106">
        <f>+SAP!Q21</f>
        <v>0</v>
      </c>
      <c r="V21" s="106">
        <f>+SAP!R21</f>
        <v>0</v>
      </c>
      <c r="W21" s="106">
        <f>+SAP!S21</f>
        <v>0</v>
      </c>
      <c r="X21" s="106">
        <f>+SAP!T21</f>
        <v>0</v>
      </c>
      <c r="Y21" s="106">
        <f>+SAP!U21</f>
        <v>0</v>
      </c>
      <c r="Z21" s="106">
        <f>+SAP!V21</f>
        <v>2807.4</v>
      </c>
      <c r="AA21">
        <f>+SAP!W21</f>
        <v>0</v>
      </c>
      <c r="AB21">
        <f>+SAP!X21</f>
        <v>0</v>
      </c>
      <c r="AC21">
        <f>+SAP!Y21</f>
        <v>0</v>
      </c>
      <c r="AD21">
        <f>+SAP!Z21</f>
        <v>0</v>
      </c>
    </row>
    <row r="22" spans="1:30" x14ac:dyDescent="0.3">
      <c r="A22" s="2">
        <f>+SAP!A22</f>
        <v>46133</v>
      </c>
      <c r="B22" s="2" t="str">
        <f>+SAP!B22</f>
        <v>HON.MS01</v>
      </c>
      <c r="C22" s="2" t="str">
        <f>+SAP!C22</f>
        <v>HONOR MALL DEL SUR</v>
      </c>
      <c r="D22" s="10">
        <f>+SAP!D22</f>
        <v>11235</v>
      </c>
      <c r="E22" s="10">
        <f>+SAP!E22</f>
        <v>0</v>
      </c>
      <c r="F22" s="10">
        <f>+SAP!F22</f>
        <v>4803</v>
      </c>
      <c r="G22" s="53">
        <f>+F22-SAP!F22</f>
        <v>0</v>
      </c>
      <c r="H22" s="3">
        <f>+SAP!G22</f>
        <v>6432</v>
      </c>
      <c r="I22" s="53">
        <f>+H22-MC!AO21</f>
        <v>6432</v>
      </c>
      <c r="J22" s="106">
        <f>+SAP!H22</f>
        <v>0</v>
      </c>
      <c r="K22" s="53">
        <f>+J22-AMEX!AI22</f>
        <v>0</v>
      </c>
      <c r="L22" s="106">
        <f>+SAP!I22</f>
        <v>0</v>
      </c>
      <c r="M22" s="53">
        <f>+L22-DINNERS!AI22</f>
        <v>0</v>
      </c>
      <c r="N22" s="106">
        <f>+SAP!J22</f>
        <v>0</v>
      </c>
      <c r="O22" s="106">
        <f>+SAP!K22</f>
        <v>0</v>
      </c>
      <c r="P22" s="106">
        <f>+SAP!L22</f>
        <v>0</v>
      </c>
      <c r="Q22" s="106">
        <f>+SAP!M22</f>
        <v>0</v>
      </c>
      <c r="R22" s="106">
        <f>+SAP!N22</f>
        <v>0</v>
      </c>
      <c r="S22" s="106">
        <f>+SAP!O22</f>
        <v>0</v>
      </c>
      <c r="T22" s="106">
        <f>+SAP!P22</f>
        <v>0</v>
      </c>
      <c r="U22" s="106">
        <f>+SAP!Q22</f>
        <v>0</v>
      </c>
      <c r="V22" s="106">
        <f>+SAP!R22</f>
        <v>0</v>
      </c>
      <c r="W22" s="106">
        <f>+SAP!S22</f>
        <v>0</v>
      </c>
      <c r="X22" s="106">
        <f>+SAP!T22</f>
        <v>0</v>
      </c>
      <c r="Y22" s="106">
        <f>+SAP!U22</f>
        <v>0</v>
      </c>
      <c r="Z22" s="106">
        <f>+SAP!V22</f>
        <v>0</v>
      </c>
      <c r="AA22">
        <f>+SAP!W22</f>
        <v>0</v>
      </c>
      <c r="AB22">
        <f>+SAP!X22</f>
        <v>0</v>
      </c>
      <c r="AC22">
        <f>+SAP!Y22</f>
        <v>0</v>
      </c>
      <c r="AD22">
        <f>+SAP!Z22</f>
        <v>0</v>
      </c>
    </row>
    <row r="23" spans="1:30" x14ac:dyDescent="0.3">
      <c r="A23" s="2">
        <f>+SAP!A23</f>
        <v>46134</v>
      </c>
      <c r="B23" s="2" t="str">
        <f>+SAP!B23</f>
        <v>HON.MS01</v>
      </c>
      <c r="C23" s="2" t="str">
        <f>+SAP!C23</f>
        <v>HONOR MALL DEL SUR</v>
      </c>
      <c r="D23" s="10">
        <f>+SAP!D23</f>
        <v>18350</v>
      </c>
      <c r="E23" s="10">
        <f>+SAP!E23</f>
        <v>0</v>
      </c>
      <c r="F23" s="10">
        <f>+SAP!F23</f>
        <v>3278.7</v>
      </c>
      <c r="G23" s="53">
        <f>+F23-SAP!F23</f>
        <v>0</v>
      </c>
      <c r="H23" s="3">
        <f>+SAP!G23</f>
        <v>14648</v>
      </c>
      <c r="I23" s="53">
        <f>+H23-MC!AO22</f>
        <v>14648</v>
      </c>
      <c r="J23" s="106">
        <f>+SAP!H23</f>
        <v>0</v>
      </c>
      <c r="K23" s="53">
        <f>+J23-AMEX!AI23</f>
        <v>0</v>
      </c>
      <c r="L23" s="106">
        <f>+SAP!I23</f>
        <v>0</v>
      </c>
      <c r="M23" s="53">
        <f>+L23-DINNERS!AI23</f>
        <v>0</v>
      </c>
      <c r="N23" s="106">
        <f>+SAP!J23</f>
        <v>0</v>
      </c>
      <c r="O23" s="106">
        <f>+SAP!K23</f>
        <v>0</v>
      </c>
      <c r="P23" s="106">
        <f>+SAP!L23</f>
        <v>0</v>
      </c>
      <c r="Q23" s="106">
        <f>+SAP!M23</f>
        <v>0</v>
      </c>
      <c r="R23" s="106">
        <f>+SAP!N23</f>
        <v>0</v>
      </c>
      <c r="S23" s="106">
        <f>+SAP!O23</f>
        <v>0</v>
      </c>
      <c r="T23" s="106">
        <f>+SAP!P23</f>
        <v>0</v>
      </c>
      <c r="U23" s="106">
        <f>+SAP!Q23</f>
        <v>0</v>
      </c>
      <c r="V23" s="106">
        <f>+SAP!R23</f>
        <v>0</v>
      </c>
      <c r="W23" s="106">
        <f>+SAP!S23</f>
        <v>0</v>
      </c>
      <c r="X23" s="106">
        <f>+SAP!T23</f>
        <v>0</v>
      </c>
      <c r="Y23" s="106">
        <f>+SAP!U23</f>
        <v>0</v>
      </c>
      <c r="Z23" s="106">
        <f>+SAP!V23</f>
        <v>423.3</v>
      </c>
      <c r="AA23">
        <f>+SAP!W23</f>
        <v>0</v>
      </c>
      <c r="AB23">
        <f>+SAP!X23</f>
        <v>0</v>
      </c>
      <c r="AC23">
        <f>+SAP!Y23</f>
        <v>0</v>
      </c>
      <c r="AD23">
        <f>+SAP!Z23</f>
        <v>0</v>
      </c>
    </row>
    <row r="24" spans="1:30" x14ac:dyDescent="0.3">
      <c r="A24" s="2">
        <f>+SAP!A24</f>
        <v>46135</v>
      </c>
      <c r="B24" s="2" t="str">
        <f>+SAP!B24</f>
        <v>HON.MS01</v>
      </c>
      <c r="C24" s="2" t="str">
        <f>+SAP!C24</f>
        <v>HONOR MALL DEL SUR</v>
      </c>
      <c r="D24" s="10">
        <f>+SAP!D24</f>
        <v>18825</v>
      </c>
      <c r="E24" s="10">
        <f>+SAP!E24</f>
        <v>0</v>
      </c>
      <c r="F24" s="10">
        <f>+SAP!F24</f>
        <v>3622.8</v>
      </c>
      <c r="G24" s="53">
        <f>+F24-SAP!F24</f>
        <v>0</v>
      </c>
      <c r="H24" s="3">
        <f>+SAP!G24</f>
        <v>12210</v>
      </c>
      <c r="I24" s="53">
        <f>+H24-MC!AO23</f>
        <v>12210</v>
      </c>
      <c r="J24" s="106">
        <f>+SAP!H24</f>
        <v>0</v>
      </c>
      <c r="K24" s="53">
        <f>+J24-AMEX!AI24</f>
        <v>0</v>
      </c>
      <c r="L24" s="106">
        <f>+SAP!I24</f>
        <v>0</v>
      </c>
      <c r="M24" s="53">
        <f>+L24-DINNERS!AI24</f>
        <v>0</v>
      </c>
      <c r="N24" s="106">
        <f>+SAP!J24</f>
        <v>0</v>
      </c>
      <c r="O24" s="106">
        <f>+SAP!K24</f>
        <v>0</v>
      </c>
      <c r="P24" s="106">
        <f>+SAP!L24</f>
        <v>0</v>
      </c>
      <c r="Q24" s="106">
        <f>+SAP!M24</f>
        <v>0</v>
      </c>
      <c r="R24" s="106">
        <f>+SAP!N24</f>
        <v>0</v>
      </c>
      <c r="S24" s="106">
        <f>+SAP!O24</f>
        <v>0</v>
      </c>
      <c r="T24" s="106">
        <f>+SAP!P24</f>
        <v>0</v>
      </c>
      <c r="U24" s="106">
        <f>+SAP!Q24</f>
        <v>0</v>
      </c>
      <c r="V24" s="106">
        <f>+SAP!R24</f>
        <v>0</v>
      </c>
      <c r="W24" s="106">
        <f>+SAP!S24</f>
        <v>0</v>
      </c>
      <c r="X24" s="106">
        <f>+SAP!T24</f>
        <v>0</v>
      </c>
      <c r="Y24" s="106">
        <f>+SAP!U24</f>
        <v>0</v>
      </c>
      <c r="Z24" s="106">
        <f>+SAP!V24</f>
        <v>1493.2</v>
      </c>
      <c r="AA24">
        <f>+SAP!W24</f>
        <v>0</v>
      </c>
      <c r="AB24">
        <f>+SAP!X24</f>
        <v>0</v>
      </c>
      <c r="AC24">
        <f>+SAP!Y24</f>
        <v>1499</v>
      </c>
      <c r="AD24">
        <f>+SAP!Z24</f>
        <v>0</v>
      </c>
    </row>
    <row r="25" spans="1:30" x14ac:dyDescent="0.3">
      <c r="A25" s="2">
        <f>+SAP!A25</f>
        <v>46136</v>
      </c>
      <c r="B25" s="2" t="str">
        <f>+SAP!B25</f>
        <v>HON.MS01</v>
      </c>
      <c r="C25" s="2" t="str">
        <f>+SAP!C25</f>
        <v>HONOR MALL DEL SUR</v>
      </c>
      <c r="D25" s="10">
        <f>+SAP!D25</f>
        <v>24606.6</v>
      </c>
      <c r="E25" s="10">
        <f>+SAP!E25</f>
        <v>0</v>
      </c>
      <c r="F25" s="10">
        <f>+SAP!F25</f>
        <v>2676</v>
      </c>
      <c r="G25" s="53">
        <f>+F25-SAP!F25</f>
        <v>0</v>
      </c>
      <c r="H25" s="3">
        <f>+SAP!G25</f>
        <v>21295.5</v>
      </c>
      <c r="I25" s="53">
        <f>+H25-MC!AO24</f>
        <v>21295.5</v>
      </c>
      <c r="J25" s="106">
        <f>+SAP!H25</f>
        <v>0</v>
      </c>
      <c r="K25" s="53">
        <f>+J25-AMEX!AI25</f>
        <v>0</v>
      </c>
      <c r="L25" s="106">
        <f>+SAP!I25</f>
        <v>0</v>
      </c>
      <c r="M25" s="53">
        <f>+L25-DINNERS!AI25</f>
        <v>0</v>
      </c>
      <c r="N25" s="106">
        <f>+SAP!J25</f>
        <v>0</v>
      </c>
      <c r="O25" s="106">
        <f>+SAP!K25</f>
        <v>0</v>
      </c>
      <c r="P25" s="106">
        <f>+SAP!L25</f>
        <v>0</v>
      </c>
      <c r="Q25" s="106">
        <f>+SAP!M25</f>
        <v>0</v>
      </c>
      <c r="R25" s="106">
        <f>+SAP!N25</f>
        <v>0</v>
      </c>
      <c r="S25" s="106">
        <f>+SAP!O25</f>
        <v>0</v>
      </c>
      <c r="T25" s="106">
        <f>+SAP!P25</f>
        <v>0</v>
      </c>
      <c r="U25" s="106">
        <f>+SAP!Q25</f>
        <v>0</v>
      </c>
      <c r="V25" s="106">
        <f>+SAP!R25</f>
        <v>0</v>
      </c>
      <c r="W25" s="106">
        <f>+SAP!S25</f>
        <v>0</v>
      </c>
      <c r="X25" s="106">
        <f>+SAP!T25</f>
        <v>0</v>
      </c>
      <c r="Y25" s="106">
        <f>+SAP!U25</f>
        <v>0</v>
      </c>
      <c r="Z25" s="106">
        <f>+SAP!V25</f>
        <v>635.1</v>
      </c>
      <c r="AA25">
        <f>+SAP!W25</f>
        <v>0</v>
      </c>
      <c r="AB25">
        <f>+SAP!X25</f>
        <v>0</v>
      </c>
      <c r="AC25">
        <f>+SAP!Y25</f>
        <v>0</v>
      </c>
      <c r="AD25">
        <f>+SAP!Z25</f>
        <v>0</v>
      </c>
    </row>
    <row r="26" spans="1:30" x14ac:dyDescent="0.3">
      <c r="A26" s="2">
        <f>+SAP!A26</f>
        <v>46137</v>
      </c>
      <c r="B26" s="2" t="str">
        <f>+SAP!B26</f>
        <v>HON.MS01</v>
      </c>
      <c r="C26" s="2" t="str">
        <f>+SAP!C26</f>
        <v>HONOR MALL DEL SUR</v>
      </c>
      <c r="D26" s="10">
        <f>+SAP!D26</f>
        <v>27150.799999999999</v>
      </c>
      <c r="E26" s="10">
        <f>+SAP!E26</f>
        <v>0</v>
      </c>
      <c r="F26" s="10">
        <f>+SAP!F26</f>
        <v>6291.8</v>
      </c>
      <c r="G26" s="53">
        <f>+F26-SAP!F26</f>
        <v>0</v>
      </c>
      <c r="H26" s="3">
        <f>+SAP!G26</f>
        <v>19248.900000000001</v>
      </c>
      <c r="I26" s="53">
        <f>+H26-MC!AO25</f>
        <v>19248.900000000001</v>
      </c>
      <c r="J26" s="106">
        <f>+SAP!H26</f>
        <v>0</v>
      </c>
      <c r="K26" s="53">
        <f>+J26-AMEX!AI26</f>
        <v>0</v>
      </c>
      <c r="L26" s="106">
        <f>+SAP!I26</f>
        <v>0</v>
      </c>
      <c r="M26" s="53">
        <f>+L26-DINNERS!AI26</f>
        <v>0</v>
      </c>
      <c r="N26" s="106">
        <f>+SAP!J26</f>
        <v>0</v>
      </c>
      <c r="O26" s="106">
        <f>+SAP!K26</f>
        <v>0</v>
      </c>
      <c r="P26" s="106">
        <f>+SAP!L26</f>
        <v>0</v>
      </c>
      <c r="Q26" s="106">
        <f>+SAP!M26</f>
        <v>0</v>
      </c>
      <c r="R26" s="106">
        <f>+SAP!N26</f>
        <v>0</v>
      </c>
      <c r="S26" s="106">
        <f>+SAP!O26</f>
        <v>0</v>
      </c>
      <c r="T26" s="106">
        <f>+SAP!P26</f>
        <v>0</v>
      </c>
      <c r="U26" s="106">
        <f>+SAP!Q26</f>
        <v>0</v>
      </c>
      <c r="V26" s="106">
        <f>+SAP!R26</f>
        <v>0</v>
      </c>
      <c r="W26" s="106">
        <f>+SAP!S26</f>
        <v>0</v>
      </c>
      <c r="X26" s="106">
        <f>+SAP!T26</f>
        <v>0</v>
      </c>
      <c r="Y26" s="106">
        <f>+SAP!U26</f>
        <v>0</v>
      </c>
      <c r="Z26" s="106">
        <f>+SAP!V26</f>
        <v>1610.1</v>
      </c>
      <c r="AA26">
        <f>+SAP!W26</f>
        <v>0</v>
      </c>
      <c r="AB26">
        <f>+SAP!X26</f>
        <v>0</v>
      </c>
      <c r="AC26">
        <f>+SAP!Y26</f>
        <v>0</v>
      </c>
      <c r="AD26">
        <f>+SAP!Z26</f>
        <v>0</v>
      </c>
    </row>
    <row r="27" spans="1:30" x14ac:dyDescent="0.3">
      <c r="A27" s="2">
        <f>+SAP!A27</f>
        <v>46138</v>
      </c>
      <c r="B27" s="2" t="str">
        <f>+SAP!B27</f>
        <v>HON.MS01</v>
      </c>
      <c r="C27" s="2" t="str">
        <f>+SAP!C27</f>
        <v>HONOR MALL DEL SUR</v>
      </c>
      <c r="D27" s="10">
        <f>+SAP!D27</f>
        <v>33618.9</v>
      </c>
      <c r="E27" s="10">
        <f>+SAP!E27</f>
        <v>0</v>
      </c>
      <c r="F27" s="10">
        <f>+SAP!F27</f>
        <v>4845.8</v>
      </c>
      <c r="G27" s="53">
        <f>+F27-SAP!F27</f>
        <v>0</v>
      </c>
      <c r="H27" s="3">
        <f>+SAP!G27</f>
        <v>23694.6</v>
      </c>
      <c r="I27" s="53">
        <f>+H27-MC!AO26</f>
        <v>23694.6</v>
      </c>
      <c r="J27" s="106">
        <f>+SAP!H27</f>
        <v>1168</v>
      </c>
      <c r="K27" s="53">
        <f>+J27-AMEX!AI27</f>
        <v>1168</v>
      </c>
      <c r="L27" s="106">
        <f>+SAP!I27</f>
        <v>1499</v>
      </c>
      <c r="M27" s="53">
        <f>+L27-DINNERS!AI27</f>
        <v>1499</v>
      </c>
      <c r="N27" s="106">
        <f>+SAP!J27</f>
        <v>0</v>
      </c>
      <c r="O27" s="106">
        <f>+SAP!K27</f>
        <v>0</v>
      </c>
      <c r="P27" s="106">
        <f>+SAP!L27</f>
        <v>0</v>
      </c>
      <c r="Q27" s="106">
        <f>+SAP!M27</f>
        <v>0</v>
      </c>
      <c r="R27" s="106">
        <f>+SAP!N27</f>
        <v>0</v>
      </c>
      <c r="S27" s="106">
        <f>+SAP!O27</f>
        <v>0</v>
      </c>
      <c r="T27" s="106">
        <f>+SAP!P27</f>
        <v>0</v>
      </c>
      <c r="U27" s="106">
        <f>+SAP!Q27</f>
        <v>0</v>
      </c>
      <c r="V27" s="106">
        <f>+SAP!R27</f>
        <v>0</v>
      </c>
      <c r="W27" s="106">
        <f>+SAP!S27</f>
        <v>0</v>
      </c>
      <c r="X27" s="106">
        <f>+SAP!T27</f>
        <v>0</v>
      </c>
      <c r="Y27" s="106">
        <f>+SAP!U27</f>
        <v>0</v>
      </c>
      <c r="Z27" s="106">
        <f>+SAP!V27</f>
        <v>2411.5</v>
      </c>
      <c r="AA27">
        <f>+SAP!W27</f>
        <v>0</v>
      </c>
      <c r="AB27">
        <f>+SAP!X27</f>
        <v>0</v>
      </c>
      <c r="AC27">
        <f>+SAP!Y27</f>
        <v>0</v>
      </c>
      <c r="AD27">
        <f>+SAP!Z27</f>
        <v>0</v>
      </c>
    </row>
    <row r="28" spans="1:30" x14ac:dyDescent="0.3">
      <c r="A28" s="2">
        <f>+SAP!A28</f>
        <v>46139</v>
      </c>
      <c r="B28" s="2" t="str">
        <f>+SAP!B28</f>
        <v>HON.MS01</v>
      </c>
      <c r="C28" s="2" t="str">
        <f>+SAP!C28</f>
        <v>HONOR MALL DEL SUR</v>
      </c>
      <c r="D28" s="10">
        <f>+SAP!D28</f>
        <v>15336</v>
      </c>
      <c r="E28" s="10">
        <f>+SAP!E28</f>
        <v>0</v>
      </c>
      <c r="F28" s="10">
        <f>+SAP!F28</f>
        <v>6946</v>
      </c>
      <c r="G28" s="53">
        <f>+F28-SAP!F28</f>
        <v>0</v>
      </c>
      <c r="H28" s="3">
        <f>+SAP!G28</f>
        <v>6605.9</v>
      </c>
      <c r="I28" s="53">
        <f>+H28-MC!AO27</f>
        <v>6605.9</v>
      </c>
      <c r="J28" s="106">
        <f>+SAP!H28</f>
        <v>0</v>
      </c>
      <c r="K28" s="53">
        <f>+J28-AMEX!AI28</f>
        <v>0</v>
      </c>
      <c r="L28" s="106">
        <f>+SAP!I28</f>
        <v>0</v>
      </c>
      <c r="M28" s="53">
        <f>+L28-DINNERS!AI28</f>
        <v>0</v>
      </c>
      <c r="N28" s="106">
        <f>+SAP!J28</f>
        <v>0</v>
      </c>
      <c r="O28" s="106">
        <f>+SAP!K28</f>
        <v>0</v>
      </c>
      <c r="P28" s="106">
        <f>+SAP!L28</f>
        <v>0</v>
      </c>
      <c r="Q28" s="106">
        <f>+SAP!M28</f>
        <v>0</v>
      </c>
      <c r="R28" s="106">
        <f>+SAP!N28</f>
        <v>0</v>
      </c>
      <c r="S28" s="106">
        <f>+SAP!O28</f>
        <v>0</v>
      </c>
      <c r="T28" s="106">
        <f>+SAP!P28</f>
        <v>0</v>
      </c>
      <c r="U28" s="106">
        <f>+SAP!Q28</f>
        <v>0</v>
      </c>
      <c r="V28" s="106">
        <f>+SAP!R28</f>
        <v>0</v>
      </c>
      <c r="W28" s="106">
        <f>+SAP!S28</f>
        <v>0</v>
      </c>
      <c r="X28" s="106">
        <f>+SAP!T28</f>
        <v>0</v>
      </c>
      <c r="Y28" s="106">
        <f>+SAP!U28</f>
        <v>0</v>
      </c>
      <c r="Z28" s="106">
        <f>+SAP!V28</f>
        <v>1784.1</v>
      </c>
      <c r="AA28">
        <f>+SAP!W28</f>
        <v>0</v>
      </c>
      <c r="AB28">
        <f>+SAP!X28</f>
        <v>0</v>
      </c>
      <c r="AC28">
        <f>+SAP!Y28</f>
        <v>0</v>
      </c>
      <c r="AD28">
        <f>+SAP!Z28</f>
        <v>0</v>
      </c>
    </row>
    <row r="29" spans="1:30" x14ac:dyDescent="0.3">
      <c r="A29" s="2">
        <f>+SAP!A29</f>
        <v>46140</v>
      </c>
      <c r="B29" s="2" t="str">
        <f>+SAP!B29</f>
        <v>HON.MS01</v>
      </c>
      <c r="C29" s="2" t="str">
        <f>+SAP!C29</f>
        <v>HONOR MALL DEL SUR</v>
      </c>
      <c r="D29" s="10">
        <f>+SAP!D29</f>
        <v>23114.9</v>
      </c>
      <c r="E29" s="10">
        <f>+SAP!E29</f>
        <v>0</v>
      </c>
      <c r="F29" s="10">
        <f>+SAP!F29</f>
        <v>6368.8</v>
      </c>
      <c r="G29" s="53">
        <f>+F29-SAP!F29</f>
        <v>0</v>
      </c>
      <c r="H29" s="3">
        <f>+SAP!G29</f>
        <v>12544.9</v>
      </c>
      <c r="I29" s="53">
        <f>+H29-MC!AO28</f>
        <v>12544.9</v>
      </c>
      <c r="J29" s="106">
        <f>+SAP!H29</f>
        <v>0</v>
      </c>
      <c r="K29" s="53">
        <f>+J29-AMEX!AI29</f>
        <v>0</v>
      </c>
      <c r="L29" s="106">
        <f>+SAP!I29</f>
        <v>1699</v>
      </c>
      <c r="M29" s="53">
        <f>+L29-DINNERS!AI29</f>
        <v>1699</v>
      </c>
      <c r="N29" s="106">
        <f>+SAP!J29</f>
        <v>0</v>
      </c>
      <c r="O29" s="106">
        <f>+SAP!K29</f>
        <v>0</v>
      </c>
      <c r="P29" s="106">
        <f>+SAP!L29</f>
        <v>0</v>
      </c>
      <c r="Q29" s="106">
        <f>+SAP!M29</f>
        <v>0</v>
      </c>
      <c r="R29" s="106">
        <f>+SAP!N29</f>
        <v>0</v>
      </c>
      <c r="S29" s="106">
        <f>+SAP!O29</f>
        <v>0</v>
      </c>
      <c r="T29" s="106">
        <f>+SAP!P29</f>
        <v>0</v>
      </c>
      <c r="U29" s="106">
        <f>+SAP!Q29</f>
        <v>0</v>
      </c>
      <c r="V29" s="106">
        <f>+SAP!R29</f>
        <v>0</v>
      </c>
      <c r="W29" s="106">
        <f>+SAP!S29</f>
        <v>0</v>
      </c>
      <c r="X29" s="106">
        <f>+SAP!T29</f>
        <v>0</v>
      </c>
      <c r="Y29" s="106">
        <f>+SAP!U29</f>
        <v>0</v>
      </c>
      <c r="Z29" s="106">
        <f>+SAP!V29</f>
        <v>803.2</v>
      </c>
      <c r="AA29">
        <f>+SAP!W29</f>
        <v>0</v>
      </c>
      <c r="AB29">
        <f>+SAP!X29</f>
        <v>0</v>
      </c>
      <c r="AC29">
        <f>+SAP!Y29</f>
        <v>1699</v>
      </c>
      <c r="AD29">
        <f>+SAP!Z29</f>
        <v>0</v>
      </c>
    </row>
    <row r="30" spans="1:30" x14ac:dyDescent="0.3">
      <c r="A30" s="2">
        <f>+SAP!A30</f>
        <v>46141</v>
      </c>
      <c r="B30" s="2" t="str">
        <f>+SAP!B30</f>
        <v>HON.MS01</v>
      </c>
      <c r="C30" s="2" t="str">
        <f>+SAP!C30</f>
        <v>HONOR MALL DEL SUR</v>
      </c>
      <c r="D30" s="10">
        <f>+SAP!D30</f>
        <v>18970</v>
      </c>
      <c r="E30" s="10">
        <f>+SAP!E30</f>
        <v>0</v>
      </c>
      <c r="F30" s="10">
        <f>+SAP!F30</f>
        <v>279</v>
      </c>
      <c r="G30" s="53">
        <f>+F30-SAP!F30</f>
        <v>0</v>
      </c>
      <c r="H30" s="3">
        <f>+SAP!G30</f>
        <v>17836.900000000001</v>
      </c>
      <c r="I30" s="53">
        <f>+H30-MC!AO29</f>
        <v>17836.900000000001</v>
      </c>
      <c r="J30" s="106">
        <f>+SAP!H30</f>
        <v>0</v>
      </c>
      <c r="K30" s="53">
        <f>+J30-AMEX!AI30</f>
        <v>0</v>
      </c>
      <c r="L30" s="106">
        <f>+SAP!I30</f>
        <v>0</v>
      </c>
      <c r="M30" s="53">
        <f>+L30-DINNERS!AI30</f>
        <v>0</v>
      </c>
      <c r="N30" s="106">
        <f>+SAP!J30</f>
        <v>0</v>
      </c>
      <c r="O30" s="106">
        <f>+SAP!K30</f>
        <v>0</v>
      </c>
      <c r="P30" s="106">
        <f>+SAP!L30</f>
        <v>0</v>
      </c>
      <c r="Q30" s="106">
        <f>+SAP!M30</f>
        <v>0</v>
      </c>
      <c r="R30" s="106">
        <f>+SAP!N30</f>
        <v>0</v>
      </c>
      <c r="S30" s="106">
        <f>+SAP!O30</f>
        <v>0</v>
      </c>
      <c r="T30" s="106">
        <f>+SAP!P30</f>
        <v>0</v>
      </c>
      <c r="U30" s="106">
        <f>+SAP!Q30</f>
        <v>0</v>
      </c>
      <c r="V30" s="106">
        <f>+SAP!R30</f>
        <v>0</v>
      </c>
      <c r="W30" s="106">
        <f>+SAP!S30</f>
        <v>0</v>
      </c>
      <c r="X30" s="106">
        <f>+SAP!T30</f>
        <v>0</v>
      </c>
      <c r="Y30" s="106">
        <f>+SAP!U30</f>
        <v>0</v>
      </c>
      <c r="Z30" s="106">
        <f>+SAP!V30</f>
        <v>854.1</v>
      </c>
      <c r="AA30">
        <f>+SAP!W30</f>
        <v>0</v>
      </c>
      <c r="AB30">
        <f>+SAP!X30</f>
        <v>0</v>
      </c>
      <c r="AC30">
        <f>+SAP!Y30</f>
        <v>0</v>
      </c>
      <c r="AD30">
        <f>+SAP!Z30</f>
        <v>0</v>
      </c>
    </row>
    <row r="31" spans="1:30" x14ac:dyDescent="0.3">
      <c r="A31" s="2">
        <f>+SAP!A31</f>
        <v>46142</v>
      </c>
      <c r="B31" s="2" t="str">
        <f>+SAP!B31</f>
        <v>HON.MS01</v>
      </c>
      <c r="C31" s="2" t="str">
        <f>+SAP!C31</f>
        <v>HONOR MALL DEL SUR</v>
      </c>
      <c r="D31" s="10">
        <f>+SAP!D31</f>
        <v>17745</v>
      </c>
      <c r="E31" s="10">
        <f>+SAP!E31</f>
        <v>0</v>
      </c>
      <c r="F31" s="10">
        <f>+SAP!F31</f>
        <v>1447</v>
      </c>
      <c r="G31" s="53">
        <f>+F31-SAP!F31</f>
        <v>0</v>
      </c>
      <c r="H31" s="3">
        <f>+SAP!G31</f>
        <v>12999.8</v>
      </c>
      <c r="I31" s="53">
        <f>+H31-MC!AO30</f>
        <v>12999.8</v>
      </c>
      <c r="J31" s="106">
        <f>+SAP!H31</f>
        <v>1699</v>
      </c>
      <c r="K31" s="53">
        <f>+J31-AMEX!AI31</f>
        <v>1699</v>
      </c>
      <c r="L31" s="106">
        <f>+SAP!I31</f>
        <v>0</v>
      </c>
      <c r="M31" s="53">
        <f>+L31-DINNERS!AI31</f>
        <v>0</v>
      </c>
      <c r="N31" s="106">
        <f>+SAP!J31</f>
        <v>0</v>
      </c>
      <c r="O31" s="106">
        <f>+SAP!K31</f>
        <v>0</v>
      </c>
      <c r="P31" s="106">
        <f>+SAP!L31</f>
        <v>0</v>
      </c>
      <c r="Q31" s="106">
        <f>+SAP!M31</f>
        <v>0</v>
      </c>
      <c r="R31" s="106">
        <f>+SAP!N31</f>
        <v>0</v>
      </c>
      <c r="S31" s="106">
        <f>+SAP!O31</f>
        <v>0</v>
      </c>
      <c r="T31" s="106">
        <f>+SAP!P31</f>
        <v>0</v>
      </c>
      <c r="U31" s="106">
        <f>+SAP!Q31</f>
        <v>0</v>
      </c>
      <c r="V31" s="106">
        <f>+SAP!R31</f>
        <v>0</v>
      </c>
      <c r="W31" s="106">
        <f>+SAP!S31</f>
        <v>0</v>
      </c>
      <c r="X31" s="106">
        <f>+SAP!T31</f>
        <v>0</v>
      </c>
      <c r="Y31" s="106">
        <f>+SAP!U31</f>
        <v>0</v>
      </c>
      <c r="Z31" s="106">
        <f>+SAP!V31</f>
        <v>1599.2</v>
      </c>
      <c r="AA31">
        <f>+SAP!W31</f>
        <v>0</v>
      </c>
      <c r="AB31">
        <f>+SAP!X31</f>
        <v>0</v>
      </c>
      <c r="AC31">
        <f>+SAP!Y31</f>
        <v>0</v>
      </c>
      <c r="AD31">
        <f>+SAP!Z31</f>
        <v>0</v>
      </c>
    </row>
    <row r="32" spans="1:30" x14ac:dyDescent="0.3">
      <c r="A32" s="2"/>
      <c r="B32" s="2"/>
      <c r="C32" s="2"/>
      <c r="D32" s="10"/>
      <c r="E32" s="10"/>
      <c r="F32" s="10"/>
      <c r="G32" s="53"/>
      <c r="H32" s="3"/>
      <c r="I32" s="53"/>
      <c r="K32" s="53"/>
      <c r="M32" s="53"/>
    </row>
    <row r="35" spans="3:9" ht="23.4" x14ac:dyDescent="0.45">
      <c r="C35" s="24"/>
    </row>
    <row r="36" spans="3:9" x14ac:dyDescent="0.3">
      <c r="I36" s="78"/>
    </row>
    <row r="37" spans="3:9" x14ac:dyDescent="0.3">
      <c r="H37" s="3"/>
    </row>
    <row r="38" spans="3:9" x14ac:dyDescent="0.3">
      <c r="H38" s="3"/>
    </row>
  </sheetData>
  <autoFilter ref="A1:AD32" xr:uid="{CFB52DBA-79F5-4F3F-8D22-578A05F5EA8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CF5B-1838-455A-A156-9960054A2415}">
  <dimension ref="B2:R63"/>
  <sheetViews>
    <sheetView topLeftCell="D1" zoomScale="80" zoomScaleNormal="80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11.44140625" style="2"/>
    <col min="3" max="3" width="9.88671875" bestFit="1" customWidth="1"/>
    <col min="4" max="4" width="12.6640625" style="19" customWidth="1"/>
    <col min="5" max="6" width="12.6640625" customWidth="1"/>
    <col min="7" max="7" width="13.6640625" bestFit="1" customWidth="1"/>
    <col min="8" max="8" width="12.109375" style="9" customWidth="1"/>
    <col min="9" max="9" width="14" style="8" hidden="1" customWidth="1"/>
    <col min="10" max="10" width="10.33203125" style="8" bestFit="1" customWidth="1"/>
    <col min="11" max="11" width="11.44140625" style="13" bestFit="1" customWidth="1"/>
    <col min="12" max="12" width="11.44140625" style="20" bestFit="1" customWidth="1"/>
    <col min="14" max="14" width="18.44140625" bestFit="1" customWidth="1"/>
    <col min="15" max="15" width="18.109375" bestFit="1" customWidth="1"/>
  </cols>
  <sheetData>
    <row r="2" spans="2:18" ht="18" x14ac:dyDescent="0.35">
      <c r="E2" s="14" t="s">
        <v>31</v>
      </c>
      <c r="F2" s="15">
        <v>1030313</v>
      </c>
    </row>
    <row r="4" spans="2:18" x14ac:dyDescent="0.3">
      <c r="B4" s="38" t="s">
        <v>0</v>
      </c>
      <c r="C4" s="39" t="s">
        <v>4</v>
      </c>
      <c r="D4" s="40" t="s">
        <v>32</v>
      </c>
      <c r="E4" s="41" t="s">
        <v>33</v>
      </c>
      <c r="F4" s="41" t="s">
        <v>34</v>
      </c>
      <c r="G4" s="42" t="s">
        <v>30</v>
      </c>
      <c r="H4" s="43" t="s">
        <v>23</v>
      </c>
      <c r="I4" s="44" t="s">
        <v>41</v>
      </c>
      <c r="J4" s="47" t="s">
        <v>24</v>
      </c>
      <c r="K4" s="47" t="s">
        <v>25</v>
      </c>
      <c r="L4" s="47" t="s">
        <v>29</v>
      </c>
    </row>
    <row r="5" spans="2:18" x14ac:dyDescent="0.3">
      <c r="B5" s="49">
        <f>+SAP!A2</f>
        <v>46113</v>
      </c>
      <c r="C5" s="51">
        <f>+SAP!F2</f>
        <v>747</v>
      </c>
      <c r="D5" s="49">
        <v>45691</v>
      </c>
      <c r="E5" s="50" t="s">
        <v>84</v>
      </c>
      <c r="F5" s="51" t="s">
        <v>78</v>
      </c>
      <c r="G5" s="51">
        <v>15478.8</v>
      </c>
      <c r="H5" s="51">
        <f>SUM(C37:C41)+C5-G5</f>
        <v>-4499.6900000000005</v>
      </c>
      <c r="I5" s="81"/>
      <c r="J5" s="84" t="s">
        <v>92</v>
      </c>
      <c r="K5" s="48" t="s">
        <v>79</v>
      </c>
      <c r="L5" s="48" t="s">
        <v>79</v>
      </c>
      <c r="Q5" s="11">
        <f>+B5</f>
        <v>46113</v>
      </c>
      <c r="R5" s="69">
        <f>+C5</f>
        <v>747</v>
      </c>
    </row>
    <row r="6" spans="2:18" x14ac:dyDescent="0.3">
      <c r="B6" s="55">
        <f>+SAP!A3</f>
        <v>46114</v>
      </c>
      <c r="C6" s="56">
        <f>+SAP!F3</f>
        <v>3985</v>
      </c>
      <c r="D6" s="55">
        <v>45693</v>
      </c>
      <c r="E6" s="56" t="s">
        <v>85</v>
      </c>
      <c r="F6" s="56" t="s">
        <v>86</v>
      </c>
      <c r="G6" s="56">
        <v>3570.5</v>
      </c>
      <c r="H6" s="56">
        <f>SUM(C6:C8)-G6</f>
        <v>9040.2999999999993</v>
      </c>
      <c r="I6" s="81"/>
      <c r="J6" s="84" t="s">
        <v>92</v>
      </c>
      <c r="K6" s="177" t="s">
        <v>79</v>
      </c>
      <c r="L6" s="177" t="s">
        <v>79</v>
      </c>
      <c r="Q6" s="11">
        <f t="shared" ref="Q6:Q35" si="0">+B6</f>
        <v>46114</v>
      </c>
      <c r="R6" s="69">
        <f t="shared" ref="R6:R35" si="1">+C6</f>
        <v>3985</v>
      </c>
    </row>
    <row r="7" spans="2:18" x14ac:dyDescent="0.3">
      <c r="B7" s="55">
        <f>+SAP!A4</f>
        <v>46115</v>
      </c>
      <c r="C7" s="56">
        <f>+SAP!F4</f>
        <v>688</v>
      </c>
      <c r="D7" s="55"/>
      <c r="E7" s="56"/>
      <c r="F7" s="56"/>
      <c r="G7" s="56"/>
      <c r="H7" s="56"/>
      <c r="I7" s="81"/>
      <c r="J7" s="84"/>
      <c r="K7" s="179"/>
      <c r="L7" s="179"/>
      <c r="Q7" s="11">
        <f t="shared" si="0"/>
        <v>46115</v>
      </c>
      <c r="R7" s="69">
        <f t="shared" si="1"/>
        <v>688</v>
      </c>
    </row>
    <row r="8" spans="2:18" x14ac:dyDescent="0.3">
      <c r="B8" s="55">
        <f>+SAP!A5</f>
        <v>46116</v>
      </c>
      <c r="C8" s="56">
        <f>+SAP!F5</f>
        <v>7937.8</v>
      </c>
      <c r="D8" s="55"/>
      <c r="E8" s="57"/>
      <c r="F8" s="56"/>
      <c r="G8" s="56"/>
      <c r="H8" s="56"/>
      <c r="I8" s="81"/>
      <c r="J8" s="84"/>
      <c r="K8" s="178"/>
      <c r="L8" s="178"/>
      <c r="Q8" s="11">
        <f t="shared" si="0"/>
        <v>46116</v>
      </c>
      <c r="R8" s="69">
        <f t="shared" si="1"/>
        <v>7937.8</v>
      </c>
    </row>
    <row r="9" spans="2:18" x14ac:dyDescent="0.3">
      <c r="B9" s="59">
        <f>+SAP!A6</f>
        <v>46117</v>
      </c>
      <c r="C9" s="60">
        <f>+SAP!F6</f>
        <v>7533.8</v>
      </c>
      <c r="D9" s="59">
        <v>45696</v>
      </c>
      <c r="E9" s="60" t="s">
        <v>87</v>
      </c>
      <c r="F9" s="60" t="s">
        <v>78</v>
      </c>
      <c r="G9" s="60">
        <v>4593.7</v>
      </c>
      <c r="H9" s="60">
        <f>+C9+C10-G9</f>
        <v>9313.7999999999993</v>
      </c>
      <c r="I9" s="81"/>
      <c r="J9" s="100" t="s">
        <v>92</v>
      </c>
      <c r="K9" s="177" t="s">
        <v>79</v>
      </c>
      <c r="L9" s="177" t="s">
        <v>79</v>
      </c>
      <c r="Q9" s="11">
        <f t="shared" si="0"/>
        <v>46117</v>
      </c>
      <c r="R9" s="69">
        <f t="shared" si="1"/>
        <v>7533.8</v>
      </c>
    </row>
    <row r="10" spans="2:18" x14ac:dyDescent="0.3">
      <c r="B10" s="59">
        <f>+SAP!A7</f>
        <v>46118</v>
      </c>
      <c r="C10" s="60">
        <f>+SAP!F7</f>
        <v>6373.7</v>
      </c>
      <c r="D10" s="59"/>
      <c r="E10" s="61"/>
      <c r="F10" s="60"/>
      <c r="G10" s="60"/>
      <c r="H10" s="60"/>
      <c r="I10" s="81"/>
      <c r="J10" s="100"/>
      <c r="K10" s="178"/>
      <c r="L10" s="178"/>
      <c r="Q10" s="11">
        <f t="shared" si="0"/>
        <v>46118</v>
      </c>
      <c r="R10" s="69">
        <f t="shared" si="1"/>
        <v>6373.7</v>
      </c>
    </row>
    <row r="11" spans="2:18" x14ac:dyDescent="0.3">
      <c r="B11" s="70">
        <f>+SAP!A8</f>
        <v>46119</v>
      </c>
      <c r="C11" s="71">
        <f>+SAP!F8</f>
        <v>784</v>
      </c>
      <c r="D11" s="70">
        <v>45698</v>
      </c>
      <c r="E11" s="72" t="s">
        <v>88</v>
      </c>
      <c r="F11" s="71" t="s">
        <v>78</v>
      </c>
      <c r="G11" s="71">
        <v>6645.1</v>
      </c>
      <c r="H11" s="71">
        <f>+C11+C12-G11</f>
        <v>-3164.1000000000004</v>
      </c>
      <c r="I11" s="81"/>
      <c r="J11" s="99" t="s">
        <v>92</v>
      </c>
      <c r="K11" s="177" t="s">
        <v>79</v>
      </c>
      <c r="L11" s="177" t="s">
        <v>79</v>
      </c>
      <c r="Q11" s="11">
        <f t="shared" si="0"/>
        <v>46119</v>
      </c>
      <c r="R11" s="69">
        <f t="shared" si="1"/>
        <v>784</v>
      </c>
    </row>
    <row r="12" spans="2:18" x14ac:dyDescent="0.3">
      <c r="B12" s="70">
        <f>+SAP!A9</f>
        <v>46120</v>
      </c>
      <c r="C12" s="71">
        <f>+SAP!F9</f>
        <v>2697</v>
      </c>
      <c r="D12" s="70"/>
      <c r="E12" s="71"/>
      <c r="F12" s="71"/>
      <c r="G12" s="71"/>
      <c r="H12" s="71"/>
      <c r="I12" s="81"/>
      <c r="J12" s="99"/>
      <c r="K12" s="178"/>
      <c r="L12" s="178"/>
      <c r="Q12" s="11">
        <f t="shared" si="0"/>
        <v>46120</v>
      </c>
      <c r="R12" s="69">
        <f t="shared" si="1"/>
        <v>2697</v>
      </c>
    </row>
    <row r="13" spans="2:18" x14ac:dyDescent="0.3">
      <c r="B13" s="90">
        <f>+SAP!A10</f>
        <v>46121</v>
      </c>
      <c r="C13" s="91">
        <f>+SAP!F10</f>
        <v>3218</v>
      </c>
      <c r="D13" s="90">
        <v>45700</v>
      </c>
      <c r="E13" s="91" t="s">
        <v>89</v>
      </c>
      <c r="F13" s="91" t="s">
        <v>78</v>
      </c>
      <c r="G13" s="91">
        <v>10567.2</v>
      </c>
      <c r="H13" s="91">
        <f>SUM(C13:C15)-G13</f>
        <v>-1367.4000000000015</v>
      </c>
      <c r="I13" s="92"/>
      <c r="J13" s="93" t="s">
        <v>92</v>
      </c>
      <c r="K13" s="177" t="s">
        <v>79</v>
      </c>
      <c r="L13" s="177" t="s">
        <v>79</v>
      </c>
      <c r="Q13" s="11">
        <f t="shared" si="0"/>
        <v>46121</v>
      </c>
      <c r="R13" s="69">
        <f t="shared" si="1"/>
        <v>3218</v>
      </c>
    </row>
    <row r="14" spans="2:18" x14ac:dyDescent="0.3">
      <c r="B14" s="90">
        <f>+SAP!A11</f>
        <v>46122</v>
      </c>
      <c r="C14" s="91">
        <f>+SAP!F11</f>
        <v>757</v>
      </c>
      <c r="D14" s="90"/>
      <c r="E14" s="91"/>
      <c r="F14" s="91"/>
      <c r="G14" s="91"/>
      <c r="H14" s="91"/>
      <c r="I14" s="92"/>
      <c r="J14" s="93"/>
      <c r="K14" s="179"/>
      <c r="L14" s="179"/>
      <c r="Q14" s="11">
        <f t="shared" si="0"/>
        <v>46122</v>
      </c>
      <c r="R14" s="69">
        <f t="shared" si="1"/>
        <v>757</v>
      </c>
    </row>
    <row r="15" spans="2:18" x14ac:dyDescent="0.3">
      <c r="B15" s="90">
        <f>+SAP!A12</f>
        <v>46123</v>
      </c>
      <c r="C15" s="91">
        <f>+SAP!F12</f>
        <v>5224.8</v>
      </c>
      <c r="D15" s="90"/>
      <c r="E15" s="94"/>
      <c r="F15" s="91"/>
      <c r="G15" s="91"/>
      <c r="H15" s="91"/>
      <c r="I15" s="92"/>
      <c r="J15" s="93"/>
      <c r="K15" s="178"/>
      <c r="L15" s="178"/>
      <c r="Q15" s="11">
        <f t="shared" si="0"/>
        <v>46123</v>
      </c>
      <c r="R15" s="69">
        <f t="shared" si="1"/>
        <v>5224.8</v>
      </c>
    </row>
    <row r="16" spans="2:18" ht="18" x14ac:dyDescent="0.3">
      <c r="B16" s="49">
        <f>+SAP!A13</f>
        <v>46124</v>
      </c>
      <c r="C16" s="51">
        <f>+SAP!F13</f>
        <v>2689.6</v>
      </c>
      <c r="D16" s="49">
        <v>45705</v>
      </c>
      <c r="E16" s="51" t="s">
        <v>90</v>
      </c>
      <c r="F16" s="51" t="s">
        <v>78</v>
      </c>
      <c r="G16" s="51">
        <v>8725.7999999999993</v>
      </c>
      <c r="H16" s="117">
        <f>SUM(C16:C19)-G16</f>
        <v>-1218.1999999999989</v>
      </c>
      <c r="I16" s="95"/>
      <c r="J16" s="98" t="s">
        <v>92</v>
      </c>
      <c r="K16" s="177" t="s">
        <v>79</v>
      </c>
      <c r="L16" s="177" t="s">
        <v>79</v>
      </c>
      <c r="M16" s="98" t="s">
        <v>91</v>
      </c>
      <c r="Q16" s="11">
        <f t="shared" si="0"/>
        <v>46124</v>
      </c>
      <c r="R16" s="69">
        <f t="shared" si="1"/>
        <v>2689.6</v>
      </c>
    </row>
    <row r="17" spans="2:18" x14ac:dyDescent="0.3">
      <c r="B17" s="49">
        <f>+SAP!A14</f>
        <v>46125</v>
      </c>
      <c r="C17" s="51">
        <f>+SAP!F14</f>
        <v>629</v>
      </c>
      <c r="D17" s="49"/>
      <c r="E17" s="50"/>
      <c r="F17" s="51"/>
      <c r="G17" s="51"/>
      <c r="H17" s="51"/>
      <c r="I17" s="97"/>
      <c r="J17" s="96"/>
      <c r="K17" s="179"/>
      <c r="L17" s="179"/>
      <c r="Q17" s="11">
        <f t="shared" si="0"/>
        <v>46125</v>
      </c>
      <c r="R17" s="69">
        <f t="shared" si="1"/>
        <v>629</v>
      </c>
    </row>
    <row r="18" spans="2:18" x14ac:dyDescent="0.3">
      <c r="B18" s="49">
        <f>+SAP!A15</f>
        <v>46126</v>
      </c>
      <c r="C18" s="51">
        <f>+SAP!F15</f>
        <v>3890</v>
      </c>
      <c r="D18" s="49"/>
      <c r="E18" s="51"/>
      <c r="F18" s="51"/>
      <c r="G18" s="51"/>
      <c r="H18" s="51"/>
      <c r="I18" s="97"/>
      <c r="J18" s="96"/>
      <c r="K18" s="179"/>
      <c r="L18" s="179"/>
      <c r="Q18" s="11">
        <f t="shared" si="0"/>
        <v>46126</v>
      </c>
      <c r="R18" s="69">
        <f t="shared" si="1"/>
        <v>3890</v>
      </c>
    </row>
    <row r="19" spans="2:18" x14ac:dyDescent="0.3">
      <c r="B19" s="49">
        <f>+SAP!A16</f>
        <v>46127</v>
      </c>
      <c r="C19" s="51">
        <f>+SAP!F16</f>
        <v>299</v>
      </c>
      <c r="D19" s="49"/>
      <c r="E19" s="50"/>
      <c r="F19" s="51"/>
      <c r="G19" s="51"/>
      <c r="H19" s="51"/>
      <c r="I19" s="97"/>
      <c r="J19" s="96"/>
      <c r="K19" s="178"/>
      <c r="L19" s="178"/>
      <c r="Q19" s="11">
        <f t="shared" si="0"/>
        <v>46127</v>
      </c>
      <c r="R19" s="69">
        <f t="shared" si="1"/>
        <v>299</v>
      </c>
    </row>
    <row r="20" spans="2:18" x14ac:dyDescent="0.3">
      <c r="B20" s="59">
        <f>+SAP!A17</f>
        <v>46128</v>
      </c>
      <c r="C20" s="60">
        <f>+SAP!F17</f>
        <v>2362.9</v>
      </c>
      <c r="D20" s="59">
        <v>45707</v>
      </c>
      <c r="E20" s="60" t="s">
        <v>93</v>
      </c>
      <c r="F20" s="60" t="s">
        <v>78</v>
      </c>
      <c r="G20" s="60">
        <v>4670.1000000000004</v>
      </c>
      <c r="H20" s="60">
        <f>SUM(C20:C22)-G20</f>
        <v>10050.599999999999</v>
      </c>
      <c r="I20" s="101"/>
      <c r="J20" s="100"/>
      <c r="K20" s="177" t="s">
        <v>79</v>
      </c>
      <c r="L20" s="177" t="s">
        <v>79</v>
      </c>
      <c r="Q20" s="11">
        <f t="shared" si="0"/>
        <v>46128</v>
      </c>
      <c r="R20" s="69">
        <f t="shared" si="1"/>
        <v>2362.9</v>
      </c>
    </row>
    <row r="21" spans="2:18" x14ac:dyDescent="0.3">
      <c r="B21" s="59">
        <f>+SAP!A18</f>
        <v>46129</v>
      </c>
      <c r="C21" s="60">
        <f>+SAP!F18</f>
        <v>2945</v>
      </c>
      <c r="D21" s="59"/>
      <c r="E21" s="60"/>
      <c r="F21" s="60"/>
      <c r="G21" s="60"/>
      <c r="H21" s="60"/>
      <c r="I21" s="101"/>
      <c r="J21" s="100"/>
      <c r="K21" s="179"/>
      <c r="L21" s="179"/>
      <c r="Q21" s="11">
        <f t="shared" si="0"/>
        <v>46129</v>
      </c>
      <c r="R21" s="69">
        <f t="shared" si="1"/>
        <v>2945</v>
      </c>
    </row>
    <row r="22" spans="2:18" x14ac:dyDescent="0.3">
      <c r="B22" s="59">
        <f>+SAP!A19</f>
        <v>46130</v>
      </c>
      <c r="C22" s="60">
        <f>+SAP!F19</f>
        <v>9412.7999999999993</v>
      </c>
      <c r="D22" s="59"/>
      <c r="E22" s="61"/>
      <c r="F22" s="60"/>
      <c r="G22" s="60"/>
      <c r="H22" s="60"/>
      <c r="I22" s="101"/>
      <c r="J22" s="100"/>
      <c r="K22" s="178"/>
      <c r="L22" s="178"/>
      <c r="Q22" s="11">
        <f t="shared" si="0"/>
        <v>46130</v>
      </c>
      <c r="R22" s="69">
        <f t="shared" si="1"/>
        <v>9412.7999999999993</v>
      </c>
    </row>
    <row r="23" spans="2:18" x14ac:dyDescent="0.3">
      <c r="B23" s="55">
        <f>+SAP!A20</f>
        <v>46131</v>
      </c>
      <c r="C23" s="56">
        <f>+SAP!F20</f>
        <v>5371.6</v>
      </c>
      <c r="D23" s="55">
        <v>45709</v>
      </c>
      <c r="E23" s="56" t="s">
        <v>94</v>
      </c>
      <c r="F23" s="56" t="s">
        <v>78</v>
      </c>
      <c r="G23" s="56">
        <v>6883.6</v>
      </c>
      <c r="H23" s="56">
        <f>+C23+C24-G23</f>
        <v>1459.8999999999996</v>
      </c>
      <c r="I23" s="108"/>
      <c r="J23" s="109"/>
      <c r="K23" s="177" t="s">
        <v>79</v>
      </c>
      <c r="L23" s="177" t="s">
        <v>79</v>
      </c>
      <c r="Q23" s="11">
        <f t="shared" si="0"/>
        <v>46131</v>
      </c>
      <c r="R23" s="69">
        <f t="shared" si="1"/>
        <v>5371.6</v>
      </c>
    </row>
    <row r="24" spans="2:18" x14ac:dyDescent="0.3">
      <c r="B24" s="55">
        <f>+SAP!A21</f>
        <v>46132</v>
      </c>
      <c r="C24" s="56">
        <f>+SAP!F21</f>
        <v>2971.9</v>
      </c>
      <c r="D24" s="55"/>
      <c r="E24" s="57"/>
      <c r="F24" s="56"/>
      <c r="G24" s="56"/>
      <c r="H24" s="56"/>
      <c r="I24" s="108"/>
      <c r="J24" s="109"/>
      <c r="K24" s="178"/>
      <c r="L24" s="178"/>
      <c r="Q24" s="11">
        <f t="shared" si="0"/>
        <v>46132</v>
      </c>
      <c r="R24" s="69">
        <f t="shared" si="1"/>
        <v>2971.9</v>
      </c>
    </row>
    <row r="25" spans="2:18" x14ac:dyDescent="0.3">
      <c r="B25" s="110">
        <f>+SAP!A22</f>
        <v>46133</v>
      </c>
      <c r="C25" s="111">
        <f>+SAP!F22</f>
        <v>4803</v>
      </c>
      <c r="D25" s="110">
        <v>45712</v>
      </c>
      <c r="E25" s="111" t="s">
        <v>97</v>
      </c>
      <c r="F25" s="111" t="s">
        <v>78</v>
      </c>
      <c r="G25" s="111">
        <v>14300.6</v>
      </c>
      <c r="H25" s="111">
        <f>SUM(C25:C27)-G25</f>
        <v>-2596.1000000000004</v>
      </c>
      <c r="I25" s="112"/>
      <c r="J25" s="113"/>
      <c r="K25" s="177" t="s">
        <v>79</v>
      </c>
      <c r="L25" s="177" t="s">
        <v>79</v>
      </c>
      <c r="Q25" s="11">
        <f t="shared" si="0"/>
        <v>46133</v>
      </c>
      <c r="R25" s="69">
        <f t="shared" si="1"/>
        <v>4803</v>
      </c>
    </row>
    <row r="26" spans="2:18" x14ac:dyDescent="0.3">
      <c r="B26" s="110">
        <f>+SAP!A23</f>
        <v>46134</v>
      </c>
      <c r="C26" s="111">
        <f>+SAP!F23</f>
        <v>3278.7</v>
      </c>
      <c r="D26" s="110"/>
      <c r="E26" s="111"/>
      <c r="F26" s="111"/>
      <c r="G26" s="111"/>
      <c r="H26" s="111"/>
      <c r="I26" s="112"/>
      <c r="J26" s="113"/>
      <c r="K26" s="179"/>
      <c r="L26" s="179"/>
      <c r="Q26" s="11">
        <f t="shared" si="0"/>
        <v>46134</v>
      </c>
      <c r="R26" s="69">
        <f t="shared" si="1"/>
        <v>3278.7</v>
      </c>
    </row>
    <row r="27" spans="2:18" x14ac:dyDescent="0.3">
      <c r="B27" s="110">
        <f>+SAP!A24</f>
        <v>46135</v>
      </c>
      <c r="C27" s="111">
        <f>+SAP!F24</f>
        <v>3622.8</v>
      </c>
      <c r="D27" s="110"/>
      <c r="E27" s="114"/>
      <c r="F27" s="111"/>
      <c r="G27" s="111"/>
      <c r="H27" s="111"/>
      <c r="I27" s="115"/>
      <c r="J27" s="113"/>
      <c r="K27" s="179"/>
      <c r="L27" s="179"/>
      <c r="Q27" s="11">
        <f t="shared" si="0"/>
        <v>46135</v>
      </c>
      <c r="R27" s="69">
        <f t="shared" si="1"/>
        <v>3622.8</v>
      </c>
    </row>
    <row r="28" spans="2:18" x14ac:dyDescent="0.3">
      <c r="B28" s="49">
        <f>+SAP!A25</f>
        <v>46136</v>
      </c>
      <c r="C28" s="51">
        <f>+SAP!F25</f>
        <v>2676</v>
      </c>
      <c r="D28" s="49">
        <v>45714</v>
      </c>
      <c r="E28" s="51" t="s">
        <v>95</v>
      </c>
      <c r="F28" s="51" t="s">
        <v>78</v>
      </c>
      <c r="G28" s="51">
        <v>5858.6</v>
      </c>
      <c r="H28" s="51">
        <f>+C28+C29-G28</f>
        <v>3109.1999999999989</v>
      </c>
      <c r="I28" s="97"/>
      <c r="J28" s="96"/>
      <c r="K28" s="177" t="s">
        <v>79</v>
      </c>
      <c r="L28" s="177" t="s">
        <v>79</v>
      </c>
      <c r="Q28" s="11">
        <f t="shared" si="0"/>
        <v>46136</v>
      </c>
      <c r="R28" s="69">
        <f t="shared" si="1"/>
        <v>2676</v>
      </c>
    </row>
    <row r="29" spans="2:18" x14ac:dyDescent="0.3">
      <c r="B29" s="49">
        <f>+SAP!A26</f>
        <v>46137</v>
      </c>
      <c r="C29" s="51">
        <f>+SAP!F26</f>
        <v>6291.8</v>
      </c>
      <c r="D29" s="49"/>
      <c r="E29" s="50"/>
      <c r="F29" s="51"/>
      <c r="G29" s="51"/>
      <c r="H29" s="51"/>
      <c r="I29" s="97"/>
      <c r="J29" s="96"/>
      <c r="K29" s="178"/>
      <c r="L29" s="178"/>
      <c r="Q29" s="11">
        <f t="shared" si="0"/>
        <v>46137</v>
      </c>
      <c r="R29" s="69">
        <f t="shared" si="1"/>
        <v>6291.8</v>
      </c>
    </row>
    <row r="30" spans="2:18" x14ac:dyDescent="0.3">
      <c r="B30" s="80">
        <f>+SAP!A27</f>
        <v>46138</v>
      </c>
      <c r="C30" s="46">
        <f>+SAP!F27</f>
        <v>4845.8</v>
      </c>
      <c r="D30" s="80"/>
      <c r="E30" s="46"/>
      <c r="F30" s="46"/>
      <c r="G30" s="46"/>
      <c r="H30" s="46">
        <f t="shared" ref="H30:H35" si="2">+C30-G30</f>
        <v>4845.8</v>
      </c>
      <c r="I30" s="81"/>
      <c r="J30" s="84"/>
      <c r="K30" s="48" t="s">
        <v>39</v>
      </c>
      <c r="L30" s="79" t="s">
        <v>96</v>
      </c>
      <c r="Q30" s="11">
        <f t="shared" si="0"/>
        <v>46138</v>
      </c>
      <c r="R30" s="69">
        <f t="shared" si="1"/>
        <v>4845.8</v>
      </c>
    </row>
    <row r="31" spans="2:18" x14ac:dyDescent="0.3">
      <c r="B31" s="80">
        <f>+SAP!A28</f>
        <v>46139</v>
      </c>
      <c r="C31" s="46">
        <f>+SAP!F28</f>
        <v>6946</v>
      </c>
      <c r="D31" s="80"/>
      <c r="E31" s="116"/>
      <c r="F31" s="46"/>
      <c r="G31" s="46"/>
      <c r="H31" s="46">
        <f t="shared" si="2"/>
        <v>6946</v>
      </c>
      <c r="I31" s="81"/>
      <c r="J31" s="84"/>
      <c r="K31" s="48" t="s">
        <v>39</v>
      </c>
      <c r="L31" s="79" t="s">
        <v>96</v>
      </c>
      <c r="Q31" s="11">
        <f t="shared" si="0"/>
        <v>46139</v>
      </c>
      <c r="R31" s="69">
        <f t="shared" si="1"/>
        <v>6946</v>
      </c>
    </row>
    <row r="32" spans="2:18" s="8" customFormat="1" x14ac:dyDescent="0.3">
      <c r="B32" s="80">
        <f>+SAP!A29</f>
        <v>46140</v>
      </c>
      <c r="C32" s="46">
        <f>+SAP!F29</f>
        <v>6368.8</v>
      </c>
      <c r="D32" s="80"/>
      <c r="E32" s="46"/>
      <c r="F32" s="46"/>
      <c r="G32" s="46"/>
      <c r="H32" s="46">
        <f t="shared" si="2"/>
        <v>6368.8</v>
      </c>
      <c r="I32" s="81"/>
      <c r="J32" s="84"/>
      <c r="K32" s="48" t="s">
        <v>39</v>
      </c>
      <c r="L32" s="79" t="s">
        <v>96</v>
      </c>
      <c r="Q32" s="11">
        <f t="shared" si="0"/>
        <v>46140</v>
      </c>
      <c r="R32" s="69">
        <f t="shared" si="1"/>
        <v>6368.8</v>
      </c>
    </row>
    <row r="33" spans="2:18" s="8" customFormat="1" x14ac:dyDescent="0.3">
      <c r="B33" s="80">
        <f>+SAP!A30</f>
        <v>46141</v>
      </c>
      <c r="C33" s="46">
        <f>+SAP!F30</f>
        <v>279</v>
      </c>
      <c r="D33" s="80"/>
      <c r="E33" s="46"/>
      <c r="F33" s="46"/>
      <c r="G33" s="46"/>
      <c r="H33" s="46">
        <f t="shared" si="2"/>
        <v>279</v>
      </c>
      <c r="I33" s="81"/>
      <c r="J33" s="84"/>
      <c r="K33" s="48"/>
      <c r="L33" s="87"/>
      <c r="Q33" s="11">
        <f t="shared" si="0"/>
        <v>46141</v>
      </c>
      <c r="R33" s="69">
        <f t="shared" si="1"/>
        <v>279</v>
      </c>
    </row>
    <row r="34" spans="2:18" s="8" customFormat="1" x14ac:dyDescent="0.3">
      <c r="B34" s="80">
        <f>+SAP!A31</f>
        <v>46142</v>
      </c>
      <c r="C34" s="46">
        <f>+SAP!F31</f>
        <v>1447</v>
      </c>
      <c r="D34" s="80"/>
      <c r="E34" s="46"/>
      <c r="F34" s="46"/>
      <c r="G34" s="46"/>
      <c r="H34" s="46">
        <f t="shared" si="2"/>
        <v>1447</v>
      </c>
      <c r="I34" s="81"/>
      <c r="J34" s="84"/>
      <c r="K34" s="48"/>
      <c r="L34" s="87"/>
      <c r="Q34" s="11">
        <f t="shared" si="0"/>
        <v>46142</v>
      </c>
      <c r="R34" s="69">
        <f t="shared" si="1"/>
        <v>1447</v>
      </c>
    </row>
    <row r="35" spans="2:18" s="8" customFormat="1" x14ac:dyDescent="0.3">
      <c r="B35" s="80">
        <f>+SAP!A32</f>
        <v>0</v>
      </c>
      <c r="C35" s="46">
        <f>+SAP!F32</f>
        <v>0</v>
      </c>
      <c r="D35" s="80"/>
      <c r="E35" s="46"/>
      <c r="F35" s="46"/>
      <c r="G35" s="46"/>
      <c r="H35" s="46">
        <f t="shared" si="2"/>
        <v>0</v>
      </c>
      <c r="I35" s="81"/>
      <c r="J35" s="84"/>
      <c r="K35" s="48"/>
      <c r="L35" s="87"/>
      <c r="Q35" s="11">
        <f t="shared" si="0"/>
        <v>0</v>
      </c>
      <c r="R35" s="69">
        <f t="shared" si="1"/>
        <v>0</v>
      </c>
    </row>
    <row r="36" spans="2:18" x14ac:dyDescent="0.3">
      <c r="C36" s="10"/>
      <c r="J36" s="85"/>
      <c r="K36" s="48"/>
      <c r="L36" s="86"/>
    </row>
    <row r="37" spans="2:18" x14ac:dyDescent="0.3">
      <c r="B37" s="49">
        <v>45684</v>
      </c>
      <c r="C37" s="51">
        <v>2494</v>
      </c>
      <c r="D37" s="49"/>
      <c r="E37" s="50"/>
      <c r="F37" s="51"/>
      <c r="G37" s="51"/>
      <c r="H37" s="51">
        <v>2494</v>
      </c>
      <c r="I37" s="46"/>
      <c r="J37" s="82"/>
      <c r="K37" s="48" t="s">
        <v>79</v>
      </c>
      <c r="L37" s="83" t="s">
        <v>81</v>
      </c>
    </row>
    <row r="38" spans="2:18" x14ac:dyDescent="0.3">
      <c r="B38" s="49">
        <v>45685</v>
      </c>
      <c r="C38" s="51">
        <v>854.7</v>
      </c>
      <c r="D38" s="49"/>
      <c r="E38" s="51"/>
      <c r="F38" s="51"/>
      <c r="G38" s="51"/>
      <c r="H38" s="51">
        <v>854.7</v>
      </c>
      <c r="I38" s="46"/>
      <c r="J38" s="62"/>
      <c r="K38" s="48" t="s">
        <v>79</v>
      </c>
      <c r="L38" s="79" t="s">
        <v>81</v>
      </c>
    </row>
    <row r="39" spans="2:18" x14ac:dyDescent="0.3">
      <c r="B39" s="49">
        <v>45686</v>
      </c>
      <c r="C39" s="51">
        <v>1856.19</v>
      </c>
      <c r="D39" s="49"/>
      <c r="E39" s="51"/>
      <c r="F39" s="51"/>
      <c r="G39" s="51"/>
      <c r="H39" s="51">
        <v>1856.19</v>
      </c>
      <c r="I39" s="46"/>
      <c r="J39" s="62"/>
      <c r="K39" s="48" t="s">
        <v>79</v>
      </c>
      <c r="L39" s="79" t="s">
        <v>81</v>
      </c>
    </row>
    <row r="40" spans="2:18" x14ac:dyDescent="0.3">
      <c r="B40" s="49">
        <v>45687</v>
      </c>
      <c r="C40" s="51">
        <v>1520.9</v>
      </c>
      <c r="D40" s="49"/>
      <c r="E40" s="51"/>
      <c r="F40" s="51"/>
      <c r="G40" s="51"/>
      <c r="H40" s="51">
        <v>1520.9</v>
      </c>
      <c r="I40" s="46"/>
      <c r="J40" s="62"/>
      <c r="K40" s="48" t="s">
        <v>79</v>
      </c>
      <c r="L40" s="79" t="s">
        <v>81</v>
      </c>
    </row>
    <row r="41" spans="2:18" x14ac:dyDescent="0.3">
      <c r="B41" s="49">
        <v>45688</v>
      </c>
      <c r="C41" s="51">
        <v>3506.32</v>
      </c>
      <c r="D41" s="49"/>
      <c r="E41" s="51"/>
      <c r="F41" s="51"/>
      <c r="G41" s="51"/>
      <c r="H41" s="51">
        <v>3506.32</v>
      </c>
      <c r="I41" s="46"/>
      <c r="J41" s="62"/>
      <c r="K41" s="48" t="s">
        <v>79</v>
      </c>
      <c r="L41" s="79" t="s">
        <v>81</v>
      </c>
    </row>
    <row r="43" spans="2:18" ht="15.6" x14ac:dyDescent="0.3">
      <c r="F43" s="31" t="s">
        <v>42</v>
      </c>
      <c r="G43" s="32">
        <f>SUMIF(K5:K38,"PENDIENTE",C5:C38)</f>
        <v>18160.599999999999</v>
      </c>
    </row>
    <row r="46" spans="2:18" x14ac:dyDescent="0.3">
      <c r="D46" s="25" t="s">
        <v>32</v>
      </c>
      <c r="E46" s="25" t="s">
        <v>33</v>
      </c>
      <c r="F46" s="25" t="s">
        <v>34</v>
      </c>
      <c r="G46" s="26" t="s">
        <v>30</v>
      </c>
      <c r="H46" s="25" t="s">
        <v>40</v>
      </c>
      <c r="I46" s="25" t="s">
        <v>0</v>
      </c>
    </row>
    <row r="47" spans="2:18" x14ac:dyDescent="0.3">
      <c r="D47" s="27"/>
      <c r="E47" s="28"/>
      <c r="F47" s="29"/>
      <c r="G47" s="29"/>
      <c r="H47"/>
      <c r="I47" s="22"/>
    </row>
    <row r="48" spans="2:18" x14ac:dyDescent="0.3">
      <c r="D48" s="27"/>
      <c r="E48" s="28"/>
      <c r="F48" s="29"/>
      <c r="G48" s="29"/>
      <c r="H48"/>
      <c r="I48" s="22"/>
    </row>
    <row r="49" spans="4:9" x14ac:dyDescent="0.3">
      <c r="D49" s="27"/>
      <c r="E49" s="28"/>
      <c r="F49" s="29"/>
      <c r="G49" s="30"/>
      <c r="H49"/>
      <c r="I49" s="22"/>
    </row>
    <row r="51" spans="4:9" x14ac:dyDescent="0.3">
      <c r="D51" s="45">
        <v>104101</v>
      </c>
    </row>
    <row r="52" spans="4:9" x14ac:dyDescent="0.3">
      <c r="D52" s="45">
        <v>104101</v>
      </c>
      <c r="G52" s="10"/>
    </row>
    <row r="53" spans="4:9" x14ac:dyDescent="0.3">
      <c r="D53" s="45">
        <v>104101</v>
      </c>
    </row>
    <row r="54" spans="4:9" x14ac:dyDescent="0.3">
      <c r="D54" s="45">
        <v>104101</v>
      </c>
    </row>
    <row r="55" spans="4:9" x14ac:dyDescent="0.3">
      <c r="D55" s="45">
        <v>104101</v>
      </c>
    </row>
    <row r="56" spans="4:9" x14ac:dyDescent="0.3">
      <c r="D56" s="45">
        <v>104101</v>
      </c>
    </row>
    <row r="57" spans="4:9" x14ac:dyDescent="0.3">
      <c r="D57" s="45">
        <v>104101</v>
      </c>
    </row>
    <row r="58" spans="4:9" x14ac:dyDescent="0.3">
      <c r="D58" s="45">
        <v>104101</v>
      </c>
    </row>
    <row r="59" spans="4:9" x14ac:dyDescent="0.3">
      <c r="D59" s="45">
        <v>104101</v>
      </c>
    </row>
    <row r="60" spans="4:9" x14ac:dyDescent="0.3">
      <c r="D60" s="45">
        <v>104101</v>
      </c>
    </row>
    <row r="61" spans="4:9" x14ac:dyDescent="0.3">
      <c r="D61" s="45">
        <v>104101</v>
      </c>
    </row>
    <row r="62" spans="4:9" x14ac:dyDescent="0.3">
      <c r="D62" s="45">
        <v>104101</v>
      </c>
    </row>
    <row r="63" spans="4:9" x14ac:dyDescent="0.3">
      <c r="D63" s="45">
        <v>104101</v>
      </c>
    </row>
  </sheetData>
  <autoFilter ref="B4:L35" xr:uid="{D1EBCF5B-1838-455A-A156-9960054A2415}"/>
  <sortState xmlns:xlrd2="http://schemas.microsoft.com/office/spreadsheetml/2017/richdata2" ref="D47:I49">
    <sortCondition ref="I47:I49"/>
  </sortState>
  <mergeCells count="18">
    <mergeCell ref="K28:K29"/>
    <mergeCell ref="K23:K24"/>
    <mergeCell ref="L20:L22"/>
    <mergeCell ref="L23:L24"/>
    <mergeCell ref="L25:L27"/>
    <mergeCell ref="K20:K22"/>
    <mergeCell ref="K25:K27"/>
    <mergeCell ref="L28:L29"/>
    <mergeCell ref="L6:L8"/>
    <mergeCell ref="L9:L10"/>
    <mergeCell ref="L11:L12"/>
    <mergeCell ref="L13:L15"/>
    <mergeCell ref="L16:L19"/>
    <mergeCell ref="K11:K12"/>
    <mergeCell ref="K6:K8"/>
    <mergeCell ref="K9:K10"/>
    <mergeCell ref="K13:K15"/>
    <mergeCell ref="K16:K19"/>
  </mergeCells>
  <conditionalFormatting sqref="K1:K6 L5:L6 K9:L9 K11:L11 K13:L13 K16:L16 K20:L20 K23:L23 K25:L25 K28:L28 K30:K41">
    <cfRule type="containsText" dxfId="15" priority="52" operator="containsText" text="PENDIENTE">
      <formula>NOT(ISERROR(SEARCH("PENDIENTE",K1)))</formula>
    </cfRule>
  </conditionalFormatting>
  <conditionalFormatting sqref="K37:K41">
    <cfRule type="cellIs" dxfId="14" priority="7" operator="equal">
      <formula>"PENDIENTE"</formula>
    </cfRule>
    <cfRule type="cellIs" dxfId="13" priority="8" operator="equal">
      <formula>"FALTA"</formula>
    </cfRule>
    <cfRule type="cellIs" dxfId="12" priority="9" operator="equal">
      <formula>"OK"</formula>
    </cfRule>
  </conditionalFormatting>
  <conditionalFormatting sqref="K42:K1048576">
    <cfRule type="containsText" dxfId="11" priority="37" operator="containsText" text="OK">
      <formula>NOT(ISERROR(SEARCH("OK",K42)))</formula>
    </cfRule>
    <cfRule type="containsText" dxfId="10" priority="38" operator="containsText" text="PENDIENTE">
      <formula>NOT(ISERROR(SEARCH("PENDIENTE",K42)))</formula>
    </cfRule>
  </conditionalFormatting>
  <conditionalFormatting sqref="K5:L6">
    <cfRule type="cellIs" dxfId="9" priority="4" operator="equal">
      <formula>"PENDIENTE"</formula>
    </cfRule>
    <cfRule type="cellIs" dxfId="8" priority="5" operator="equal">
      <formula>"FALTA"</formula>
    </cfRule>
    <cfRule type="cellIs" dxfId="7" priority="6" operator="equal">
      <formula>"OK"</formula>
    </cfRule>
  </conditionalFormatting>
  <conditionalFormatting sqref="K9:L9 K11:L11 K16:L16 K20:L20 K23:L23 K25:L25 K28:L28 K30:K35">
    <cfRule type="cellIs" dxfId="6" priority="45" operator="equal">
      <formula>"PENDIENTE"</formula>
    </cfRule>
    <cfRule type="cellIs" dxfId="5" priority="46" operator="equal">
      <formula>"FALTA"</formula>
    </cfRule>
    <cfRule type="cellIs" dxfId="4" priority="47" operator="equal">
      <formula>"OK"</formula>
    </cfRule>
  </conditionalFormatting>
  <conditionalFormatting sqref="K9:L9 K11:L11 K16:L16 K20:L20 K23:L23 K25:L25 K28:L28 K30:K41 K1:K6 L5:L6 K13:L13">
    <cfRule type="containsText" dxfId="3" priority="51" operator="containsText" text="OK">
      <formula>NOT(ISERROR(SEARCH("OK",K1)))</formula>
    </cfRule>
  </conditionalFormatting>
  <conditionalFormatting sqref="K13:L13">
    <cfRule type="cellIs" dxfId="2" priority="1" operator="equal">
      <formula>"PENDIENTE"</formula>
    </cfRule>
    <cfRule type="cellIs" dxfId="1" priority="2" operator="equal">
      <formula>"FALTA"</formula>
    </cfRule>
    <cfRule type="cellIs" dxfId="0" priority="3" operator="equal">
      <formula>"OK"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BCE6-E31C-4AE2-BF58-C05892EB92D5}">
  <dimension ref="A1:AO683"/>
  <sheetViews>
    <sheetView showGridLines="0" topLeftCell="T1" zoomScale="80" zoomScaleNormal="80" workbookViewId="0">
      <pane ySplit="1" topLeftCell="A2" activePane="bottomLeft" state="frozen"/>
      <selection activeCell="D1" sqref="D1"/>
      <selection pane="bottomLeft" activeCell="AO26" sqref="AO26"/>
    </sheetView>
  </sheetViews>
  <sheetFormatPr baseColWidth="10" defaultRowHeight="14.4" x14ac:dyDescent="0.3"/>
  <cols>
    <col min="1" max="1" width="11.44140625" customWidth="1"/>
    <col min="2" max="2" width="8.6640625" customWidth="1"/>
    <col min="3" max="3" width="9" customWidth="1"/>
    <col min="4" max="4" width="17.109375" bestFit="1" customWidth="1"/>
    <col min="5" max="5" width="11.5546875" customWidth="1"/>
    <col min="6" max="6" width="11.6640625" style="130" customWidth="1"/>
    <col min="7" max="8" width="11.5546875" customWidth="1"/>
    <col min="9" max="9" width="11.5546875" hidden="1" customWidth="1"/>
    <col min="10" max="11" width="11.5546875" customWidth="1"/>
    <col min="12" max="12" width="18.5546875" customWidth="1"/>
    <col min="13" max="13" width="11.5546875" customWidth="1"/>
    <col min="14" max="14" width="9.33203125" customWidth="1"/>
    <col min="15" max="15" width="12" style="36" customWidth="1"/>
    <col min="16" max="16" width="12" style="131" customWidth="1"/>
    <col min="17" max="17" width="11.33203125" style="132" customWidth="1"/>
    <col min="18" max="18" width="19.88671875" bestFit="1" customWidth="1"/>
    <col min="19" max="19" width="15.6640625" bestFit="1" customWidth="1"/>
    <col min="20" max="20" width="16.44140625" bestFit="1" customWidth="1"/>
    <col min="21" max="21" width="17.6640625" bestFit="1" customWidth="1"/>
    <col min="22" max="22" width="15.6640625" bestFit="1" customWidth="1"/>
    <col min="24" max="24" width="11.6640625" customWidth="1"/>
    <col min="36" max="36" width="18.44140625" bestFit="1" customWidth="1"/>
    <col min="37" max="37" width="16.44140625" bestFit="1" customWidth="1"/>
  </cols>
  <sheetData>
    <row r="1" spans="1:41" x14ac:dyDescent="0.3">
      <c r="A1" s="119" t="s">
        <v>43</v>
      </c>
      <c r="B1" s="120" t="s">
        <v>44</v>
      </c>
      <c r="C1" s="120" t="s">
        <v>45</v>
      </c>
      <c r="D1" s="120" t="s">
        <v>46</v>
      </c>
      <c r="E1" s="120" t="s">
        <v>47</v>
      </c>
      <c r="F1" s="120" t="s">
        <v>48</v>
      </c>
      <c r="G1" s="120" t="s">
        <v>49</v>
      </c>
      <c r="H1" s="120" t="s">
        <v>50</v>
      </c>
      <c r="I1" s="120" t="s">
        <v>51</v>
      </c>
      <c r="J1" s="120" t="s">
        <v>52</v>
      </c>
      <c r="K1" s="120" t="s">
        <v>53</v>
      </c>
      <c r="L1" s="120" t="s">
        <v>54</v>
      </c>
      <c r="M1" s="120" t="s">
        <v>55</v>
      </c>
      <c r="N1" s="120" t="s">
        <v>56</v>
      </c>
      <c r="O1" s="120" t="s">
        <v>57</v>
      </c>
      <c r="P1" s="120" t="s">
        <v>30</v>
      </c>
      <c r="Q1" s="120" t="s">
        <v>58</v>
      </c>
      <c r="R1" s="120" t="s">
        <v>59</v>
      </c>
      <c r="S1" s="120" t="s">
        <v>158</v>
      </c>
      <c r="T1" s="120" t="s">
        <v>60</v>
      </c>
      <c r="U1" s="120" t="s">
        <v>61</v>
      </c>
      <c r="V1" s="165" t="s">
        <v>62</v>
      </c>
      <c r="W1" s="120" t="s">
        <v>63</v>
      </c>
      <c r="X1" s="120" t="s">
        <v>77</v>
      </c>
      <c r="Y1" s="120" t="s">
        <v>64</v>
      </c>
      <c r="Z1" s="120" t="s">
        <v>133</v>
      </c>
      <c r="AA1" s="120" t="s">
        <v>134</v>
      </c>
      <c r="AB1" s="120" t="s">
        <v>135</v>
      </c>
      <c r="AC1" s="120" t="s">
        <v>136</v>
      </c>
      <c r="AD1" s="120" t="s">
        <v>137</v>
      </c>
      <c r="AE1" s="120" t="s">
        <v>138</v>
      </c>
      <c r="AF1" s="120" t="s">
        <v>65</v>
      </c>
      <c r="AG1" s="146" t="s">
        <v>24</v>
      </c>
      <c r="AJ1" s="33" t="s">
        <v>73</v>
      </c>
      <c r="AK1" t="s">
        <v>75</v>
      </c>
      <c r="AN1" s="17">
        <v>46082</v>
      </c>
      <c r="AO1" s="18">
        <v>15387.07</v>
      </c>
    </row>
    <row r="2" spans="1:41" x14ac:dyDescent="0.3">
      <c r="A2" s="121">
        <v>1044162</v>
      </c>
      <c r="B2" s="122" t="s">
        <v>159</v>
      </c>
      <c r="C2" s="122" t="s">
        <v>66</v>
      </c>
      <c r="D2" s="123">
        <v>46113</v>
      </c>
      <c r="E2" s="123">
        <v>46113</v>
      </c>
      <c r="F2" s="122"/>
      <c r="G2" s="122">
        <v>870</v>
      </c>
      <c r="H2" s="122" t="s">
        <v>132</v>
      </c>
      <c r="I2" s="122">
        <v>2960</v>
      </c>
      <c r="J2" s="122">
        <v>81258</v>
      </c>
      <c r="K2" s="122">
        <v>3</v>
      </c>
      <c r="L2" s="122" t="s">
        <v>178</v>
      </c>
      <c r="M2" s="122" t="s">
        <v>160</v>
      </c>
      <c r="N2" s="122" t="s">
        <v>161</v>
      </c>
      <c r="O2" s="123">
        <v>46113</v>
      </c>
      <c r="P2" s="158">
        <v>1248</v>
      </c>
      <c r="Q2" s="158" t="s">
        <v>67</v>
      </c>
      <c r="R2" s="158">
        <v>57.91</v>
      </c>
      <c r="S2" s="158">
        <v>4.25</v>
      </c>
      <c r="T2" s="158">
        <v>0.77</v>
      </c>
      <c r="U2" s="158">
        <v>1189.32</v>
      </c>
      <c r="V2" s="161">
        <v>1189.32</v>
      </c>
      <c r="W2" s="123">
        <v>46118</v>
      </c>
      <c r="X2" s="162">
        <v>20260406</v>
      </c>
      <c r="Y2" s="122">
        <v>104101</v>
      </c>
      <c r="Z2" s="122" t="s">
        <v>142</v>
      </c>
      <c r="AA2" s="122">
        <v>3908900</v>
      </c>
      <c r="AB2" s="122" t="s">
        <v>148</v>
      </c>
      <c r="AC2" s="122" t="s">
        <v>151</v>
      </c>
      <c r="AD2" s="122"/>
      <c r="AE2" s="129">
        <v>0.55163194444444441</v>
      </c>
      <c r="AF2" s="122" t="s">
        <v>141</v>
      </c>
      <c r="AG2" s="139" t="s">
        <v>148</v>
      </c>
      <c r="AJ2" s="34">
        <v>46113</v>
      </c>
      <c r="AK2">
        <v>15387.07</v>
      </c>
      <c r="AN2" s="17">
        <f>+AN1+1</f>
        <v>46083</v>
      </c>
      <c r="AO2" s="18">
        <v>23291.399999999998</v>
      </c>
    </row>
    <row r="3" spans="1:41" x14ac:dyDescent="0.3">
      <c r="A3" s="121">
        <v>1044162</v>
      </c>
      <c r="B3" s="122" t="s">
        <v>162</v>
      </c>
      <c r="C3" s="122" t="s">
        <v>66</v>
      </c>
      <c r="D3" s="123">
        <v>46113</v>
      </c>
      <c r="E3" s="123">
        <v>46113</v>
      </c>
      <c r="F3" s="122"/>
      <c r="G3" s="122">
        <v>870</v>
      </c>
      <c r="H3" s="122" t="s">
        <v>132</v>
      </c>
      <c r="I3" s="122">
        <v>2958</v>
      </c>
      <c r="J3" s="122">
        <v>266228</v>
      </c>
      <c r="K3" s="122"/>
      <c r="L3" s="122" t="s">
        <v>179</v>
      </c>
      <c r="M3" s="122" t="s">
        <v>160</v>
      </c>
      <c r="N3" s="122" t="s">
        <v>161</v>
      </c>
      <c r="O3" s="123">
        <v>46113</v>
      </c>
      <c r="P3" s="158">
        <v>448.9</v>
      </c>
      <c r="Q3" s="158" t="s">
        <v>67</v>
      </c>
      <c r="R3" s="158">
        <v>12.97</v>
      </c>
      <c r="S3" s="158">
        <v>5.79</v>
      </c>
      <c r="T3" s="158">
        <v>1.04</v>
      </c>
      <c r="U3" s="158">
        <v>434.89</v>
      </c>
      <c r="V3" s="163">
        <v>0</v>
      </c>
      <c r="W3" s="122"/>
      <c r="X3" s="162">
        <v>20260406</v>
      </c>
      <c r="Y3" s="122"/>
      <c r="Z3" s="122" t="s">
        <v>139</v>
      </c>
      <c r="AA3" s="122">
        <v>3908900</v>
      </c>
      <c r="AB3" s="122" t="s">
        <v>145</v>
      </c>
      <c r="AC3" s="122"/>
      <c r="AD3" s="122"/>
      <c r="AE3" s="129">
        <v>0.53292824074074074</v>
      </c>
      <c r="AF3" s="122" t="s">
        <v>141</v>
      </c>
      <c r="AG3" s="139" t="s">
        <v>148</v>
      </c>
      <c r="AJ3" s="34">
        <v>46114</v>
      </c>
      <c r="AK3">
        <v>23291.399999999998</v>
      </c>
      <c r="AN3" s="17">
        <f t="shared" ref="AN3:AN31" si="0">+AN2+1</f>
        <v>46084</v>
      </c>
      <c r="AO3" s="18">
        <v>12549.9</v>
      </c>
    </row>
    <row r="4" spans="1:41" x14ac:dyDescent="0.3">
      <c r="A4" s="121">
        <v>1044162</v>
      </c>
      <c r="B4" s="122" t="s">
        <v>162</v>
      </c>
      <c r="C4" s="122" t="s">
        <v>66</v>
      </c>
      <c r="D4" s="123">
        <v>46113</v>
      </c>
      <c r="E4" s="123">
        <v>46113</v>
      </c>
      <c r="F4" s="122"/>
      <c r="G4" s="122">
        <v>870</v>
      </c>
      <c r="H4" s="122" t="s">
        <v>132</v>
      </c>
      <c r="I4" s="122">
        <v>2963</v>
      </c>
      <c r="J4" s="122">
        <v>8897</v>
      </c>
      <c r="K4" s="122"/>
      <c r="L4" s="122" t="s">
        <v>180</v>
      </c>
      <c r="M4" s="122" t="s">
        <v>160</v>
      </c>
      <c r="N4" s="122" t="s">
        <v>161</v>
      </c>
      <c r="O4" s="123">
        <v>46113</v>
      </c>
      <c r="P4" s="158">
        <v>4999</v>
      </c>
      <c r="Q4" s="158" t="s">
        <v>67</v>
      </c>
      <c r="R4" s="158">
        <v>144.47</v>
      </c>
      <c r="S4" s="158">
        <v>39.49</v>
      </c>
      <c r="T4" s="158">
        <v>7.11</v>
      </c>
      <c r="U4" s="158">
        <v>4847.42</v>
      </c>
      <c r="V4" s="163">
        <v>0</v>
      </c>
      <c r="W4" s="122"/>
      <c r="X4" s="162">
        <v>20260406</v>
      </c>
      <c r="Y4" s="122"/>
      <c r="Z4" s="122" t="s">
        <v>142</v>
      </c>
      <c r="AA4" s="122">
        <v>3908900</v>
      </c>
      <c r="AB4" s="122" t="s">
        <v>145</v>
      </c>
      <c r="AC4" s="122"/>
      <c r="AD4" s="122"/>
      <c r="AE4" s="129">
        <v>0.55978009259259254</v>
      </c>
      <c r="AF4" s="122" t="s">
        <v>141</v>
      </c>
      <c r="AG4" s="139" t="s">
        <v>148</v>
      </c>
      <c r="AJ4" s="34">
        <v>46115</v>
      </c>
      <c r="AK4">
        <v>12549.9</v>
      </c>
      <c r="AN4" s="17">
        <f t="shared" si="0"/>
        <v>46085</v>
      </c>
      <c r="AO4" s="18">
        <v>13066</v>
      </c>
    </row>
    <row r="5" spans="1:41" x14ac:dyDescent="0.3">
      <c r="A5" s="121">
        <v>1044162</v>
      </c>
      <c r="B5" s="122" t="s">
        <v>162</v>
      </c>
      <c r="C5" s="122" t="s">
        <v>66</v>
      </c>
      <c r="D5" s="123">
        <v>46113</v>
      </c>
      <c r="E5" s="123">
        <v>46113</v>
      </c>
      <c r="F5" s="122"/>
      <c r="G5" s="122">
        <v>870</v>
      </c>
      <c r="H5" s="122" t="s">
        <v>132</v>
      </c>
      <c r="I5" s="122">
        <v>2965</v>
      </c>
      <c r="J5" s="122">
        <v>877095</v>
      </c>
      <c r="K5" s="122"/>
      <c r="L5" s="122" t="s">
        <v>181</v>
      </c>
      <c r="M5" s="122" t="s">
        <v>160</v>
      </c>
      <c r="N5" s="122" t="s">
        <v>161</v>
      </c>
      <c r="O5" s="123">
        <v>46113</v>
      </c>
      <c r="P5" s="158">
        <v>429</v>
      </c>
      <c r="Q5" s="158" t="s">
        <v>67</v>
      </c>
      <c r="R5" s="158">
        <v>12.4</v>
      </c>
      <c r="S5" s="158">
        <v>5.54</v>
      </c>
      <c r="T5" s="158">
        <v>1</v>
      </c>
      <c r="U5" s="158">
        <v>415.6</v>
      </c>
      <c r="V5" s="163">
        <v>0</v>
      </c>
      <c r="W5" s="122"/>
      <c r="X5" s="162">
        <v>20260406</v>
      </c>
      <c r="Y5" s="122"/>
      <c r="Z5" s="122" t="s">
        <v>139</v>
      </c>
      <c r="AA5" s="122">
        <v>3908900</v>
      </c>
      <c r="AB5" s="122" t="s">
        <v>145</v>
      </c>
      <c r="AC5" s="122"/>
      <c r="AD5" s="122"/>
      <c r="AE5" s="129">
        <v>0.56869212962962956</v>
      </c>
      <c r="AF5" s="122" t="s">
        <v>141</v>
      </c>
      <c r="AG5" s="139" t="s">
        <v>148</v>
      </c>
      <c r="AJ5" s="34">
        <v>46116</v>
      </c>
      <c r="AK5">
        <v>13066</v>
      </c>
      <c r="AN5" s="17">
        <f t="shared" si="0"/>
        <v>46086</v>
      </c>
      <c r="AO5" s="18">
        <v>15623</v>
      </c>
    </row>
    <row r="6" spans="1:41" x14ac:dyDescent="0.3">
      <c r="A6" s="121">
        <v>1044162</v>
      </c>
      <c r="B6" s="122" t="s">
        <v>162</v>
      </c>
      <c r="C6" s="122" t="s">
        <v>66</v>
      </c>
      <c r="D6" s="123">
        <v>46113</v>
      </c>
      <c r="E6" s="123">
        <v>46113</v>
      </c>
      <c r="F6" s="122"/>
      <c r="G6" s="122">
        <v>870</v>
      </c>
      <c r="H6" s="122" t="s">
        <v>132</v>
      </c>
      <c r="I6" s="122">
        <v>2967</v>
      </c>
      <c r="J6" s="122">
        <v>309566</v>
      </c>
      <c r="K6" s="122"/>
      <c r="L6" s="122" t="s">
        <v>182</v>
      </c>
      <c r="M6" s="122" t="s">
        <v>160</v>
      </c>
      <c r="N6" s="122" t="s">
        <v>161</v>
      </c>
      <c r="O6" s="123">
        <v>46113</v>
      </c>
      <c r="P6" s="158">
        <v>149</v>
      </c>
      <c r="Q6" s="158" t="s">
        <v>67</v>
      </c>
      <c r="R6" s="158">
        <v>4.3099999999999996</v>
      </c>
      <c r="S6" s="158">
        <v>1.93</v>
      </c>
      <c r="T6" s="158">
        <v>0.35</v>
      </c>
      <c r="U6" s="158">
        <v>144.34</v>
      </c>
      <c r="V6" s="163">
        <v>0</v>
      </c>
      <c r="W6" s="122"/>
      <c r="X6" s="162">
        <v>20260406</v>
      </c>
      <c r="Y6" s="122"/>
      <c r="Z6" s="122" t="s">
        <v>139</v>
      </c>
      <c r="AA6" s="122">
        <v>3908900</v>
      </c>
      <c r="AB6" s="122" t="s">
        <v>145</v>
      </c>
      <c r="AC6" s="122"/>
      <c r="AD6" s="122"/>
      <c r="AE6" s="129">
        <v>0.57656249999999998</v>
      </c>
      <c r="AF6" s="122" t="s">
        <v>141</v>
      </c>
      <c r="AG6" s="139" t="s">
        <v>148</v>
      </c>
      <c r="AJ6" s="34">
        <v>46117</v>
      </c>
      <c r="AK6">
        <v>15623</v>
      </c>
      <c r="AN6" s="17">
        <f t="shared" si="0"/>
        <v>46087</v>
      </c>
      <c r="AO6" s="18">
        <v>20075.850000000002</v>
      </c>
    </row>
    <row r="7" spans="1:41" x14ac:dyDescent="0.3">
      <c r="A7" s="121">
        <v>1044162</v>
      </c>
      <c r="B7" s="122" t="s">
        <v>162</v>
      </c>
      <c r="C7" s="122" t="s">
        <v>66</v>
      </c>
      <c r="D7" s="123">
        <v>46113</v>
      </c>
      <c r="E7" s="123">
        <v>46113</v>
      </c>
      <c r="F7" s="122"/>
      <c r="G7" s="122">
        <v>870</v>
      </c>
      <c r="H7" s="122" t="s">
        <v>132</v>
      </c>
      <c r="I7" s="122">
        <v>2969</v>
      </c>
      <c r="J7" s="122">
        <v>23243</v>
      </c>
      <c r="K7" s="122"/>
      <c r="L7" s="122" t="s">
        <v>183</v>
      </c>
      <c r="M7" s="122" t="s">
        <v>160</v>
      </c>
      <c r="N7" s="122" t="s">
        <v>161</v>
      </c>
      <c r="O7" s="123">
        <v>46113</v>
      </c>
      <c r="P7" s="158">
        <v>629</v>
      </c>
      <c r="Q7" s="158" t="s">
        <v>67</v>
      </c>
      <c r="R7" s="158">
        <v>18.18</v>
      </c>
      <c r="S7" s="158">
        <v>3.71</v>
      </c>
      <c r="T7" s="158">
        <v>0.67</v>
      </c>
      <c r="U7" s="158">
        <v>610.15</v>
      </c>
      <c r="V7" s="163">
        <v>0</v>
      </c>
      <c r="W7" s="122"/>
      <c r="X7" s="162">
        <v>20260406</v>
      </c>
      <c r="Y7" s="122"/>
      <c r="Z7" s="122" t="s">
        <v>142</v>
      </c>
      <c r="AA7" s="122">
        <v>3908900</v>
      </c>
      <c r="AB7" s="122" t="s">
        <v>98</v>
      </c>
      <c r="AC7" s="122"/>
      <c r="AD7" s="122"/>
      <c r="AE7" s="129">
        <v>0.61023148148148143</v>
      </c>
      <c r="AF7" s="122" t="s">
        <v>141</v>
      </c>
      <c r="AG7" s="139" t="s">
        <v>148</v>
      </c>
      <c r="AJ7" s="34">
        <v>46118</v>
      </c>
      <c r="AK7">
        <v>20075.850000000002</v>
      </c>
      <c r="AN7" s="17">
        <f t="shared" si="0"/>
        <v>46088</v>
      </c>
      <c r="AO7" s="18">
        <v>14261.5</v>
      </c>
    </row>
    <row r="8" spans="1:41" x14ac:dyDescent="0.3">
      <c r="A8" s="121">
        <v>1044162</v>
      </c>
      <c r="B8" s="122" t="s">
        <v>162</v>
      </c>
      <c r="C8" s="122" t="s">
        <v>66</v>
      </c>
      <c r="D8" s="123">
        <v>46113</v>
      </c>
      <c r="E8" s="123">
        <v>46113</v>
      </c>
      <c r="F8" s="122"/>
      <c r="G8" s="122">
        <v>870</v>
      </c>
      <c r="H8" s="122" t="s">
        <v>132</v>
      </c>
      <c r="I8" s="122">
        <v>2973</v>
      </c>
      <c r="J8" s="122">
        <v>514762</v>
      </c>
      <c r="K8" s="122"/>
      <c r="L8" s="122" t="s">
        <v>184</v>
      </c>
      <c r="M8" s="122" t="s">
        <v>160</v>
      </c>
      <c r="N8" s="122" t="s">
        <v>161</v>
      </c>
      <c r="O8" s="123">
        <v>46113</v>
      </c>
      <c r="P8" s="158">
        <v>1699</v>
      </c>
      <c r="Q8" s="158" t="s">
        <v>67</v>
      </c>
      <c r="R8" s="158">
        <v>49.1</v>
      </c>
      <c r="S8" s="158">
        <v>21.92</v>
      </c>
      <c r="T8" s="158">
        <v>3.95</v>
      </c>
      <c r="U8" s="158">
        <v>1645.95</v>
      </c>
      <c r="V8" s="163">
        <v>0</v>
      </c>
      <c r="W8" s="122"/>
      <c r="X8" s="162">
        <v>20260406</v>
      </c>
      <c r="Y8" s="122"/>
      <c r="Z8" s="122" t="s">
        <v>139</v>
      </c>
      <c r="AA8" s="122">
        <v>3908900</v>
      </c>
      <c r="AB8" s="122" t="s">
        <v>145</v>
      </c>
      <c r="AC8" s="122"/>
      <c r="AD8" s="122"/>
      <c r="AE8" s="129">
        <v>0.6267476851851852</v>
      </c>
      <c r="AF8" s="122" t="s">
        <v>141</v>
      </c>
      <c r="AG8" s="139" t="s">
        <v>148</v>
      </c>
      <c r="AJ8" s="34">
        <v>46119</v>
      </c>
      <c r="AK8">
        <v>14261.5</v>
      </c>
      <c r="AN8" s="17">
        <f t="shared" si="0"/>
        <v>46089</v>
      </c>
      <c r="AO8" s="18">
        <v>16828.599999999999</v>
      </c>
    </row>
    <row r="9" spans="1:41" x14ac:dyDescent="0.3">
      <c r="A9" s="121">
        <v>1044162</v>
      </c>
      <c r="B9" s="122" t="s">
        <v>162</v>
      </c>
      <c r="C9" s="122" t="s">
        <v>66</v>
      </c>
      <c r="D9" s="123">
        <v>46113</v>
      </c>
      <c r="E9" s="123">
        <v>46113</v>
      </c>
      <c r="F9" s="122"/>
      <c r="G9" s="122">
        <v>870</v>
      </c>
      <c r="H9" s="122" t="s">
        <v>132</v>
      </c>
      <c r="I9" s="122">
        <v>2984</v>
      </c>
      <c r="J9" s="122">
        <v>715830</v>
      </c>
      <c r="K9" s="122"/>
      <c r="L9" s="122" t="s">
        <v>173</v>
      </c>
      <c r="M9" s="122" t="s">
        <v>160</v>
      </c>
      <c r="N9" s="122" t="s">
        <v>161</v>
      </c>
      <c r="O9" s="123">
        <v>46113</v>
      </c>
      <c r="P9" s="158">
        <v>63</v>
      </c>
      <c r="Q9" s="158" t="s">
        <v>67</v>
      </c>
      <c r="R9" s="158">
        <v>1.82</v>
      </c>
      <c r="S9" s="158">
        <v>0.81</v>
      </c>
      <c r="T9" s="158">
        <v>0.15</v>
      </c>
      <c r="U9" s="158">
        <v>61.03</v>
      </c>
      <c r="V9" s="163">
        <v>0</v>
      </c>
      <c r="W9" s="122"/>
      <c r="X9" s="162">
        <v>20260406</v>
      </c>
      <c r="Y9" s="122"/>
      <c r="Z9" s="122" t="s">
        <v>139</v>
      </c>
      <c r="AA9" s="122">
        <v>3908900</v>
      </c>
      <c r="AB9" s="122" t="s">
        <v>145</v>
      </c>
      <c r="AC9" s="122"/>
      <c r="AD9" s="122"/>
      <c r="AE9" s="129">
        <v>0.73603009259259267</v>
      </c>
      <c r="AF9" s="122" t="s">
        <v>141</v>
      </c>
      <c r="AG9" s="139" t="s">
        <v>148</v>
      </c>
      <c r="AJ9" s="34">
        <v>46120</v>
      </c>
      <c r="AK9">
        <v>16828.599999999999</v>
      </c>
      <c r="AN9" s="17">
        <f t="shared" si="0"/>
        <v>46090</v>
      </c>
      <c r="AO9" s="18">
        <v>15052</v>
      </c>
    </row>
    <row r="10" spans="1:41" x14ac:dyDescent="0.3">
      <c r="A10" s="121">
        <v>1044162</v>
      </c>
      <c r="B10" s="122" t="s">
        <v>162</v>
      </c>
      <c r="C10" s="122" t="s">
        <v>66</v>
      </c>
      <c r="D10" s="123">
        <v>46113</v>
      </c>
      <c r="E10" s="123">
        <v>46113</v>
      </c>
      <c r="F10" s="122"/>
      <c r="G10" s="122">
        <v>870</v>
      </c>
      <c r="H10" s="122" t="s">
        <v>132</v>
      </c>
      <c r="I10" s="122">
        <v>2986</v>
      </c>
      <c r="J10" s="122">
        <v>174143</v>
      </c>
      <c r="K10" s="122"/>
      <c r="L10" s="122" t="s">
        <v>168</v>
      </c>
      <c r="M10" s="122" t="s">
        <v>160</v>
      </c>
      <c r="N10" s="122" t="s">
        <v>161</v>
      </c>
      <c r="O10" s="123">
        <v>46113</v>
      </c>
      <c r="P10" s="158">
        <v>566</v>
      </c>
      <c r="Q10" s="158" t="s">
        <v>67</v>
      </c>
      <c r="R10" s="158">
        <v>16.36</v>
      </c>
      <c r="S10" s="158">
        <v>4.47</v>
      </c>
      <c r="T10" s="158">
        <v>0.8</v>
      </c>
      <c r="U10" s="158">
        <v>548.84</v>
      </c>
      <c r="V10" s="163">
        <v>0</v>
      </c>
      <c r="W10" s="122"/>
      <c r="X10" s="162">
        <v>20260406</v>
      </c>
      <c r="Y10" s="122"/>
      <c r="Z10" s="122" t="s">
        <v>139</v>
      </c>
      <c r="AA10" s="122">
        <v>3908900</v>
      </c>
      <c r="AB10" s="122" t="s">
        <v>147</v>
      </c>
      <c r="AC10" s="122"/>
      <c r="AD10" s="122"/>
      <c r="AE10" s="129">
        <v>0.73655092592592597</v>
      </c>
      <c r="AF10" s="122" t="s">
        <v>141</v>
      </c>
      <c r="AG10" s="139" t="s">
        <v>148</v>
      </c>
      <c r="AJ10" s="34">
        <v>46121</v>
      </c>
      <c r="AK10">
        <v>15052</v>
      </c>
      <c r="AN10" s="17">
        <f t="shared" si="0"/>
        <v>46091</v>
      </c>
      <c r="AO10" s="18">
        <v>13573.449999999999</v>
      </c>
    </row>
    <row r="11" spans="1:41" x14ac:dyDescent="0.3">
      <c r="A11" s="121">
        <v>1044162</v>
      </c>
      <c r="B11" s="122" t="s">
        <v>162</v>
      </c>
      <c r="C11" s="122" t="s">
        <v>66</v>
      </c>
      <c r="D11" s="123">
        <v>46113</v>
      </c>
      <c r="E11" s="123">
        <v>46113</v>
      </c>
      <c r="F11" s="122"/>
      <c r="G11" s="122">
        <v>870</v>
      </c>
      <c r="H11" s="122" t="s">
        <v>132</v>
      </c>
      <c r="I11" s="122">
        <v>2988</v>
      </c>
      <c r="J11" s="122">
        <v>355874</v>
      </c>
      <c r="K11" s="122"/>
      <c r="L11" s="122" t="s">
        <v>185</v>
      </c>
      <c r="M11" s="122" t="s">
        <v>160</v>
      </c>
      <c r="N11" s="122" t="s">
        <v>161</v>
      </c>
      <c r="O11" s="123">
        <v>46113</v>
      </c>
      <c r="P11" s="158">
        <v>1149</v>
      </c>
      <c r="Q11" s="158" t="s">
        <v>67</v>
      </c>
      <c r="R11" s="158">
        <v>33.21</v>
      </c>
      <c r="S11" s="158">
        <v>6.78</v>
      </c>
      <c r="T11" s="158">
        <v>1.22</v>
      </c>
      <c r="U11" s="158">
        <v>1114.57</v>
      </c>
      <c r="V11" s="163">
        <v>0</v>
      </c>
      <c r="W11" s="122"/>
      <c r="X11" s="162">
        <v>20260406</v>
      </c>
      <c r="Y11" s="122"/>
      <c r="Z11" s="122" t="s">
        <v>142</v>
      </c>
      <c r="AA11" s="122">
        <v>3908900</v>
      </c>
      <c r="AB11" s="122" t="s">
        <v>148</v>
      </c>
      <c r="AC11" s="122"/>
      <c r="AD11" s="122"/>
      <c r="AE11" s="129">
        <v>0.77609953703703705</v>
      </c>
      <c r="AF11" s="122" t="s">
        <v>141</v>
      </c>
      <c r="AG11" s="139" t="s">
        <v>148</v>
      </c>
      <c r="AJ11" s="34">
        <v>46122</v>
      </c>
      <c r="AK11">
        <v>13573.449999999999</v>
      </c>
      <c r="AN11" s="17">
        <f t="shared" si="0"/>
        <v>46092</v>
      </c>
      <c r="AO11" s="18">
        <v>29443</v>
      </c>
    </row>
    <row r="12" spans="1:41" x14ac:dyDescent="0.3">
      <c r="A12" s="121">
        <v>1044162</v>
      </c>
      <c r="B12" s="122" t="s">
        <v>162</v>
      </c>
      <c r="C12" s="122" t="s">
        <v>66</v>
      </c>
      <c r="D12" s="123">
        <v>46113</v>
      </c>
      <c r="E12" s="123">
        <v>46113</v>
      </c>
      <c r="F12" s="122"/>
      <c r="G12" s="122">
        <v>870</v>
      </c>
      <c r="H12" s="122" t="s">
        <v>132</v>
      </c>
      <c r="I12" s="122">
        <v>2992</v>
      </c>
      <c r="J12" s="122">
        <v>899964</v>
      </c>
      <c r="K12" s="122"/>
      <c r="L12" s="122" t="s">
        <v>186</v>
      </c>
      <c r="M12" s="122" t="s">
        <v>160</v>
      </c>
      <c r="N12" s="122" t="s">
        <v>161</v>
      </c>
      <c r="O12" s="123">
        <v>46113</v>
      </c>
      <c r="P12" s="158">
        <v>629</v>
      </c>
      <c r="Q12" s="158" t="s">
        <v>67</v>
      </c>
      <c r="R12" s="158">
        <v>18.18</v>
      </c>
      <c r="S12" s="158">
        <v>8.1199999999999992</v>
      </c>
      <c r="T12" s="158">
        <v>1.46</v>
      </c>
      <c r="U12" s="158">
        <v>609.36</v>
      </c>
      <c r="V12" s="163">
        <v>0</v>
      </c>
      <c r="W12" s="122"/>
      <c r="X12" s="162">
        <v>20260406</v>
      </c>
      <c r="Y12" s="122"/>
      <c r="Z12" s="122" t="s">
        <v>139</v>
      </c>
      <c r="AA12" s="122">
        <v>3908900</v>
      </c>
      <c r="AB12" s="122" t="s">
        <v>145</v>
      </c>
      <c r="AC12" s="122"/>
      <c r="AD12" s="122"/>
      <c r="AE12" s="129">
        <v>0.79758101851851848</v>
      </c>
      <c r="AF12" s="122" t="s">
        <v>141</v>
      </c>
      <c r="AG12" s="139" t="s">
        <v>148</v>
      </c>
      <c r="AJ12" s="34">
        <v>46123</v>
      </c>
      <c r="AK12">
        <v>29443</v>
      </c>
      <c r="AN12" s="17">
        <f t="shared" si="0"/>
        <v>46093</v>
      </c>
      <c r="AO12" s="18">
        <v>25503.500000000004</v>
      </c>
    </row>
    <row r="13" spans="1:41" x14ac:dyDescent="0.3">
      <c r="A13" s="121">
        <v>1044162</v>
      </c>
      <c r="B13" s="122" t="s">
        <v>162</v>
      </c>
      <c r="C13" s="122" t="s">
        <v>66</v>
      </c>
      <c r="D13" s="123">
        <v>46113</v>
      </c>
      <c r="E13" s="123">
        <v>46113</v>
      </c>
      <c r="F13" s="122"/>
      <c r="G13" s="122">
        <v>870</v>
      </c>
      <c r="H13" s="122" t="s">
        <v>132</v>
      </c>
      <c r="I13" s="122">
        <v>2995</v>
      </c>
      <c r="J13" s="122">
        <v>118963</v>
      </c>
      <c r="K13" s="122"/>
      <c r="L13" s="122" t="s">
        <v>187</v>
      </c>
      <c r="M13" s="122" t="s">
        <v>160</v>
      </c>
      <c r="N13" s="122" t="s">
        <v>161</v>
      </c>
      <c r="O13" s="123">
        <v>46113</v>
      </c>
      <c r="P13" s="158">
        <v>459</v>
      </c>
      <c r="Q13" s="158" t="s">
        <v>67</v>
      </c>
      <c r="R13" s="158">
        <v>13.27</v>
      </c>
      <c r="S13" s="158">
        <v>5.93</v>
      </c>
      <c r="T13" s="158">
        <v>1.07</v>
      </c>
      <c r="U13" s="158">
        <v>444.66</v>
      </c>
      <c r="V13" s="163">
        <v>0</v>
      </c>
      <c r="W13" s="122"/>
      <c r="X13" s="162">
        <v>20260406</v>
      </c>
      <c r="Y13" s="122"/>
      <c r="Z13" s="122" t="s">
        <v>139</v>
      </c>
      <c r="AA13" s="122">
        <v>3908900</v>
      </c>
      <c r="AB13" s="122" t="s">
        <v>152</v>
      </c>
      <c r="AC13" s="122"/>
      <c r="AD13" s="122"/>
      <c r="AE13" s="129">
        <v>0.83293981481481483</v>
      </c>
      <c r="AF13" s="122" t="s">
        <v>141</v>
      </c>
      <c r="AG13" s="139" t="s">
        <v>148</v>
      </c>
      <c r="AJ13" s="34">
        <v>46124</v>
      </c>
      <c r="AK13">
        <v>25503.500000000004</v>
      </c>
      <c r="AN13" s="17">
        <f t="shared" si="0"/>
        <v>46094</v>
      </c>
      <c r="AO13" s="18">
        <v>10947.5</v>
      </c>
    </row>
    <row r="14" spans="1:41" x14ac:dyDescent="0.3">
      <c r="A14" s="121">
        <v>1044162</v>
      </c>
      <c r="B14" s="122" t="s">
        <v>162</v>
      </c>
      <c r="C14" s="122" t="s">
        <v>66</v>
      </c>
      <c r="D14" s="123">
        <v>46113</v>
      </c>
      <c r="E14" s="123">
        <v>46113</v>
      </c>
      <c r="F14" s="122"/>
      <c r="G14" s="122">
        <v>870</v>
      </c>
      <c r="H14" s="122" t="s">
        <v>132</v>
      </c>
      <c r="I14" s="122">
        <v>2997</v>
      </c>
      <c r="J14" s="122">
        <v>200306</v>
      </c>
      <c r="K14" s="122"/>
      <c r="L14" s="122" t="s">
        <v>168</v>
      </c>
      <c r="M14" s="122" t="s">
        <v>160</v>
      </c>
      <c r="N14" s="122" t="s">
        <v>161</v>
      </c>
      <c r="O14" s="123">
        <v>46113</v>
      </c>
      <c r="P14" s="158">
        <v>1000</v>
      </c>
      <c r="Q14" s="158" t="s">
        <v>67</v>
      </c>
      <c r="R14" s="158">
        <v>28.9</v>
      </c>
      <c r="S14" s="158">
        <v>7.9</v>
      </c>
      <c r="T14" s="158">
        <v>1.42</v>
      </c>
      <c r="U14" s="158">
        <v>969.68</v>
      </c>
      <c r="V14" s="163">
        <v>0</v>
      </c>
      <c r="W14" s="122"/>
      <c r="X14" s="162">
        <v>20260406</v>
      </c>
      <c r="Y14" s="122"/>
      <c r="Z14" s="122" t="s">
        <v>139</v>
      </c>
      <c r="AA14" s="122">
        <v>3908900</v>
      </c>
      <c r="AB14" s="122" t="s">
        <v>147</v>
      </c>
      <c r="AC14" s="122"/>
      <c r="AD14" s="122"/>
      <c r="AE14" s="129">
        <v>0.83473379629629629</v>
      </c>
      <c r="AF14" s="122" t="s">
        <v>141</v>
      </c>
      <c r="AG14" s="139" t="s">
        <v>148</v>
      </c>
      <c r="AJ14" s="34">
        <v>46125</v>
      </c>
      <c r="AK14">
        <v>10947.5</v>
      </c>
      <c r="AN14" s="17">
        <f t="shared" si="0"/>
        <v>46095</v>
      </c>
      <c r="AO14" s="18">
        <v>16358.9</v>
      </c>
    </row>
    <row r="15" spans="1:41" x14ac:dyDescent="0.3">
      <c r="A15" s="121">
        <v>1044162</v>
      </c>
      <c r="B15" s="122" t="s">
        <v>162</v>
      </c>
      <c r="C15" s="122" t="s">
        <v>66</v>
      </c>
      <c r="D15" s="123">
        <v>46113</v>
      </c>
      <c r="E15" s="123">
        <v>46113</v>
      </c>
      <c r="F15" s="122"/>
      <c r="G15" s="122">
        <v>870</v>
      </c>
      <c r="H15" s="122" t="s">
        <v>132</v>
      </c>
      <c r="I15" s="122">
        <v>3000</v>
      </c>
      <c r="J15" s="122">
        <v>31007</v>
      </c>
      <c r="K15" s="122"/>
      <c r="L15" s="122" t="s">
        <v>188</v>
      </c>
      <c r="M15" s="122" t="s">
        <v>160</v>
      </c>
      <c r="N15" s="122" t="s">
        <v>161</v>
      </c>
      <c r="O15" s="123">
        <v>46113</v>
      </c>
      <c r="P15" s="158">
        <v>31.17</v>
      </c>
      <c r="Q15" s="158" t="s">
        <v>67</v>
      </c>
      <c r="R15" s="158">
        <v>0.9</v>
      </c>
      <c r="S15" s="158">
        <v>0.4</v>
      </c>
      <c r="T15" s="158">
        <v>7.0000000000000007E-2</v>
      </c>
      <c r="U15" s="158">
        <v>30.2</v>
      </c>
      <c r="V15" s="163">
        <v>0</v>
      </c>
      <c r="W15" s="122"/>
      <c r="X15" s="162">
        <v>20260406</v>
      </c>
      <c r="Y15" s="122"/>
      <c r="Z15" s="122" t="s">
        <v>139</v>
      </c>
      <c r="AA15" s="122">
        <v>3908900</v>
      </c>
      <c r="AB15" s="122" t="s">
        <v>155</v>
      </c>
      <c r="AC15" s="122"/>
      <c r="AD15" s="122"/>
      <c r="AE15" s="129">
        <v>0.85583333333333333</v>
      </c>
      <c r="AF15" s="122" t="s">
        <v>141</v>
      </c>
      <c r="AG15" s="139" t="s">
        <v>148</v>
      </c>
      <c r="AJ15" s="34">
        <v>46126</v>
      </c>
      <c r="AK15">
        <v>16358.9</v>
      </c>
      <c r="AN15" s="17">
        <f t="shared" si="0"/>
        <v>46096</v>
      </c>
      <c r="AO15" s="18">
        <v>8952.7999999999993</v>
      </c>
    </row>
    <row r="16" spans="1:41" x14ac:dyDescent="0.3">
      <c r="A16" s="121">
        <v>1044162</v>
      </c>
      <c r="B16" s="122" t="s">
        <v>162</v>
      </c>
      <c r="C16" s="122" t="s">
        <v>66</v>
      </c>
      <c r="D16" s="123">
        <v>46113</v>
      </c>
      <c r="E16" s="123">
        <v>46113</v>
      </c>
      <c r="F16" s="122"/>
      <c r="G16" s="122">
        <v>870</v>
      </c>
      <c r="H16" s="122" t="s">
        <v>132</v>
      </c>
      <c r="I16" s="122">
        <v>3002</v>
      </c>
      <c r="J16" s="122">
        <v>178615</v>
      </c>
      <c r="K16" s="122"/>
      <c r="L16" s="122" t="s">
        <v>189</v>
      </c>
      <c r="M16" s="122" t="s">
        <v>160</v>
      </c>
      <c r="N16" s="122" t="s">
        <v>161</v>
      </c>
      <c r="O16" s="123">
        <v>46113</v>
      </c>
      <c r="P16" s="158">
        <v>89</v>
      </c>
      <c r="Q16" s="158" t="s">
        <v>67</v>
      </c>
      <c r="R16" s="158">
        <v>2.57</v>
      </c>
      <c r="S16" s="158">
        <v>0.7</v>
      </c>
      <c r="T16" s="158">
        <v>0.13</v>
      </c>
      <c r="U16" s="158">
        <v>86.3</v>
      </c>
      <c r="V16" s="161">
        <v>11962.99</v>
      </c>
      <c r="W16" s="123">
        <v>46118</v>
      </c>
      <c r="X16" s="162">
        <v>20260406</v>
      </c>
      <c r="Y16" s="122">
        <v>104101</v>
      </c>
      <c r="Z16" s="122" t="s">
        <v>142</v>
      </c>
      <c r="AA16" s="122">
        <v>3908900</v>
      </c>
      <c r="AB16" s="122" t="s">
        <v>148</v>
      </c>
      <c r="AC16" s="122"/>
      <c r="AD16" s="122"/>
      <c r="AE16" s="129">
        <v>0.91415509259259264</v>
      </c>
      <c r="AF16" s="122" t="s">
        <v>141</v>
      </c>
      <c r="AG16" s="139" t="s">
        <v>148</v>
      </c>
      <c r="AJ16" s="34">
        <v>46127</v>
      </c>
      <c r="AK16">
        <v>8952.7999999999993</v>
      </c>
      <c r="AN16" s="17">
        <f t="shared" si="0"/>
        <v>46097</v>
      </c>
      <c r="AO16" s="18">
        <v>4074.9</v>
      </c>
    </row>
    <row r="17" spans="1:41" x14ac:dyDescent="0.3">
      <c r="A17" s="121">
        <v>1044162</v>
      </c>
      <c r="B17" s="122" t="s">
        <v>167</v>
      </c>
      <c r="C17" s="122" t="s">
        <v>66</v>
      </c>
      <c r="D17" s="123">
        <v>46113</v>
      </c>
      <c r="E17" s="123">
        <v>46113</v>
      </c>
      <c r="F17" s="122"/>
      <c r="G17" s="122">
        <v>870</v>
      </c>
      <c r="H17" s="122" t="s">
        <v>132</v>
      </c>
      <c r="I17" s="122">
        <v>2971</v>
      </c>
      <c r="J17" s="122">
        <v>53609</v>
      </c>
      <c r="K17" s="122"/>
      <c r="L17" s="122" t="s">
        <v>190</v>
      </c>
      <c r="M17" s="122" t="s">
        <v>160</v>
      </c>
      <c r="N17" s="122" t="s">
        <v>161</v>
      </c>
      <c r="O17" s="123">
        <v>46113</v>
      </c>
      <c r="P17" s="158">
        <v>1799</v>
      </c>
      <c r="Q17" s="158" t="s">
        <v>67</v>
      </c>
      <c r="R17" s="158">
        <v>51.99</v>
      </c>
      <c r="S17" s="158">
        <v>14.21</v>
      </c>
      <c r="T17" s="158">
        <v>2.56</v>
      </c>
      <c r="U17" s="158">
        <v>1744.45</v>
      </c>
      <c r="V17" s="161">
        <v>1744.45</v>
      </c>
      <c r="W17" s="123">
        <v>46118</v>
      </c>
      <c r="X17" s="162">
        <v>20260406</v>
      </c>
      <c r="Y17" s="122">
        <v>104101</v>
      </c>
      <c r="Z17" s="122" t="s">
        <v>142</v>
      </c>
      <c r="AA17" s="122">
        <v>3908900</v>
      </c>
      <c r="AB17" s="122" t="s">
        <v>538</v>
      </c>
      <c r="AC17" s="122"/>
      <c r="AD17" s="122"/>
      <c r="AE17" s="129">
        <v>0.61662037037037043</v>
      </c>
      <c r="AF17" s="122" t="s">
        <v>141</v>
      </c>
      <c r="AG17" s="139" t="s">
        <v>148</v>
      </c>
      <c r="AJ17" s="34">
        <v>46128</v>
      </c>
      <c r="AK17">
        <v>4074.9</v>
      </c>
      <c r="AN17" s="17">
        <f t="shared" si="0"/>
        <v>46098</v>
      </c>
      <c r="AO17" s="18">
        <v>5120.75</v>
      </c>
    </row>
    <row r="18" spans="1:41" x14ac:dyDescent="0.3">
      <c r="A18" s="121">
        <v>1044162</v>
      </c>
      <c r="B18" s="122" t="s">
        <v>162</v>
      </c>
      <c r="C18" s="122" t="s">
        <v>66</v>
      </c>
      <c r="D18" s="123">
        <v>46114</v>
      </c>
      <c r="E18" s="123">
        <v>46114</v>
      </c>
      <c r="F18" s="122"/>
      <c r="G18" s="122">
        <v>871</v>
      </c>
      <c r="H18" s="122" t="s">
        <v>132</v>
      </c>
      <c r="I18" s="122">
        <v>3007</v>
      </c>
      <c r="J18" s="122">
        <v>745542</v>
      </c>
      <c r="K18" s="122"/>
      <c r="L18" s="122" t="s">
        <v>191</v>
      </c>
      <c r="M18" s="122" t="s">
        <v>160</v>
      </c>
      <c r="N18" s="122" t="s">
        <v>161</v>
      </c>
      <c r="O18" s="123">
        <v>46114</v>
      </c>
      <c r="P18" s="158">
        <v>229.8</v>
      </c>
      <c r="Q18" s="158" t="s">
        <v>67</v>
      </c>
      <c r="R18" s="158">
        <v>6.64</v>
      </c>
      <c r="S18" s="158">
        <v>2.96</v>
      </c>
      <c r="T18" s="158">
        <v>0.53</v>
      </c>
      <c r="U18" s="158">
        <v>222.63</v>
      </c>
      <c r="V18" s="163">
        <v>0</v>
      </c>
      <c r="W18" s="122"/>
      <c r="X18" s="162">
        <v>20260406</v>
      </c>
      <c r="Y18" s="122"/>
      <c r="Z18" s="122" t="s">
        <v>139</v>
      </c>
      <c r="AA18" s="122">
        <v>3908900</v>
      </c>
      <c r="AB18" s="122" t="s">
        <v>147</v>
      </c>
      <c r="AC18" s="122"/>
      <c r="AD18" s="122"/>
      <c r="AE18" s="129">
        <v>0.43244212962962963</v>
      </c>
      <c r="AF18" s="122" t="s">
        <v>141</v>
      </c>
      <c r="AG18" s="139" t="s">
        <v>148</v>
      </c>
      <c r="AJ18" s="34">
        <v>46129</v>
      </c>
      <c r="AK18">
        <v>5120.75</v>
      </c>
      <c r="AN18" s="17">
        <f t="shared" si="0"/>
        <v>46099</v>
      </c>
      <c r="AO18" s="18">
        <v>10307</v>
      </c>
    </row>
    <row r="19" spans="1:41" x14ac:dyDescent="0.3">
      <c r="A19" s="121">
        <v>1044162</v>
      </c>
      <c r="B19" s="122" t="s">
        <v>162</v>
      </c>
      <c r="C19" s="122" t="s">
        <v>66</v>
      </c>
      <c r="D19" s="123">
        <v>46114</v>
      </c>
      <c r="E19" s="123">
        <v>46114</v>
      </c>
      <c r="F19" s="122"/>
      <c r="G19" s="122">
        <v>871</v>
      </c>
      <c r="H19" s="122" t="s">
        <v>132</v>
      </c>
      <c r="I19" s="122">
        <v>3009</v>
      </c>
      <c r="J19" s="122">
        <v>709926</v>
      </c>
      <c r="K19" s="122"/>
      <c r="L19" s="122" t="s">
        <v>192</v>
      </c>
      <c r="M19" s="122" t="s">
        <v>160</v>
      </c>
      <c r="N19" s="122" t="s">
        <v>161</v>
      </c>
      <c r="O19" s="123">
        <v>46114</v>
      </c>
      <c r="P19" s="158">
        <v>798.9</v>
      </c>
      <c r="Q19" s="158" t="s">
        <v>67</v>
      </c>
      <c r="R19" s="158">
        <v>23.09</v>
      </c>
      <c r="S19" s="158">
        <v>10.31</v>
      </c>
      <c r="T19" s="158">
        <v>1.86</v>
      </c>
      <c r="U19" s="158">
        <v>773.95</v>
      </c>
      <c r="V19" s="163">
        <v>0</v>
      </c>
      <c r="W19" s="122"/>
      <c r="X19" s="162">
        <v>20260406</v>
      </c>
      <c r="Y19" s="122"/>
      <c r="Z19" s="122" t="s">
        <v>139</v>
      </c>
      <c r="AA19" s="122">
        <v>3908900</v>
      </c>
      <c r="AB19" s="122" t="s">
        <v>145</v>
      </c>
      <c r="AC19" s="122"/>
      <c r="AD19" s="122"/>
      <c r="AE19" s="129">
        <v>0.5027314814814815</v>
      </c>
      <c r="AF19" s="122" t="s">
        <v>141</v>
      </c>
      <c r="AG19" s="139" t="s">
        <v>148</v>
      </c>
      <c r="AJ19" s="34">
        <v>46130</v>
      </c>
      <c r="AK19">
        <v>10307</v>
      </c>
      <c r="AN19" s="17">
        <f t="shared" si="0"/>
        <v>46100</v>
      </c>
      <c r="AO19" s="18">
        <v>19100</v>
      </c>
    </row>
    <row r="20" spans="1:41" x14ac:dyDescent="0.3">
      <c r="A20" s="121">
        <v>1044162</v>
      </c>
      <c r="B20" s="122" t="s">
        <v>162</v>
      </c>
      <c r="C20" s="122" t="s">
        <v>66</v>
      </c>
      <c r="D20" s="123">
        <v>46114</v>
      </c>
      <c r="E20" s="123">
        <v>46114</v>
      </c>
      <c r="F20" s="122"/>
      <c r="G20" s="122">
        <v>871</v>
      </c>
      <c r="H20" s="122" t="s">
        <v>132</v>
      </c>
      <c r="I20" s="122">
        <v>3015</v>
      </c>
      <c r="J20" s="122">
        <v>913723</v>
      </c>
      <c r="K20" s="122"/>
      <c r="L20" s="122" t="s">
        <v>193</v>
      </c>
      <c r="M20" s="122" t="s">
        <v>160</v>
      </c>
      <c r="N20" s="122" t="s">
        <v>161</v>
      </c>
      <c r="O20" s="123">
        <v>46114</v>
      </c>
      <c r="P20" s="158">
        <v>1248</v>
      </c>
      <c r="Q20" s="158" t="s">
        <v>67</v>
      </c>
      <c r="R20" s="158">
        <v>36.07</v>
      </c>
      <c r="S20" s="158">
        <v>16.100000000000001</v>
      </c>
      <c r="T20" s="158">
        <v>2.9</v>
      </c>
      <c r="U20" s="158">
        <v>1209.03</v>
      </c>
      <c r="V20" s="163">
        <v>0</v>
      </c>
      <c r="W20" s="122"/>
      <c r="X20" s="162">
        <v>20260406</v>
      </c>
      <c r="Y20" s="122"/>
      <c r="Z20" s="122" t="s">
        <v>139</v>
      </c>
      <c r="AA20" s="122">
        <v>3908900</v>
      </c>
      <c r="AB20" s="122" t="s">
        <v>145</v>
      </c>
      <c r="AC20" s="122"/>
      <c r="AD20" s="122"/>
      <c r="AE20" s="129">
        <v>0.59326388888888892</v>
      </c>
      <c r="AF20" s="122" t="s">
        <v>141</v>
      </c>
      <c r="AG20" s="139" t="s">
        <v>148</v>
      </c>
      <c r="AJ20" s="34">
        <v>46131</v>
      </c>
      <c r="AK20">
        <v>19100</v>
      </c>
      <c r="AN20" s="17">
        <f t="shared" si="0"/>
        <v>46101</v>
      </c>
      <c r="AO20" s="18">
        <v>8209.7000000000007</v>
      </c>
    </row>
    <row r="21" spans="1:41" x14ac:dyDescent="0.3">
      <c r="A21" s="121">
        <v>1044162</v>
      </c>
      <c r="B21" s="122" t="s">
        <v>162</v>
      </c>
      <c r="C21" s="122" t="s">
        <v>66</v>
      </c>
      <c r="D21" s="123">
        <v>46114</v>
      </c>
      <c r="E21" s="123">
        <v>46114</v>
      </c>
      <c r="F21" s="122"/>
      <c r="G21" s="122">
        <v>871</v>
      </c>
      <c r="H21" s="122" t="s">
        <v>132</v>
      </c>
      <c r="I21" s="122">
        <v>3017</v>
      </c>
      <c r="J21" s="122">
        <v>178502</v>
      </c>
      <c r="K21" s="122"/>
      <c r="L21" s="122" t="s">
        <v>194</v>
      </c>
      <c r="M21" s="122" t="s">
        <v>160</v>
      </c>
      <c r="N21" s="122" t="s">
        <v>161</v>
      </c>
      <c r="O21" s="123">
        <v>46114</v>
      </c>
      <c r="P21" s="158">
        <v>179.9</v>
      </c>
      <c r="Q21" s="158" t="s">
        <v>67</v>
      </c>
      <c r="R21" s="158">
        <v>5.2</v>
      </c>
      <c r="S21" s="158">
        <v>2.3199999999999998</v>
      </c>
      <c r="T21" s="158">
        <v>0.42</v>
      </c>
      <c r="U21" s="158">
        <v>174.28</v>
      </c>
      <c r="V21" s="163">
        <v>0</v>
      </c>
      <c r="W21" s="122"/>
      <c r="X21" s="162">
        <v>20260406</v>
      </c>
      <c r="Y21" s="122"/>
      <c r="Z21" s="122" t="s">
        <v>139</v>
      </c>
      <c r="AA21" s="122">
        <v>3908900</v>
      </c>
      <c r="AB21" s="122" t="s">
        <v>148</v>
      </c>
      <c r="AC21" s="122"/>
      <c r="AD21" s="122"/>
      <c r="AE21" s="129">
        <v>0.61331018518518521</v>
      </c>
      <c r="AF21" s="122" t="s">
        <v>141</v>
      </c>
      <c r="AG21" s="139" t="s">
        <v>148</v>
      </c>
      <c r="AJ21" s="34">
        <v>46132</v>
      </c>
      <c r="AK21">
        <v>8209.7000000000007</v>
      </c>
      <c r="AN21" s="17">
        <f t="shared" si="0"/>
        <v>46102</v>
      </c>
      <c r="AO21" s="18"/>
    </row>
    <row r="22" spans="1:41" x14ac:dyDescent="0.3">
      <c r="A22" s="121">
        <v>1044162</v>
      </c>
      <c r="B22" s="122" t="s">
        <v>162</v>
      </c>
      <c r="C22" s="122" t="s">
        <v>66</v>
      </c>
      <c r="D22" s="123">
        <v>46114</v>
      </c>
      <c r="E22" s="123">
        <v>46114</v>
      </c>
      <c r="F22" s="122"/>
      <c r="G22" s="122">
        <v>871</v>
      </c>
      <c r="H22" s="122" t="s">
        <v>132</v>
      </c>
      <c r="I22" s="122">
        <v>3028</v>
      </c>
      <c r="J22" s="122">
        <v>478383</v>
      </c>
      <c r="K22" s="122"/>
      <c r="L22" s="122" t="s">
        <v>195</v>
      </c>
      <c r="M22" s="122" t="s">
        <v>160</v>
      </c>
      <c r="N22" s="122" t="s">
        <v>161</v>
      </c>
      <c r="O22" s="123">
        <v>46114</v>
      </c>
      <c r="P22" s="158">
        <v>500</v>
      </c>
      <c r="Q22" s="158" t="s">
        <v>67</v>
      </c>
      <c r="R22" s="158">
        <v>14.45</v>
      </c>
      <c r="S22" s="158">
        <v>3.95</v>
      </c>
      <c r="T22" s="158">
        <v>0.71</v>
      </c>
      <c r="U22" s="158">
        <v>484.84</v>
      </c>
      <c r="V22" s="163">
        <v>0</v>
      </c>
      <c r="W22" s="122"/>
      <c r="X22" s="162">
        <v>20260406</v>
      </c>
      <c r="Y22" s="122"/>
      <c r="Z22" s="122" t="s">
        <v>142</v>
      </c>
      <c r="AA22" s="122">
        <v>3908900</v>
      </c>
      <c r="AB22" s="122" t="s">
        <v>148</v>
      </c>
      <c r="AC22" s="122"/>
      <c r="AD22" s="122"/>
      <c r="AE22" s="129">
        <v>0.67898148148148152</v>
      </c>
      <c r="AF22" s="122" t="s">
        <v>141</v>
      </c>
      <c r="AG22" s="139" t="s">
        <v>148</v>
      </c>
      <c r="AJ22" s="34" t="s">
        <v>74</v>
      </c>
      <c r="AK22">
        <v>297726.82</v>
      </c>
      <c r="AN22" s="17">
        <f t="shared" si="0"/>
        <v>46103</v>
      </c>
      <c r="AO22" s="18"/>
    </row>
    <row r="23" spans="1:41" x14ac:dyDescent="0.3">
      <c r="A23" s="121">
        <v>1044162</v>
      </c>
      <c r="B23" s="122" t="s">
        <v>162</v>
      </c>
      <c r="C23" s="122" t="s">
        <v>66</v>
      </c>
      <c r="D23" s="123">
        <v>46114</v>
      </c>
      <c r="E23" s="123">
        <v>46114</v>
      </c>
      <c r="F23" s="122"/>
      <c r="G23" s="122">
        <v>871</v>
      </c>
      <c r="H23" s="122" t="s">
        <v>132</v>
      </c>
      <c r="I23" s="122">
        <v>3030</v>
      </c>
      <c r="J23" s="122">
        <v>7967</v>
      </c>
      <c r="K23" s="122"/>
      <c r="L23" s="122" t="s">
        <v>196</v>
      </c>
      <c r="M23" s="122" t="s">
        <v>160</v>
      </c>
      <c r="N23" s="122" t="s">
        <v>161</v>
      </c>
      <c r="O23" s="123">
        <v>46114</v>
      </c>
      <c r="P23" s="158">
        <v>1238</v>
      </c>
      <c r="Q23" s="158" t="s">
        <v>67</v>
      </c>
      <c r="R23" s="158">
        <v>35.78</v>
      </c>
      <c r="S23" s="158">
        <v>7.31</v>
      </c>
      <c r="T23" s="158">
        <v>1.32</v>
      </c>
      <c r="U23" s="158">
        <v>1200.9000000000001</v>
      </c>
      <c r="V23" s="163">
        <v>0</v>
      </c>
      <c r="W23" s="122"/>
      <c r="X23" s="162">
        <v>20260406</v>
      </c>
      <c r="Y23" s="122"/>
      <c r="Z23" s="122" t="s">
        <v>142</v>
      </c>
      <c r="AA23" s="122">
        <v>3908900</v>
      </c>
      <c r="AB23" s="122" t="s">
        <v>149</v>
      </c>
      <c r="AC23" s="122"/>
      <c r="AD23" s="122"/>
      <c r="AE23" s="129">
        <v>0.68465277777777767</v>
      </c>
      <c r="AF23" s="122" t="s">
        <v>141</v>
      </c>
      <c r="AG23" s="139" t="s">
        <v>148</v>
      </c>
      <c r="AN23" s="17">
        <f t="shared" si="0"/>
        <v>46104</v>
      </c>
      <c r="AO23" s="18"/>
    </row>
    <row r="24" spans="1:41" x14ac:dyDescent="0.3">
      <c r="A24" s="121">
        <v>1044162</v>
      </c>
      <c r="B24" s="122" t="s">
        <v>162</v>
      </c>
      <c r="C24" s="122" t="s">
        <v>66</v>
      </c>
      <c r="D24" s="123">
        <v>46114</v>
      </c>
      <c r="E24" s="123">
        <v>46114</v>
      </c>
      <c r="F24" s="122"/>
      <c r="G24" s="122">
        <v>871</v>
      </c>
      <c r="H24" s="122">
        <v>65656565</v>
      </c>
      <c r="I24" s="122">
        <v>3032</v>
      </c>
      <c r="J24" s="122">
        <v>207848</v>
      </c>
      <c r="K24" s="122"/>
      <c r="L24" s="122" t="s">
        <v>197</v>
      </c>
      <c r="M24" s="122" t="s">
        <v>160</v>
      </c>
      <c r="N24" s="122" t="s">
        <v>161</v>
      </c>
      <c r="O24" s="123">
        <v>46114</v>
      </c>
      <c r="P24" s="158">
        <v>500</v>
      </c>
      <c r="Q24" s="158" t="s">
        <v>67</v>
      </c>
      <c r="R24" s="158">
        <v>14.45</v>
      </c>
      <c r="S24" s="158">
        <v>6.45</v>
      </c>
      <c r="T24" s="158">
        <v>1.1599999999999999</v>
      </c>
      <c r="U24" s="158">
        <v>484.39</v>
      </c>
      <c r="V24" s="163">
        <v>0</v>
      </c>
      <c r="W24" s="122"/>
      <c r="X24" s="162">
        <v>20260406</v>
      </c>
      <c r="Y24" s="122"/>
      <c r="Z24" s="122" t="s">
        <v>139</v>
      </c>
      <c r="AA24" s="122">
        <v>3908900</v>
      </c>
      <c r="AB24" s="122" t="s">
        <v>145</v>
      </c>
      <c r="AC24" s="122"/>
      <c r="AD24" s="122" t="s">
        <v>146</v>
      </c>
      <c r="AE24" s="129">
        <v>0.71100694444444434</v>
      </c>
      <c r="AF24" s="122" t="s">
        <v>141</v>
      </c>
      <c r="AG24" s="139" t="s">
        <v>148</v>
      </c>
      <c r="AN24" s="17">
        <f t="shared" si="0"/>
        <v>46105</v>
      </c>
      <c r="AO24" s="18"/>
    </row>
    <row r="25" spans="1:41" x14ac:dyDescent="0.3">
      <c r="A25" s="121">
        <v>1044162</v>
      </c>
      <c r="B25" s="122" t="s">
        <v>162</v>
      </c>
      <c r="C25" s="122" t="s">
        <v>66</v>
      </c>
      <c r="D25" s="123">
        <v>46114</v>
      </c>
      <c r="E25" s="123">
        <v>46114</v>
      </c>
      <c r="F25" s="122"/>
      <c r="G25" s="122">
        <v>871</v>
      </c>
      <c r="H25" s="122">
        <v>65656565</v>
      </c>
      <c r="I25" s="122">
        <v>3035</v>
      </c>
      <c r="J25" s="122">
        <v>177500</v>
      </c>
      <c r="K25" s="122"/>
      <c r="L25" s="122" t="s">
        <v>197</v>
      </c>
      <c r="M25" s="122" t="s">
        <v>160</v>
      </c>
      <c r="N25" s="122" t="s">
        <v>161</v>
      </c>
      <c r="O25" s="123">
        <v>46114</v>
      </c>
      <c r="P25" s="158">
        <v>500</v>
      </c>
      <c r="Q25" s="158" t="s">
        <v>67</v>
      </c>
      <c r="R25" s="158">
        <v>14.45</v>
      </c>
      <c r="S25" s="158">
        <v>6.45</v>
      </c>
      <c r="T25" s="158">
        <v>1.1599999999999999</v>
      </c>
      <c r="U25" s="158">
        <v>484.39</v>
      </c>
      <c r="V25" s="163">
        <v>0</v>
      </c>
      <c r="W25" s="122"/>
      <c r="X25" s="162">
        <v>20260406</v>
      </c>
      <c r="Y25" s="122"/>
      <c r="Z25" s="122" t="s">
        <v>139</v>
      </c>
      <c r="AA25" s="122">
        <v>3908900</v>
      </c>
      <c r="AB25" s="122" t="s">
        <v>145</v>
      </c>
      <c r="AC25" s="122"/>
      <c r="AD25" s="122" t="s">
        <v>146</v>
      </c>
      <c r="AE25" s="129">
        <v>0.71151620370370372</v>
      </c>
      <c r="AF25" s="122" t="s">
        <v>141</v>
      </c>
      <c r="AG25" s="139" t="s">
        <v>148</v>
      </c>
      <c r="AN25" s="17">
        <f t="shared" si="0"/>
        <v>46106</v>
      </c>
      <c r="AO25" s="18"/>
    </row>
    <row r="26" spans="1:41" x14ac:dyDescent="0.3">
      <c r="A26" s="121">
        <v>1044162</v>
      </c>
      <c r="B26" s="122" t="s">
        <v>162</v>
      </c>
      <c r="C26" s="122" t="s">
        <v>66</v>
      </c>
      <c r="D26" s="123">
        <v>46114</v>
      </c>
      <c r="E26" s="123">
        <v>46114</v>
      </c>
      <c r="F26" s="122"/>
      <c r="G26" s="122">
        <v>871</v>
      </c>
      <c r="H26" s="122">
        <v>65656565</v>
      </c>
      <c r="I26" s="122">
        <v>3038</v>
      </c>
      <c r="J26" s="122">
        <v>178388</v>
      </c>
      <c r="K26" s="122"/>
      <c r="L26" s="122" t="s">
        <v>197</v>
      </c>
      <c r="M26" s="122" t="s">
        <v>160</v>
      </c>
      <c r="N26" s="122" t="s">
        <v>161</v>
      </c>
      <c r="O26" s="123">
        <v>46114</v>
      </c>
      <c r="P26" s="158">
        <v>248</v>
      </c>
      <c r="Q26" s="158" t="s">
        <v>67</v>
      </c>
      <c r="R26" s="158">
        <v>7.16</v>
      </c>
      <c r="S26" s="158">
        <v>3.19</v>
      </c>
      <c r="T26" s="158">
        <v>0.56999999999999995</v>
      </c>
      <c r="U26" s="158">
        <v>240.27</v>
      </c>
      <c r="V26" s="163">
        <v>0</v>
      </c>
      <c r="W26" s="122"/>
      <c r="X26" s="162">
        <v>20260406</v>
      </c>
      <c r="Y26" s="122"/>
      <c r="Z26" s="122" t="s">
        <v>139</v>
      </c>
      <c r="AA26" s="122">
        <v>3908900</v>
      </c>
      <c r="AB26" s="122" t="s">
        <v>145</v>
      </c>
      <c r="AC26" s="122"/>
      <c r="AD26" s="122" t="s">
        <v>146</v>
      </c>
      <c r="AE26" s="129">
        <v>0.7119212962962963</v>
      </c>
      <c r="AF26" s="122" t="s">
        <v>141</v>
      </c>
      <c r="AG26" s="139" t="s">
        <v>148</v>
      </c>
      <c r="AN26" s="17">
        <f t="shared" si="0"/>
        <v>46107</v>
      </c>
      <c r="AO26" s="18"/>
    </row>
    <row r="27" spans="1:41" x14ac:dyDescent="0.3">
      <c r="A27" s="121">
        <v>1044162</v>
      </c>
      <c r="B27" s="122" t="s">
        <v>162</v>
      </c>
      <c r="C27" s="122" t="s">
        <v>66</v>
      </c>
      <c r="D27" s="123">
        <v>46114</v>
      </c>
      <c r="E27" s="123">
        <v>46114</v>
      </c>
      <c r="F27" s="122"/>
      <c r="G27" s="122">
        <v>871</v>
      </c>
      <c r="H27" s="122" t="s">
        <v>132</v>
      </c>
      <c r="I27" s="122">
        <v>3041</v>
      </c>
      <c r="J27" s="122">
        <v>638357</v>
      </c>
      <c r="K27" s="122">
        <v>3</v>
      </c>
      <c r="L27" s="122" t="s">
        <v>198</v>
      </c>
      <c r="M27" s="122" t="s">
        <v>160</v>
      </c>
      <c r="N27" s="122" t="s">
        <v>161</v>
      </c>
      <c r="O27" s="123">
        <v>46114</v>
      </c>
      <c r="P27" s="158">
        <v>949</v>
      </c>
      <c r="Q27" s="158" t="s">
        <v>67</v>
      </c>
      <c r="R27" s="158">
        <v>44.04</v>
      </c>
      <c r="S27" s="158">
        <v>5.6</v>
      </c>
      <c r="T27" s="158">
        <v>1.01</v>
      </c>
      <c r="U27" s="158">
        <v>903.95</v>
      </c>
      <c r="V27" s="163">
        <v>0</v>
      </c>
      <c r="W27" s="122"/>
      <c r="X27" s="162">
        <v>20260406</v>
      </c>
      <c r="Y27" s="122"/>
      <c r="Z27" s="122" t="s">
        <v>142</v>
      </c>
      <c r="AA27" s="122">
        <v>3908900</v>
      </c>
      <c r="AB27" s="122" t="s">
        <v>148</v>
      </c>
      <c r="AC27" s="122" t="s">
        <v>151</v>
      </c>
      <c r="AD27" s="122"/>
      <c r="AE27" s="129">
        <v>0.71458333333333324</v>
      </c>
      <c r="AF27" s="122" t="s">
        <v>141</v>
      </c>
      <c r="AG27" s="139" t="s">
        <v>148</v>
      </c>
      <c r="AN27" s="17">
        <f t="shared" si="0"/>
        <v>46108</v>
      </c>
      <c r="AO27" s="18"/>
    </row>
    <row r="28" spans="1:41" x14ac:dyDescent="0.3">
      <c r="A28" s="121">
        <v>1044162</v>
      </c>
      <c r="B28" s="122" t="s">
        <v>162</v>
      </c>
      <c r="C28" s="122" t="s">
        <v>66</v>
      </c>
      <c r="D28" s="123">
        <v>46114</v>
      </c>
      <c r="E28" s="123">
        <v>46114</v>
      </c>
      <c r="F28" s="122"/>
      <c r="G28" s="122">
        <v>871</v>
      </c>
      <c r="H28" s="122">
        <v>65656565</v>
      </c>
      <c r="I28" s="122">
        <v>3043</v>
      </c>
      <c r="J28" s="122">
        <v>274117</v>
      </c>
      <c r="K28" s="122"/>
      <c r="L28" s="122" t="s">
        <v>199</v>
      </c>
      <c r="M28" s="122" t="s">
        <v>160</v>
      </c>
      <c r="N28" s="122" t="s">
        <v>161</v>
      </c>
      <c r="O28" s="123">
        <v>46114</v>
      </c>
      <c r="P28" s="158">
        <v>89</v>
      </c>
      <c r="Q28" s="158" t="s">
        <v>67</v>
      </c>
      <c r="R28" s="158">
        <v>2.57</v>
      </c>
      <c r="S28" s="158">
        <v>1.1499999999999999</v>
      </c>
      <c r="T28" s="158">
        <v>0.21</v>
      </c>
      <c r="U28" s="158">
        <v>86.22</v>
      </c>
      <c r="V28" s="163">
        <v>0</v>
      </c>
      <c r="W28" s="122"/>
      <c r="X28" s="162">
        <v>20260406</v>
      </c>
      <c r="Y28" s="122"/>
      <c r="Z28" s="122" t="s">
        <v>139</v>
      </c>
      <c r="AA28" s="122">
        <v>3908900</v>
      </c>
      <c r="AB28" s="122" t="s">
        <v>145</v>
      </c>
      <c r="AC28" s="122"/>
      <c r="AD28" s="122" t="s">
        <v>146</v>
      </c>
      <c r="AE28" s="129">
        <v>0.74473379629629621</v>
      </c>
      <c r="AF28" s="122" t="s">
        <v>141</v>
      </c>
      <c r="AG28" s="139" t="s">
        <v>148</v>
      </c>
      <c r="AN28" s="17">
        <f t="shared" si="0"/>
        <v>46109</v>
      </c>
      <c r="AO28" s="18"/>
    </row>
    <row r="29" spans="1:41" x14ac:dyDescent="0.3">
      <c r="A29" s="121">
        <v>1044162</v>
      </c>
      <c r="B29" s="122" t="s">
        <v>162</v>
      </c>
      <c r="C29" s="122" t="s">
        <v>66</v>
      </c>
      <c r="D29" s="123">
        <v>46114</v>
      </c>
      <c r="E29" s="123">
        <v>46114</v>
      </c>
      <c r="F29" s="122"/>
      <c r="G29" s="122">
        <v>871</v>
      </c>
      <c r="H29" s="122" t="s">
        <v>132</v>
      </c>
      <c r="I29" s="122">
        <v>3046</v>
      </c>
      <c r="J29" s="122">
        <v>919758</v>
      </c>
      <c r="K29" s="122"/>
      <c r="L29" s="122" t="s">
        <v>200</v>
      </c>
      <c r="M29" s="122" t="s">
        <v>160</v>
      </c>
      <c r="N29" s="122" t="s">
        <v>161</v>
      </c>
      <c r="O29" s="123">
        <v>46114</v>
      </c>
      <c r="P29" s="158">
        <v>949</v>
      </c>
      <c r="Q29" s="158" t="s">
        <v>67</v>
      </c>
      <c r="R29" s="158">
        <v>27.43</v>
      </c>
      <c r="S29" s="158">
        <v>12.25</v>
      </c>
      <c r="T29" s="158">
        <v>2.21</v>
      </c>
      <c r="U29" s="158">
        <v>919.36</v>
      </c>
      <c r="V29" s="163">
        <v>0</v>
      </c>
      <c r="W29" s="122"/>
      <c r="X29" s="162">
        <v>20260406</v>
      </c>
      <c r="Y29" s="122"/>
      <c r="Z29" s="122" t="s">
        <v>139</v>
      </c>
      <c r="AA29" s="122">
        <v>3908900</v>
      </c>
      <c r="AB29" s="122" t="s">
        <v>148</v>
      </c>
      <c r="AC29" s="122"/>
      <c r="AD29" s="122"/>
      <c r="AE29" s="129">
        <v>0.77372685185185175</v>
      </c>
      <c r="AF29" s="122" t="s">
        <v>141</v>
      </c>
      <c r="AG29" s="139" t="s">
        <v>148</v>
      </c>
      <c r="AN29" s="17">
        <f t="shared" si="0"/>
        <v>46110</v>
      </c>
      <c r="AO29" s="18"/>
    </row>
    <row r="30" spans="1:41" x14ac:dyDescent="0.3">
      <c r="A30" s="121">
        <v>1044162</v>
      </c>
      <c r="B30" s="122" t="s">
        <v>162</v>
      </c>
      <c r="C30" s="122" t="s">
        <v>66</v>
      </c>
      <c r="D30" s="123">
        <v>46114</v>
      </c>
      <c r="E30" s="123">
        <v>46114</v>
      </c>
      <c r="F30" s="122"/>
      <c r="G30" s="122">
        <v>871</v>
      </c>
      <c r="H30" s="122" t="s">
        <v>132</v>
      </c>
      <c r="I30" s="122">
        <v>3048</v>
      </c>
      <c r="J30" s="122">
        <v>949814</v>
      </c>
      <c r="K30" s="122"/>
      <c r="L30" s="122" t="s">
        <v>201</v>
      </c>
      <c r="M30" s="122" t="s">
        <v>160</v>
      </c>
      <c r="N30" s="122" t="s">
        <v>161</v>
      </c>
      <c r="O30" s="123">
        <v>46114</v>
      </c>
      <c r="P30" s="158">
        <v>1149</v>
      </c>
      <c r="Q30" s="158" t="s">
        <v>67</v>
      </c>
      <c r="R30" s="158">
        <v>33.21</v>
      </c>
      <c r="S30" s="158">
        <v>14.83</v>
      </c>
      <c r="T30" s="158">
        <v>2.67</v>
      </c>
      <c r="U30" s="158">
        <v>1113.1199999999999</v>
      </c>
      <c r="V30" s="163">
        <v>0</v>
      </c>
      <c r="W30" s="122"/>
      <c r="X30" s="162">
        <v>20260406</v>
      </c>
      <c r="Y30" s="122"/>
      <c r="Z30" s="122" t="s">
        <v>139</v>
      </c>
      <c r="AA30" s="122">
        <v>3908900</v>
      </c>
      <c r="AB30" s="122" t="s">
        <v>148</v>
      </c>
      <c r="AC30" s="122"/>
      <c r="AD30" s="122"/>
      <c r="AE30" s="129">
        <v>0.77960648148148148</v>
      </c>
      <c r="AF30" s="122" t="s">
        <v>141</v>
      </c>
      <c r="AG30" s="139" t="s">
        <v>148</v>
      </c>
      <c r="AN30" s="17">
        <f t="shared" si="0"/>
        <v>46111</v>
      </c>
      <c r="AO30" s="18"/>
    </row>
    <row r="31" spans="1:41" x14ac:dyDescent="0.3">
      <c r="A31" s="121">
        <v>1044162</v>
      </c>
      <c r="B31" s="122" t="s">
        <v>162</v>
      </c>
      <c r="C31" s="122" t="s">
        <v>66</v>
      </c>
      <c r="D31" s="123">
        <v>46114</v>
      </c>
      <c r="E31" s="123">
        <v>46114</v>
      </c>
      <c r="F31" s="122"/>
      <c r="G31" s="122">
        <v>871</v>
      </c>
      <c r="H31" s="122" t="s">
        <v>132</v>
      </c>
      <c r="I31" s="122">
        <v>3050</v>
      </c>
      <c r="J31" s="122">
        <v>9535</v>
      </c>
      <c r="K31" s="122"/>
      <c r="L31" s="122" t="s">
        <v>202</v>
      </c>
      <c r="M31" s="122" t="s">
        <v>160</v>
      </c>
      <c r="N31" s="122" t="s">
        <v>161</v>
      </c>
      <c r="O31" s="123">
        <v>46114</v>
      </c>
      <c r="P31" s="158">
        <v>69</v>
      </c>
      <c r="Q31" s="158" t="s">
        <v>67</v>
      </c>
      <c r="R31" s="158">
        <v>1.99</v>
      </c>
      <c r="S31" s="158">
        <v>0.26</v>
      </c>
      <c r="T31" s="158">
        <v>0.05</v>
      </c>
      <c r="U31" s="158">
        <v>66.959999999999994</v>
      </c>
      <c r="V31" s="163">
        <v>0</v>
      </c>
      <c r="W31" s="122"/>
      <c r="X31" s="162">
        <v>20260406</v>
      </c>
      <c r="Y31" s="122"/>
      <c r="Z31" s="122" t="s">
        <v>142</v>
      </c>
      <c r="AA31" s="122">
        <v>3908900</v>
      </c>
      <c r="AB31" s="122" t="s">
        <v>145</v>
      </c>
      <c r="AC31" s="122"/>
      <c r="AD31" s="122"/>
      <c r="AE31" s="129">
        <v>0.7930787037037037</v>
      </c>
      <c r="AF31" s="122" t="s">
        <v>141</v>
      </c>
      <c r="AG31" s="139" t="s">
        <v>148</v>
      </c>
      <c r="AN31" s="17">
        <f t="shared" si="0"/>
        <v>46112</v>
      </c>
      <c r="AO31" s="18"/>
    </row>
    <row r="32" spans="1:41" x14ac:dyDescent="0.3">
      <c r="A32" s="121">
        <v>1044162</v>
      </c>
      <c r="B32" s="122" t="s">
        <v>162</v>
      </c>
      <c r="C32" s="122" t="s">
        <v>66</v>
      </c>
      <c r="D32" s="123">
        <v>46114</v>
      </c>
      <c r="E32" s="123">
        <v>46114</v>
      </c>
      <c r="F32" s="122"/>
      <c r="G32" s="122">
        <v>871</v>
      </c>
      <c r="H32" s="122" t="s">
        <v>132</v>
      </c>
      <c r="I32" s="122">
        <v>3052</v>
      </c>
      <c r="J32" s="122">
        <v>68960</v>
      </c>
      <c r="K32" s="122">
        <v>8</v>
      </c>
      <c r="L32" s="122" t="s">
        <v>203</v>
      </c>
      <c r="M32" s="122" t="s">
        <v>160</v>
      </c>
      <c r="N32" s="122" t="s">
        <v>161</v>
      </c>
      <c r="O32" s="123">
        <v>46114</v>
      </c>
      <c r="P32" s="158">
        <v>1799</v>
      </c>
      <c r="Q32" s="158" t="s">
        <v>67</v>
      </c>
      <c r="R32" s="158">
        <v>51.99</v>
      </c>
      <c r="S32" s="158">
        <v>14.21</v>
      </c>
      <c r="T32" s="158">
        <v>2.56</v>
      </c>
      <c r="U32" s="158">
        <v>1744.45</v>
      </c>
      <c r="V32" s="163">
        <v>0</v>
      </c>
      <c r="W32" s="122"/>
      <c r="X32" s="162">
        <v>20260406</v>
      </c>
      <c r="Y32" s="122"/>
      <c r="Z32" s="122" t="s">
        <v>142</v>
      </c>
      <c r="AA32" s="122">
        <v>3908900</v>
      </c>
      <c r="AB32" s="122" t="s">
        <v>149</v>
      </c>
      <c r="AC32" s="122" t="s">
        <v>144</v>
      </c>
      <c r="AD32" s="122"/>
      <c r="AE32" s="129">
        <v>0.80290509259259257</v>
      </c>
      <c r="AF32" s="122" t="s">
        <v>141</v>
      </c>
      <c r="AG32" s="139" t="s">
        <v>148</v>
      </c>
    </row>
    <row r="33" spans="1:33" x14ac:dyDescent="0.3">
      <c r="A33" s="121">
        <v>1044162</v>
      </c>
      <c r="B33" s="122" t="s">
        <v>162</v>
      </c>
      <c r="C33" s="122" t="s">
        <v>66</v>
      </c>
      <c r="D33" s="123">
        <v>46114</v>
      </c>
      <c r="E33" s="123">
        <v>46114</v>
      </c>
      <c r="F33" s="122"/>
      <c r="G33" s="122">
        <v>871</v>
      </c>
      <c r="H33" s="122" t="s">
        <v>132</v>
      </c>
      <c r="I33" s="122">
        <v>3054</v>
      </c>
      <c r="J33" s="122">
        <v>304168</v>
      </c>
      <c r="K33" s="122"/>
      <c r="L33" s="122" t="s">
        <v>204</v>
      </c>
      <c r="M33" s="122" t="s">
        <v>160</v>
      </c>
      <c r="N33" s="122" t="s">
        <v>161</v>
      </c>
      <c r="O33" s="123">
        <v>46114</v>
      </c>
      <c r="P33" s="158">
        <v>1799</v>
      </c>
      <c r="Q33" s="158" t="s">
        <v>67</v>
      </c>
      <c r="R33" s="158">
        <v>51.99</v>
      </c>
      <c r="S33" s="158">
        <v>14.21</v>
      </c>
      <c r="T33" s="158">
        <v>2.56</v>
      </c>
      <c r="U33" s="158">
        <v>1744.45</v>
      </c>
      <c r="V33" s="163">
        <v>0</v>
      </c>
      <c r="W33" s="122"/>
      <c r="X33" s="162">
        <v>20260406</v>
      </c>
      <c r="Y33" s="122"/>
      <c r="Z33" s="122" t="s">
        <v>142</v>
      </c>
      <c r="AA33" s="122">
        <v>3908900</v>
      </c>
      <c r="AB33" s="122" t="s">
        <v>147</v>
      </c>
      <c r="AC33" s="122"/>
      <c r="AD33" s="122"/>
      <c r="AE33" s="129">
        <v>0.81288194444444439</v>
      </c>
      <c r="AF33" s="122" t="s">
        <v>141</v>
      </c>
      <c r="AG33" s="139" t="s">
        <v>148</v>
      </c>
    </row>
    <row r="34" spans="1:33" x14ac:dyDescent="0.3">
      <c r="A34" s="121">
        <v>1044162</v>
      </c>
      <c r="B34" s="122" t="s">
        <v>162</v>
      </c>
      <c r="C34" s="122" t="s">
        <v>66</v>
      </c>
      <c r="D34" s="123">
        <v>46114</v>
      </c>
      <c r="E34" s="123">
        <v>46114</v>
      </c>
      <c r="F34" s="122"/>
      <c r="G34" s="122">
        <v>871</v>
      </c>
      <c r="H34" s="122" t="s">
        <v>132</v>
      </c>
      <c r="I34" s="122">
        <v>3056</v>
      </c>
      <c r="J34" s="122">
        <v>481828</v>
      </c>
      <c r="K34" s="122"/>
      <c r="L34" s="122" t="s">
        <v>205</v>
      </c>
      <c r="M34" s="122" t="s">
        <v>160</v>
      </c>
      <c r="N34" s="122" t="s">
        <v>161</v>
      </c>
      <c r="O34" s="123">
        <v>46114</v>
      </c>
      <c r="P34" s="158">
        <v>1799</v>
      </c>
      <c r="Q34" s="158" t="s">
        <v>67</v>
      </c>
      <c r="R34" s="158">
        <v>51.99</v>
      </c>
      <c r="S34" s="158">
        <v>23.21</v>
      </c>
      <c r="T34" s="158">
        <v>4.18</v>
      </c>
      <c r="U34" s="158">
        <v>1742.83</v>
      </c>
      <c r="V34" s="163">
        <v>0</v>
      </c>
      <c r="W34" s="122"/>
      <c r="X34" s="162">
        <v>20260406</v>
      </c>
      <c r="Y34" s="122"/>
      <c r="Z34" s="122" t="s">
        <v>139</v>
      </c>
      <c r="AA34" s="122">
        <v>3908900</v>
      </c>
      <c r="AB34" s="122" t="s">
        <v>145</v>
      </c>
      <c r="AC34" s="122"/>
      <c r="AD34" s="122"/>
      <c r="AE34" s="129">
        <v>0.82046296296296306</v>
      </c>
      <c r="AF34" s="122" t="s">
        <v>141</v>
      </c>
      <c r="AG34" s="139" t="s">
        <v>148</v>
      </c>
    </row>
    <row r="35" spans="1:33" x14ac:dyDescent="0.3">
      <c r="A35" s="121">
        <v>1044162</v>
      </c>
      <c r="B35" s="122" t="s">
        <v>162</v>
      </c>
      <c r="C35" s="122" t="s">
        <v>66</v>
      </c>
      <c r="D35" s="123">
        <v>46114</v>
      </c>
      <c r="E35" s="123">
        <v>46114</v>
      </c>
      <c r="F35" s="122"/>
      <c r="G35" s="122">
        <v>871</v>
      </c>
      <c r="H35" s="122" t="s">
        <v>132</v>
      </c>
      <c r="I35" s="122">
        <v>3058</v>
      </c>
      <c r="J35" s="122">
        <v>132397</v>
      </c>
      <c r="K35" s="122"/>
      <c r="L35" s="122" t="s">
        <v>206</v>
      </c>
      <c r="M35" s="122" t="s">
        <v>160</v>
      </c>
      <c r="N35" s="122" t="s">
        <v>161</v>
      </c>
      <c r="O35" s="123">
        <v>46114</v>
      </c>
      <c r="P35" s="158">
        <v>1799</v>
      </c>
      <c r="Q35" s="158" t="s">
        <v>67</v>
      </c>
      <c r="R35" s="158">
        <v>51.99</v>
      </c>
      <c r="S35" s="158">
        <v>23.21</v>
      </c>
      <c r="T35" s="158">
        <v>4.18</v>
      </c>
      <c r="U35" s="158">
        <v>1742.83</v>
      </c>
      <c r="V35" s="163">
        <v>0</v>
      </c>
      <c r="W35" s="122"/>
      <c r="X35" s="162">
        <v>20260406</v>
      </c>
      <c r="Y35" s="122"/>
      <c r="Z35" s="122" t="s">
        <v>139</v>
      </c>
      <c r="AA35" s="122">
        <v>3908900</v>
      </c>
      <c r="AB35" s="122" t="s">
        <v>98</v>
      </c>
      <c r="AC35" s="122"/>
      <c r="AD35" s="122"/>
      <c r="AE35" s="129">
        <v>0.82751157407407405</v>
      </c>
      <c r="AF35" s="122" t="s">
        <v>141</v>
      </c>
      <c r="AG35" s="139" t="s">
        <v>148</v>
      </c>
    </row>
    <row r="36" spans="1:33" x14ac:dyDescent="0.3">
      <c r="A36" s="121">
        <v>1044162</v>
      </c>
      <c r="B36" s="122" t="s">
        <v>162</v>
      </c>
      <c r="C36" s="122" t="s">
        <v>66</v>
      </c>
      <c r="D36" s="123">
        <v>46114</v>
      </c>
      <c r="E36" s="123">
        <v>46114</v>
      </c>
      <c r="F36" s="122"/>
      <c r="G36" s="122">
        <v>871</v>
      </c>
      <c r="H36" s="122" t="s">
        <v>132</v>
      </c>
      <c r="I36" s="122">
        <v>3060</v>
      </c>
      <c r="J36" s="122">
        <v>617661</v>
      </c>
      <c r="K36" s="122"/>
      <c r="L36" s="122" t="s">
        <v>207</v>
      </c>
      <c r="M36" s="122" t="s">
        <v>160</v>
      </c>
      <c r="N36" s="122" t="s">
        <v>161</v>
      </c>
      <c r="O36" s="123">
        <v>46114</v>
      </c>
      <c r="P36" s="158">
        <v>499</v>
      </c>
      <c r="Q36" s="158" t="s">
        <v>67</v>
      </c>
      <c r="R36" s="158">
        <v>14.42</v>
      </c>
      <c r="S36" s="158">
        <v>6.44</v>
      </c>
      <c r="T36" s="158">
        <v>1.1599999999999999</v>
      </c>
      <c r="U36" s="158">
        <v>483.42</v>
      </c>
      <c r="V36" s="163">
        <v>0</v>
      </c>
      <c r="W36" s="122"/>
      <c r="X36" s="162">
        <v>20260406</v>
      </c>
      <c r="Y36" s="122"/>
      <c r="Z36" s="122" t="s">
        <v>139</v>
      </c>
      <c r="AA36" s="122">
        <v>3908900</v>
      </c>
      <c r="AB36" s="122" t="s">
        <v>145</v>
      </c>
      <c r="AC36" s="122"/>
      <c r="AD36" s="122"/>
      <c r="AE36" s="129">
        <v>0.87384259259259256</v>
      </c>
      <c r="AF36" s="122" t="s">
        <v>141</v>
      </c>
      <c r="AG36" s="139" t="s">
        <v>148</v>
      </c>
    </row>
    <row r="37" spans="1:33" x14ac:dyDescent="0.3">
      <c r="A37" s="121">
        <v>1044162</v>
      </c>
      <c r="B37" s="122" t="s">
        <v>162</v>
      </c>
      <c r="C37" s="122" t="s">
        <v>66</v>
      </c>
      <c r="D37" s="123">
        <v>46114</v>
      </c>
      <c r="E37" s="123">
        <v>46114</v>
      </c>
      <c r="F37" s="122"/>
      <c r="G37" s="122">
        <v>871</v>
      </c>
      <c r="H37" s="122" t="s">
        <v>132</v>
      </c>
      <c r="I37" s="122">
        <v>3062</v>
      </c>
      <c r="J37" s="122">
        <v>611910</v>
      </c>
      <c r="K37" s="122"/>
      <c r="L37" s="122" t="s">
        <v>208</v>
      </c>
      <c r="M37" s="122" t="s">
        <v>160</v>
      </c>
      <c r="N37" s="122" t="s">
        <v>161</v>
      </c>
      <c r="O37" s="123">
        <v>46114</v>
      </c>
      <c r="P37" s="158">
        <v>1149</v>
      </c>
      <c r="Q37" s="158" t="s">
        <v>67</v>
      </c>
      <c r="R37" s="158">
        <v>33.21</v>
      </c>
      <c r="S37" s="158">
        <v>14.83</v>
      </c>
      <c r="T37" s="158">
        <v>2.67</v>
      </c>
      <c r="U37" s="158">
        <v>1113.1199999999999</v>
      </c>
      <c r="V37" s="163">
        <v>0</v>
      </c>
      <c r="W37" s="122"/>
      <c r="X37" s="162">
        <v>20260406</v>
      </c>
      <c r="Y37" s="122"/>
      <c r="Z37" s="122" t="s">
        <v>139</v>
      </c>
      <c r="AA37" s="122">
        <v>3908900</v>
      </c>
      <c r="AB37" s="122" t="s">
        <v>145</v>
      </c>
      <c r="AC37" s="122"/>
      <c r="AD37" s="122"/>
      <c r="AE37" s="129">
        <v>0.87663194444444448</v>
      </c>
      <c r="AF37" s="122" t="s">
        <v>141</v>
      </c>
      <c r="AG37" s="139" t="s">
        <v>148</v>
      </c>
    </row>
    <row r="38" spans="1:33" x14ac:dyDescent="0.3">
      <c r="A38" s="121">
        <v>1044162</v>
      </c>
      <c r="B38" s="122" t="s">
        <v>162</v>
      </c>
      <c r="C38" s="122" t="s">
        <v>66</v>
      </c>
      <c r="D38" s="123">
        <v>46114</v>
      </c>
      <c r="E38" s="123">
        <v>46114</v>
      </c>
      <c r="F38" s="122"/>
      <c r="G38" s="122">
        <v>871</v>
      </c>
      <c r="H38" s="122">
        <v>65656565</v>
      </c>
      <c r="I38" s="122">
        <v>3064</v>
      </c>
      <c r="J38" s="122">
        <v>122082</v>
      </c>
      <c r="K38" s="122"/>
      <c r="L38" s="122" t="s">
        <v>209</v>
      </c>
      <c r="M38" s="122" t="s">
        <v>160</v>
      </c>
      <c r="N38" s="122" t="s">
        <v>161</v>
      </c>
      <c r="O38" s="123">
        <v>46114</v>
      </c>
      <c r="P38" s="158">
        <v>125.8</v>
      </c>
      <c r="Q38" s="158" t="s">
        <v>67</v>
      </c>
      <c r="R38" s="158">
        <v>3.63</v>
      </c>
      <c r="S38" s="158">
        <v>1.62</v>
      </c>
      <c r="T38" s="158">
        <v>0.28999999999999998</v>
      </c>
      <c r="U38" s="158">
        <v>121.88</v>
      </c>
      <c r="V38" s="163">
        <v>0</v>
      </c>
      <c r="W38" s="122"/>
      <c r="X38" s="162">
        <v>20260406</v>
      </c>
      <c r="Y38" s="122"/>
      <c r="Z38" s="122" t="s">
        <v>139</v>
      </c>
      <c r="AA38" s="122">
        <v>3908900</v>
      </c>
      <c r="AB38" s="122" t="s">
        <v>98</v>
      </c>
      <c r="AC38" s="122"/>
      <c r="AD38" s="122" t="s">
        <v>539</v>
      </c>
      <c r="AE38" s="129">
        <v>0.88900462962962967</v>
      </c>
      <c r="AF38" s="122" t="s">
        <v>141</v>
      </c>
      <c r="AG38" s="139" t="s">
        <v>148</v>
      </c>
    </row>
    <row r="39" spans="1:33" x14ac:dyDescent="0.3">
      <c r="A39" s="121">
        <v>1044162</v>
      </c>
      <c r="B39" s="122" t="s">
        <v>162</v>
      </c>
      <c r="C39" s="122" t="s">
        <v>66</v>
      </c>
      <c r="D39" s="123">
        <v>46114</v>
      </c>
      <c r="E39" s="123">
        <v>46114</v>
      </c>
      <c r="F39" s="122"/>
      <c r="G39" s="122">
        <v>871</v>
      </c>
      <c r="H39" s="122" t="s">
        <v>132</v>
      </c>
      <c r="I39" s="122">
        <v>3067</v>
      </c>
      <c r="J39" s="122">
        <v>650498</v>
      </c>
      <c r="K39" s="122"/>
      <c r="L39" s="122" t="s">
        <v>210</v>
      </c>
      <c r="M39" s="122" t="s">
        <v>160</v>
      </c>
      <c r="N39" s="122" t="s">
        <v>161</v>
      </c>
      <c r="O39" s="123">
        <v>46114</v>
      </c>
      <c r="P39" s="158">
        <v>1699</v>
      </c>
      <c r="Q39" s="158" t="s">
        <v>67</v>
      </c>
      <c r="R39" s="158">
        <v>49.1</v>
      </c>
      <c r="S39" s="158">
        <v>21.92</v>
      </c>
      <c r="T39" s="158">
        <v>3.95</v>
      </c>
      <c r="U39" s="158">
        <v>1645.95</v>
      </c>
      <c r="V39" s="163">
        <v>0</v>
      </c>
      <c r="W39" s="122"/>
      <c r="X39" s="162">
        <v>20260406</v>
      </c>
      <c r="Y39" s="122"/>
      <c r="Z39" s="122" t="s">
        <v>139</v>
      </c>
      <c r="AA39" s="122">
        <v>3908900</v>
      </c>
      <c r="AB39" s="122" t="s">
        <v>145</v>
      </c>
      <c r="AC39" s="122"/>
      <c r="AD39" s="122"/>
      <c r="AE39" s="129">
        <v>0.8933564814814815</v>
      </c>
      <c r="AF39" s="122" t="s">
        <v>141</v>
      </c>
      <c r="AG39" s="139" t="s">
        <v>148</v>
      </c>
    </row>
    <row r="40" spans="1:33" x14ac:dyDescent="0.3">
      <c r="A40" s="121">
        <v>1044162</v>
      </c>
      <c r="B40" s="122" t="s">
        <v>162</v>
      </c>
      <c r="C40" s="122" t="s">
        <v>66</v>
      </c>
      <c r="D40" s="123">
        <v>46114</v>
      </c>
      <c r="E40" s="123">
        <v>46114</v>
      </c>
      <c r="F40" s="122"/>
      <c r="G40" s="122">
        <v>871</v>
      </c>
      <c r="H40" s="122" t="s">
        <v>132</v>
      </c>
      <c r="I40" s="122">
        <v>3069</v>
      </c>
      <c r="J40" s="122">
        <v>519375</v>
      </c>
      <c r="K40" s="122"/>
      <c r="L40" s="122" t="s">
        <v>211</v>
      </c>
      <c r="M40" s="122" t="s">
        <v>160</v>
      </c>
      <c r="N40" s="122" t="s">
        <v>161</v>
      </c>
      <c r="O40" s="123">
        <v>46114</v>
      </c>
      <c r="P40" s="158">
        <v>688</v>
      </c>
      <c r="Q40" s="158" t="s">
        <v>67</v>
      </c>
      <c r="R40" s="158">
        <v>19.88</v>
      </c>
      <c r="S40" s="158">
        <v>8.8699999999999992</v>
      </c>
      <c r="T40" s="158">
        <v>1.6</v>
      </c>
      <c r="U40" s="158">
        <v>666.52</v>
      </c>
      <c r="V40" s="163">
        <v>0</v>
      </c>
      <c r="W40" s="122"/>
      <c r="X40" s="162">
        <v>20260406</v>
      </c>
      <c r="Y40" s="122"/>
      <c r="Z40" s="122" t="s">
        <v>139</v>
      </c>
      <c r="AA40" s="122">
        <v>3908900</v>
      </c>
      <c r="AB40" s="122" t="s">
        <v>148</v>
      </c>
      <c r="AC40" s="122"/>
      <c r="AD40" s="122"/>
      <c r="AE40" s="129">
        <v>0.89748842592592604</v>
      </c>
      <c r="AF40" s="122" t="s">
        <v>141</v>
      </c>
      <c r="AG40" s="139" t="s">
        <v>148</v>
      </c>
    </row>
    <row r="41" spans="1:33" x14ac:dyDescent="0.3">
      <c r="A41" s="121">
        <v>1044162</v>
      </c>
      <c r="B41" s="122" t="s">
        <v>162</v>
      </c>
      <c r="C41" s="122" t="s">
        <v>66</v>
      </c>
      <c r="D41" s="123">
        <v>46114</v>
      </c>
      <c r="E41" s="123">
        <v>46114</v>
      </c>
      <c r="F41" s="122"/>
      <c r="G41" s="122">
        <v>871</v>
      </c>
      <c r="H41" s="122" t="s">
        <v>132</v>
      </c>
      <c r="I41" s="122">
        <v>3071</v>
      </c>
      <c r="J41" s="122">
        <v>544773</v>
      </c>
      <c r="K41" s="122">
        <v>3</v>
      </c>
      <c r="L41" s="122" t="s">
        <v>212</v>
      </c>
      <c r="M41" s="122" t="s">
        <v>160</v>
      </c>
      <c r="N41" s="122" t="s">
        <v>161</v>
      </c>
      <c r="O41" s="123">
        <v>46114</v>
      </c>
      <c r="P41" s="158">
        <v>1799</v>
      </c>
      <c r="Q41" s="158" t="s">
        <v>67</v>
      </c>
      <c r="R41" s="158">
        <v>83.47</v>
      </c>
      <c r="S41" s="158">
        <v>10.61</v>
      </c>
      <c r="T41" s="158">
        <v>1.91</v>
      </c>
      <c r="U41" s="158">
        <v>1713.62</v>
      </c>
      <c r="V41" s="163">
        <v>0</v>
      </c>
      <c r="W41" s="122"/>
      <c r="X41" s="162">
        <v>20260406</v>
      </c>
      <c r="Y41" s="122"/>
      <c r="Z41" s="122" t="s">
        <v>142</v>
      </c>
      <c r="AA41" s="122">
        <v>3908900</v>
      </c>
      <c r="AB41" s="122" t="s">
        <v>148</v>
      </c>
      <c r="AC41" s="122" t="s">
        <v>151</v>
      </c>
      <c r="AD41" s="122"/>
      <c r="AE41" s="129">
        <v>0.90390046296296289</v>
      </c>
      <c r="AF41" s="122" t="s">
        <v>141</v>
      </c>
      <c r="AG41" s="139" t="s">
        <v>148</v>
      </c>
    </row>
    <row r="42" spans="1:33" x14ac:dyDescent="0.3">
      <c r="A42" s="121">
        <v>1044162</v>
      </c>
      <c r="B42" s="122" t="s">
        <v>162</v>
      </c>
      <c r="C42" s="122" t="s">
        <v>66</v>
      </c>
      <c r="D42" s="123">
        <v>46114</v>
      </c>
      <c r="E42" s="123">
        <v>46114</v>
      </c>
      <c r="F42" s="122"/>
      <c r="G42" s="122">
        <v>871</v>
      </c>
      <c r="H42" s="122" t="s">
        <v>132</v>
      </c>
      <c r="I42" s="122">
        <v>3073</v>
      </c>
      <c r="J42" s="122">
        <v>120728</v>
      </c>
      <c r="K42" s="122"/>
      <c r="L42" s="122" t="s">
        <v>213</v>
      </c>
      <c r="M42" s="122" t="s">
        <v>160</v>
      </c>
      <c r="N42" s="122" t="s">
        <v>161</v>
      </c>
      <c r="O42" s="123">
        <v>46114</v>
      </c>
      <c r="P42" s="158">
        <v>1399</v>
      </c>
      <c r="Q42" s="158" t="s">
        <v>67</v>
      </c>
      <c r="R42" s="158">
        <v>40.43</v>
      </c>
      <c r="S42" s="158">
        <v>11.05</v>
      </c>
      <c r="T42" s="158">
        <v>1.99</v>
      </c>
      <c r="U42" s="158">
        <v>1356.58</v>
      </c>
      <c r="V42" s="163">
        <v>0</v>
      </c>
      <c r="W42" s="122"/>
      <c r="X42" s="162">
        <v>20260406</v>
      </c>
      <c r="Y42" s="122"/>
      <c r="Z42" s="122" t="s">
        <v>142</v>
      </c>
      <c r="AA42" s="122">
        <v>3908900</v>
      </c>
      <c r="AB42" s="122" t="s">
        <v>149</v>
      </c>
      <c r="AC42" s="122"/>
      <c r="AD42" s="122"/>
      <c r="AE42" s="129">
        <v>0.90869212962962964</v>
      </c>
      <c r="AF42" s="122" t="s">
        <v>141</v>
      </c>
      <c r="AG42" s="139" t="s">
        <v>148</v>
      </c>
    </row>
    <row r="43" spans="1:33" x14ac:dyDescent="0.3">
      <c r="A43" s="121">
        <v>1044162</v>
      </c>
      <c r="B43" s="122" t="s">
        <v>162</v>
      </c>
      <c r="C43" s="122" t="s">
        <v>66</v>
      </c>
      <c r="D43" s="123">
        <v>46114</v>
      </c>
      <c r="E43" s="123">
        <v>46114</v>
      </c>
      <c r="F43" s="122"/>
      <c r="G43" s="122">
        <v>871</v>
      </c>
      <c r="H43" s="122" t="s">
        <v>132</v>
      </c>
      <c r="I43" s="122">
        <v>3075</v>
      </c>
      <c r="J43" s="122">
        <v>700875</v>
      </c>
      <c r="K43" s="122"/>
      <c r="L43" s="122" t="s">
        <v>214</v>
      </c>
      <c r="M43" s="122" t="s">
        <v>160</v>
      </c>
      <c r="N43" s="122" t="s">
        <v>161</v>
      </c>
      <c r="O43" s="123">
        <v>46114</v>
      </c>
      <c r="P43" s="158">
        <v>89</v>
      </c>
      <c r="Q43" s="158" t="s">
        <v>67</v>
      </c>
      <c r="R43" s="158">
        <v>2.57</v>
      </c>
      <c r="S43" s="158">
        <v>1.1499999999999999</v>
      </c>
      <c r="T43" s="158">
        <v>0.21</v>
      </c>
      <c r="U43" s="158">
        <v>86.22</v>
      </c>
      <c r="V43" s="161">
        <v>22526.16</v>
      </c>
      <c r="W43" s="123">
        <v>46118</v>
      </c>
      <c r="X43" s="162">
        <v>20260406</v>
      </c>
      <c r="Y43" s="122">
        <v>104101</v>
      </c>
      <c r="Z43" s="122" t="s">
        <v>139</v>
      </c>
      <c r="AA43" s="122">
        <v>3908900</v>
      </c>
      <c r="AB43" s="122" t="s">
        <v>145</v>
      </c>
      <c r="AC43" s="122"/>
      <c r="AD43" s="122"/>
      <c r="AE43" s="129">
        <v>0.91084490740740742</v>
      </c>
      <c r="AF43" s="122" t="s">
        <v>141</v>
      </c>
      <c r="AG43" s="139" t="s">
        <v>148</v>
      </c>
    </row>
    <row r="44" spans="1:33" x14ac:dyDescent="0.3">
      <c r="A44" s="121">
        <v>1044162</v>
      </c>
      <c r="B44" s="122" t="s">
        <v>162</v>
      </c>
      <c r="C44" s="122" t="s">
        <v>66</v>
      </c>
      <c r="D44" s="123">
        <v>46115</v>
      </c>
      <c r="E44" s="123">
        <v>46115</v>
      </c>
      <c r="F44" s="122"/>
      <c r="G44" s="122">
        <v>872</v>
      </c>
      <c r="H44" s="122" t="s">
        <v>132</v>
      </c>
      <c r="I44" s="122">
        <v>3081</v>
      </c>
      <c r="J44" s="122">
        <v>300437</v>
      </c>
      <c r="K44" s="122"/>
      <c r="L44" s="122" t="s">
        <v>169</v>
      </c>
      <c r="M44" s="122" t="s">
        <v>160</v>
      </c>
      <c r="N44" s="122" t="s">
        <v>161</v>
      </c>
      <c r="O44" s="123">
        <v>46115</v>
      </c>
      <c r="P44" s="158">
        <v>149</v>
      </c>
      <c r="Q44" s="158" t="s">
        <v>67</v>
      </c>
      <c r="R44" s="158">
        <v>4.3099999999999996</v>
      </c>
      <c r="S44" s="158">
        <v>1.93</v>
      </c>
      <c r="T44" s="158">
        <v>0.35</v>
      </c>
      <c r="U44" s="158">
        <v>144.34</v>
      </c>
      <c r="V44" s="163">
        <v>0</v>
      </c>
      <c r="W44" s="122"/>
      <c r="X44" s="162">
        <v>20260406</v>
      </c>
      <c r="Y44" s="122"/>
      <c r="Z44" s="122" t="s">
        <v>139</v>
      </c>
      <c r="AA44" s="122">
        <v>3908900</v>
      </c>
      <c r="AB44" s="122" t="s">
        <v>145</v>
      </c>
      <c r="AC44" s="122"/>
      <c r="AD44" s="122"/>
      <c r="AE44" s="129">
        <v>0.53503472222222226</v>
      </c>
      <c r="AF44" s="122" t="s">
        <v>141</v>
      </c>
      <c r="AG44" s="139" t="s">
        <v>148</v>
      </c>
    </row>
    <row r="45" spans="1:33" x14ac:dyDescent="0.3">
      <c r="A45" s="121">
        <v>1044162</v>
      </c>
      <c r="B45" s="122" t="s">
        <v>162</v>
      </c>
      <c r="C45" s="122" t="s">
        <v>66</v>
      </c>
      <c r="D45" s="123">
        <v>46115</v>
      </c>
      <c r="E45" s="123">
        <v>46115</v>
      </c>
      <c r="F45" s="122"/>
      <c r="G45" s="122">
        <v>872</v>
      </c>
      <c r="H45" s="122" t="s">
        <v>132</v>
      </c>
      <c r="I45" s="122">
        <v>3083</v>
      </c>
      <c r="J45" s="122">
        <v>125202</v>
      </c>
      <c r="K45" s="122"/>
      <c r="L45" s="122" t="s">
        <v>165</v>
      </c>
      <c r="M45" s="122" t="s">
        <v>160</v>
      </c>
      <c r="N45" s="122" t="s">
        <v>161</v>
      </c>
      <c r="O45" s="123">
        <v>46115</v>
      </c>
      <c r="P45" s="158">
        <v>800</v>
      </c>
      <c r="Q45" s="158" t="s">
        <v>67</v>
      </c>
      <c r="R45" s="158">
        <v>23.12</v>
      </c>
      <c r="S45" s="158">
        <v>6.32</v>
      </c>
      <c r="T45" s="158">
        <v>1.1399999999999999</v>
      </c>
      <c r="U45" s="158">
        <v>775.74</v>
      </c>
      <c r="V45" s="163">
        <v>0</v>
      </c>
      <c r="W45" s="122"/>
      <c r="X45" s="162">
        <v>20260406</v>
      </c>
      <c r="Y45" s="122"/>
      <c r="Z45" s="122" t="s">
        <v>139</v>
      </c>
      <c r="AA45" s="122">
        <v>3908900</v>
      </c>
      <c r="AB45" s="122" t="s">
        <v>147</v>
      </c>
      <c r="AC45" s="122"/>
      <c r="AD45" s="122"/>
      <c r="AE45" s="129">
        <v>0.53539351851851846</v>
      </c>
      <c r="AF45" s="122" t="s">
        <v>141</v>
      </c>
      <c r="AG45" s="139" t="s">
        <v>148</v>
      </c>
    </row>
    <row r="46" spans="1:33" x14ac:dyDescent="0.3">
      <c r="A46" s="121">
        <v>1044162</v>
      </c>
      <c r="B46" s="122" t="s">
        <v>162</v>
      </c>
      <c r="C46" s="122" t="s">
        <v>66</v>
      </c>
      <c r="D46" s="123">
        <v>46115</v>
      </c>
      <c r="E46" s="123">
        <v>46115</v>
      </c>
      <c r="F46" s="122"/>
      <c r="G46" s="122">
        <v>872</v>
      </c>
      <c r="H46" s="122" t="s">
        <v>132</v>
      </c>
      <c r="I46" s="122">
        <v>3085</v>
      </c>
      <c r="J46" s="122">
        <v>906581</v>
      </c>
      <c r="K46" s="122"/>
      <c r="L46" s="122" t="s">
        <v>215</v>
      </c>
      <c r="M46" s="122" t="s">
        <v>160</v>
      </c>
      <c r="N46" s="122" t="s">
        <v>161</v>
      </c>
      <c r="O46" s="123">
        <v>46115</v>
      </c>
      <c r="P46" s="158">
        <v>1238</v>
      </c>
      <c r="Q46" s="158" t="s">
        <v>67</v>
      </c>
      <c r="R46" s="158">
        <v>35.78</v>
      </c>
      <c r="S46" s="158">
        <v>15.97</v>
      </c>
      <c r="T46" s="158">
        <v>2.87</v>
      </c>
      <c r="U46" s="158">
        <v>1199.3499999999999</v>
      </c>
      <c r="V46" s="163">
        <v>0</v>
      </c>
      <c r="W46" s="122"/>
      <c r="X46" s="162">
        <v>20260406</v>
      </c>
      <c r="Y46" s="122"/>
      <c r="Z46" s="122" t="s">
        <v>139</v>
      </c>
      <c r="AA46" s="122">
        <v>3908900</v>
      </c>
      <c r="AB46" s="122" t="s">
        <v>148</v>
      </c>
      <c r="AC46" s="122"/>
      <c r="AD46" s="122"/>
      <c r="AE46" s="129">
        <v>0.55626157407407406</v>
      </c>
      <c r="AF46" s="122" t="s">
        <v>141</v>
      </c>
      <c r="AG46" s="139" t="s">
        <v>148</v>
      </c>
    </row>
    <row r="47" spans="1:33" x14ac:dyDescent="0.3">
      <c r="A47" s="121">
        <v>1044162</v>
      </c>
      <c r="B47" s="122" t="s">
        <v>162</v>
      </c>
      <c r="C47" s="122" t="s">
        <v>66</v>
      </c>
      <c r="D47" s="123">
        <v>46115</v>
      </c>
      <c r="E47" s="123">
        <v>46115</v>
      </c>
      <c r="F47" s="122"/>
      <c r="G47" s="122">
        <v>872</v>
      </c>
      <c r="H47" s="122" t="s">
        <v>132</v>
      </c>
      <c r="I47" s="122">
        <v>3087</v>
      </c>
      <c r="J47" s="122">
        <v>9817</v>
      </c>
      <c r="K47" s="122"/>
      <c r="L47" s="122" t="s">
        <v>216</v>
      </c>
      <c r="M47" s="122" t="s">
        <v>160</v>
      </c>
      <c r="N47" s="122" t="s">
        <v>161</v>
      </c>
      <c r="O47" s="123">
        <v>46115</v>
      </c>
      <c r="P47" s="158">
        <v>459</v>
      </c>
      <c r="Q47" s="158" t="s">
        <v>67</v>
      </c>
      <c r="R47" s="158">
        <v>13.27</v>
      </c>
      <c r="S47" s="158">
        <v>3.63</v>
      </c>
      <c r="T47" s="158">
        <v>0.65</v>
      </c>
      <c r="U47" s="158">
        <v>445.08</v>
      </c>
      <c r="V47" s="163">
        <v>0</v>
      </c>
      <c r="W47" s="122"/>
      <c r="X47" s="162">
        <v>20260406</v>
      </c>
      <c r="Y47" s="122"/>
      <c r="Z47" s="122" t="s">
        <v>142</v>
      </c>
      <c r="AA47" s="122">
        <v>3908900</v>
      </c>
      <c r="AB47" s="122" t="s">
        <v>145</v>
      </c>
      <c r="AC47" s="122"/>
      <c r="AD47" s="122"/>
      <c r="AE47" s="129">
        <v>0.55783564814814812</v>
      </c>
      <c r="AF47" s="122" t="s">
        <v>141</v>
      </c>
      <c r="AG47" s="139" t="s">
        <v>148</v>
      </c>
    </row>
    <row r="48" spans="1:33" x14ac:dyDescent="0.3">
      <c r="A48" s="121">
        <v>1044162</v>
      </c>
      <c r="B48" s="122" t="s">
        <v>162</v>
      </c>
      <c r="C48" s="122" t="s">
        <v>66</v>
      </c>
      <c r="D48" s="123">
        <v>46115</v>
      </c>
      <c r="E48" s="123">
        <v>46115</v>
      </c>
      <c r="F48" s="122"/>
      <c r="G48" s="122">
        <v>872</v>
      </c>
      <c r="H48" s="122" t="s">
        <v>132</v>
      </c>
      <c r="I48" s="122">
        <v>3089</v>
      </c>
      <c r="J48" s="122">
        <v>504416</v>
      </c>
      <c r="K48" s="122"/>
      <c r="L48" s="122" t="s">
        <v>217</v>
      </c>
      <c r="M48" s="122" t="s">
        <v>160</v>
      </c>
      <c r="N48" s="122" t="s">
        <v>161</v>
      </c>
      <c r="O48" s="123">
        <v>46115</v>
      </c>
      <c r="P48" s="158">
        <v>89</v>
      </c>
      <c r="Q48" s="158" t="s">
        <v>67</v>
      </c>
      <c r="R48" s="158">
        <v>2.57</v>
      </c>
      <c r="S48" s="158">
        <v>1.1499999999999999</v>
      </c>
      <c r="T48" s="158">
        <v>0.21</v>
      </c>
      <c r="U48" s="158">
        <v>86.22</v>
      </c>
      <c r="V48" s="163">
        <v>0</v>
      </c>
      <c r="W48" s="122"/>
      <c r="X48" s="162">
        <v>20260406</v>
      </c>
      <c r="Y48" s="122"/>
      <c r="Z48" s="122" t="s">
        <v>139</v>
      </c>
      <c r="AA48" s="122">
        <v>3908900</v>
      </c>
      <c r="AB48" s="122" t="s">
        <v>145</v>
      </c>
      <c r="AC48" s="122"/>
      <c r="AD48" s="122"/>
      <c r="AE48" s="129">
        <v>0.5883680555555556</v>
      </c>
      <c r="AF48" s="122" t="s">
        <v>141</v>
      </c>
      <c r="AG48" s="139" t="s">
        <v>148</v>
      </c>
    </row>
    <row r="49" spans="1:33" x14ac:dyDescent="0.3">
      <c r="A49" s="121">
        <v>1044162</v>
      </c>
      <c r="B49" s="122" t="s">
        <v>162</v>
      </c>
      <c r="C49" s="122" t="s">
        <v>66</v>
      </c>
      <c r="D49" s="123">
        <v>46115</v>
      </c>
      <c r="E49" s="123">
        <v>46115</v>
      </c>
      <c r="F49" s="122"/>
      <c r="G49" s="122">
        <v>872</v>
      </c>
      <c r="H49" s="122" t="s">
        <v>132</v>
      </c>
      <c r="I49" s="122">
        <v>3091</v>
      </c>
      <c r="J49" s="122">
        <v>540714</v>
      </c>
      <c r="K49" s="122"/>
      <c r="L49" s="122" t="s">
        <v>217</v>
      </c>
      <c r="M49" s="122" t="s">
        <v>160</v>
      </c>
      <c r="N49" s="122" t="s">
        <v>161</v>
      </c>
      <c r="O49" s="123">
        <v>46115</v>
      </c>
      <c r="P49" s="158">
        <v>179.9</v>
      </c>
      <c r="Q49" s="158" t="s">
        <v>67</v>
      </c>
      <c r="R49" s="158">
        <v>5.2</v>
      </c>
      <c r="S49" s="158">
        <v>2.3199999999999998</v>
      </c>
      <c r="T49" s="158">
        <v>0.42</v>
      </c>
      <c r="U49" s="158">
        <v>174.28</v>
      </c>
      <c r="V49" s="163">
        <v>0</v>
      </c>
      <c r="W49" s="122"/>
      <c r="X49" s="162">
        <v>20260406</v>
      </c>
      <c r="Y49" s="122"/>
      <c r="Z49" s="122" t="s">
        <v>139</v>
      </c>
      <c r="AA49" s="122">
        <v>3908900</v>
      </c>
      <c r="AB49" s="122" t="s">
        <v>145</v>
      </c>
      <c r="AC49" s="122"/>
      <c r="AD49" s="122"/>
      <c r="AE49" s="129">
        <v>0.6063425925925926</v>
      </c>
      <c r="AF49" s="122" t="s">
        <v>141</v>
      </c>
      <c r="AG49" s="139" t="s">
        <v>148</v>
      </c>
    </row>
    <row r="50" spans="1:33" x14ac:dyDescent="0.3">
      <c r="A50" s="121">
        <v>1044162</v>
      </c>
      <c r="B50" s="122" t="s">
        <v>162</v>
      </c>
      <c r="C50" s="122" t="s">
        <v>66</v>
      </c>
      <c r="D50" s="123">
        <v>46115</v>
      </c>
      <c r="E50" s="123">
        <v>46115</v>
      </c>
      <c r="F50" s="122"/>
      <c r="G50" s="122">
        <v>872</v>
      </c>
      <c r="H50" s="122" t="s">
        <v>132</v>
      </c>
      <c r="I50" s="122">
        <v>3093</v>
      </c>
      <c r="J50" s="122">
        <v>473771</v>
      </c>
      <c r="K50" s="122"/>
      <c r="L50" s="122" t="s">
        <v>218</v>
      </c>
      <c r="M50" s="122" t="s">
        <v>160</v>
      </c>
      <c r="N50" s="122" t="s">
        <v>161</v>
      </c>
      <c r="O50" s="123">
        <v>46115</v>
      </c>
      <c r="P50" s="158">
        <v>529</v>
      </c>
      <c r="Q50" s="158" t="s">
        <v>67</v>
      </c>
      <c r="R50" s="158">
        <v>15.29</v>
      </c>
      <c r="S50" s="158">
        <v>2.06</v>
      </c>
      <c r="T50" s="158">
        <v>0.37</v>
      </c>
      <c r="U50" s="158">
        <v>513.34</v>
      </c>
      <c r="V50" s="163">
        <v>0</v>
      </c>
      <c r="W50" s="122"/>
      <c r="X50" s="162">
        <v>20260406</v>
      </c>
      <c r="Y50" s="122"/>
      <c r="Z50" s="122" t="s">
        <v>142</v>
      </c>
      <c r="AA50" s="122">
        <v>3908900</v>
      </c>
      <c r="AB50" s="122" t="s">
        <v>147</v>
      </c>
      <c r="AC50" s="122"/>
      <c r="AD50" s="122"/>
      <c r="AE50" s="129">
        <v>0.61629629629629623</v>
      </c>
      <c r="AF50" s="122" t="s">
        <v>141</v>
      </c>
      <c r="AG50" s="139" t="s">
        <v>148</v>
      </c>
    </row>
    <row r="51" spans="1:33" x14ac:dyDescent="0.3">
      <c r="A51" s="121">
        <v>1044162</v>
      </c>
      <c r="B51" s="122" t="s">
        <v>162</v>
      </c>
      <c r="C51" s="122" t="s">
        <v>66</v>
      </c>
      <c r="D51" s="123">
        <v>46115</v>
      </c>
      <c r="E51" s="123">
        <v>46115</v>
      </c>
      <c r="F51" s="122"/>
      <c r="G51" s="122">
        <v>872</v>
      </c>
      <c r="H51" s="122" t="s">
        <v>132</v>
      </c>
      <c r="I51" s="122">
        <v>3095</v>
      </c>
      <c r="J51" s="122">
        <v>193129</v>
      </c>
      <c r="K51" s="122"/>
      <c r="L51" s="122" t="s">
        <v>219</v>
      </c>
      <c r="M51" s="122" t="s">
        <v>160</v>
      </c>
      <c r="N51" s="122" t="s">
        <v>161</v>
      </c>
      <c r="O51" s="123">
        <v>46115</v>
      </c>
      <c r="P51" s="158">
        <v>529</v>
      </c>
      <c r="Q51" s="158" t="s">
        <v>67</v>
      </c>
      <c r="R51" s="158">
        <v>15.29</v>
      </c>
      <c r="S51" s="158">
        <v>3.12</v>
      </c>
      <c r="T51" s="158">
        <v>0.56000000000000005</v>
      </c>
      <c r="U51" s="158">
        <v>513.15</v>
      </c>
      <c r="V51" s="163">
        <v>0</v>
      </c>
      <c r="W51" s="122"/>
      <c r="X51" s="162">
        <v>20260406</v>
      </c>
      <c r="Y51" s="122"/>
      <c r="Z51" s="122" t="s">
        <v>142</v>
      </c>
      <c r="AA51" s="122">
        <v>3908900</v>
      </c>
      <c r="AB51" s="122" t="s">
        <v>148</v>
      </c>
      <c r="AC51" s="122"/>
      <c r="AD51" s="122"/>
      <c r="AE51" s="129">
        <v>0.62837962962962968</v>
      </c>
      <c r="AF51" s="122" t="s">
        <v>141</v>
      </c>
      <c r="AG51" s="139" t="s">
        <v>148</v>
      </c>
    </row>
    <row r="52" spans="1:33" x14ac:dyDescent="0.3">
      <c r="A52" s="121">
        <v>1044162</v>
      </c>
      <c r="B52" s="122" t="s">
        <v>162</v>
      </c>
      <c r="C52" s="122" t="s">
        <v>66</v>
      </c>
      <c r="D52" s="123">
        <v>46115</v>
      </c>
      <c r="E52" s="123">
        <v>46115</v>
      </c>
      <c r="F52" s="122"/>
      <c r="G52" s="122">
        <v>872</v>
      </c>
      <c r="H52" s="122" t="s">
        <v>132</v>
      </c>
      <c r="I52" s="122">
        <v>3097</v>
      </c>
      <c r="J52" s="122">
        <v>523462</v>
      </c>
      <c r="K52" s="122"/>
      <c r="L52" s="122" t="s">
        <v>220</v>
      </c>
      <c r="M52" s="122" t="s">
        <v>160</v>
      </c>
      <c r="N52" s="122" t="s">
        <v>161</v>
      </c>
      <c r="O52" s="123">
        <v>46115</v>
      </c>
      <c r="P52" s="158">
        <v>629</v>
      </c>
      <c r="Q52" s="158" t="s">
        <v>67</v>
      </c>
      <c r="R52" s="158">
        <v>18.18</v>
      </c>
      <c r="S52" s="158">
        <v>8.1199999999999992</v>
      </c>
      <c r="T52" s="158">
        <v>1.46</v>
      </c>
      <c r="U52" s="158">
        <v>609.36</v>
      </c>
      <c r="V52" s="163">
        <v>0</v>
      </c>
      <c r="W52" s="122"/>
      <c r="X52" s="162">
        <v>20260406</v>
      </c>
      <c r="Y52" s="122"/>
      <c r="Z52" s="122" t="s">
        <v>139</v>
      </c>
      <c r="AA52" s="122">
        <v>3908900</v>
      </c>
      <c r="AB52" s="122" t="s">
        <v>145</v>
      </c>
      <c r="AC52" s="122"/>
      <c r="AD52" s="122"/>
      <c r="AE52" s="129">
        <v>0.63399305555555552</v>
      </c>
      <c r="AF52" s="122" t="s">
        <v>141</v>
      </c>
      <c r="AG52" s="139" t="s">
        <v>148</v>
      </c>
    </row>
    <row r="53" spans="1:33" x14ac:dyDescent="0.3">
      <c r="A53" s="121">
        <v>1044162</v>
      </c>
      <c r="B53" s="122" t="s">
        <v>162</v>
      </c>
      <c r="C53" s="122" t="s">
        <v>66</v>
      </c>
      <c r="D53" s="123">
        <v>46115</v>
      </c>
      <c r="E53" s="123">
        <v>46115</v>
      </c>
      <c r="F53" s="122"/>
      <c r="G53" s="122">
        <v>872</v>
      </c>
      <c r="H53" s="122" t="s">
        <v>132</v>
      </c>
      <c r="I53" s="122">
        <v>3108</v>
      </c>
      <c r="J53" s="122">
        <v>2244</v>
      </c>
      <c r="K53" s="122"/>
      <c r="L53" s="122" t="s">
        <v>221</v>
      </c>
      <c r="M53" s="122" t="s">
        <v>160</v>
      </c>
      <c r="N53" s="122" t="s">
        <v>161</v>
      </c>
      <c r="O53" s="123">
        <v>46115</v>
      </c>
      <c r="P53" s="158">
        <v>89</v>
      </c>
      <c r="Q53" s="158" t="s">
        <v>67</v>
      </c>
      <c r="R53" s="158">
        <v>2.57</v>
      </c>
      <c r="S53" s="158">
        <v>0.52</v>
      </c>
      <c r="T53" s="158">
        <v>0.09</v>
      </c>
      <c r="U53" s="158">
        <v>86.34</v>
      </c>
      <c r="V53" s="163">
        <v>0</v>
      </c>
      <c r="W53" s="122"/>
      <c r="X53" s="162">
        <v>20260406</v>
      </c>
      <c r="Y53" s="122"/>
      <c r="Z53" s="122" t="s">
        <v>142</v>
      </c>
      <c r="AA53" s="122">
        <v>3908900</v>
      </c>
      <c r="AB53" s="122" t="s">
        <v>145</v>
      </c>
      <c r="AC53" s="122"/>
      <c r="AD53" s="122"/>
      <c r="AE53" s="129">
        <v>0.66827546296296303</v>
      </c>
      <c r="AF53" s="122" t="s">
        <v>141</v>
      </c>
      <c r="AG53" s="139" t="s">
        <v>148</v>
      </c>
    </row>
    <row r="54" spans="1:33" x14ac:dyDescent="0.3">
      <c r="A54" s="121">
        <v>1044162</v>
      </c>
      <c r="B54" s="122" t="s">
        <v>162</v>
      </c>
      <c r="C54" s="122" t="s">
        <v>66</v>
      </c>
      <c r="D54" s="123">
        <v>46115</v>
      </c>
      <c r="E54" s="123">
        <v>46115</v>
      </c>
      <c r="F54" s="122"/>
      <c r="G54" s="122">
        <v>872</v>
      </c>
      <c r="H54" s="122" t="s">
        <v>132</v>
      </c>
      <c r="I54" s="122">
        <v>3111</v>
      </c>
      <c r="J54" s="122">
        <v>25173</v>
      </c>
      <c r="K54" s="122"/>
      <c r="L54" s="122" t="s">
        <v>222</v>
      </c>
      <c r="M54" s="122" t="s">
        <v>160</v>
      </c>
      <c r="N54" s="122" t="s">
        <v>161</v>
      </c>
      <c r="O54" s="123">
        <v>46115</v>
      </c>
      <c r="P54" s="158">
        <v>1149</v>
      </c>
      <c r="Q54" s="158" t="s">
        <v>67</v>
      </c>
      <c r="R54" s="158">
        <v>33.21</v>
      </c>
      <c r="S54" s="158">
        <v>14.83</v>
      </c>
      <c r="T54" s="158">
        <v>2.67</v>
      </c>
      <c r="U54" s="158">
        <v>1113.1199999999999</v>
      </c>
      <c r="V54" s="163">
        <v>0</v>
      </c>
      <c r="W54" s="122"/>
      <c r="X54" s="162">
        <v>20260406</v>
      </c>
      <c r="Y54" s="122"/>
      <c r="Z54" s="122" t="s">
        <v>139</v>
      </c>
      <c r="AA54" s="122">
        <v>3908900</v>
      </c>
      <c r="AB54" s="122" t="s">
        <v>147</v>
      </c>
      <c r="AC54" s="122"/>
      <c r="AD54" s="122"/>
      <c r="AE54" s="129">
        <v>0.67594907407407412</v>
      </c>
      <c r="AF54" s="122" t="s">
        <v>141</v>
      </c>
      <c r="AG54" s="139" t="s">
        <v>148</v>
      </c>
    </row>
    <row r="55" spans="1:33" x14ac:dyDescent="0.3">
      <c r="A55" s="121">
        <v>1044162</v>
      </c>
      <c r="B55" s="122" t="s">
        <v>162</v>
      </c>
      <c r="C55" s="122" t="s">
        <v>66</v>
      </c>
      <c r="D55" s="123">
        <v>46115</v>
      </c>
      <c r="E55" s="123">
        <v>46115</v>
      </c>
      <c r="F55" s="122"/>
      <c r="G55" s="122">
        <v>872</v>
      </c>
      <c r="H55" s="122" t="s">
        <v>132</v>
      </c>
      <c r="I55" s="122">
        <v>3113</v>
      </c>
      <c r="J55" s="122">
        <v>485728</v>
      </c>
      <c r="K55" s="122"/>
      <c r="L55" s="122" t="s">
        <v>223</v>
      </c>
      <c r="M55" s="122" t="s">
        <v>160</v>
      </c>
      <c r="N55" s="122" t="s">
        <v>161</v>
      </c>
      <c r="O55" s="123">
        <v>46115</v>
      </c>
      <c r="P55" s="158">
        <v>1699</v>
      </c>
      <c r="Q55" s="158" t="s">
        <v>67</v>
      </c>
      <c r="R55" s="158">
        <v>49.1</v>
      </c>
      <c r="S55" s="158">
        <v>10.02</v>
      </c>
      <c r="T55" s="158">
        <v>1.8</v>
      </c>
      <c r="U55" s="158">
        <v>1648.1</v>
      </c>
      <c r="V55" s="163">
        <v>0</v>
      </c>
      <c r="W55" s="122"/>
      <c r="X55" s="162">
        <v>20260406</v>
      </c>
      <c r="Y55" s="122"/>
      <c r="Z55" s="122" t="s">
        <v>142</v>
      </c>
      <c r="AA55" s="122">
        <v>3908900</v>
      </c>
      <c r="AB55" s="122" t="s">
        <v>148</v>
      </c>
      <c r="AC55" s="122"/>
      <c r="AD55" s="122"/>
      <c r="AE55" s="129">
        <v>0.71258101851851852</v>
      </c>
      <c r="AF55" s="122" t="s">
        <v>141</v>
      </c>
      <c r="AG55" s="139" t="s">
        <v>148</v>
      </c>
    </row>
    <row r="56" spans="1:33" x14ac:dyDescent="0.3">
      <c r="A56" s="121">
        <v>1044162</v>
      </c>
      <c r="B56" s="122" t="s">
        <v>162</v>
      </c>
      <c r="C56" s="122" t="s">
        <v>66</v>
      </c>
      <c r="D56" s="123">
        <v>46115</v>
      </c>
      <c r="E56" s="123">
        <v>46115</v>
      </c>
      <c r="F56" s="122"/>
      <c r="G56" s="122">
        <v>872</v>
      </c>
      <c r="H56" s="122" t="s">
        <v>132</v>
      </c>
      <c r="I56" s="122">
        <v>3115</v>
      </c>
      <c r="J56" s="122">
        <v>500956</v>
      </c>
      <c r="K56" s="122"/>
      <c r="L56" s="122" t="s">
        <v>223</v>
      </c>
      <c r="M56" s="122" t="s">
        <v>160</v>
      </c>
      <c r="N56" s="122" t="s">
        <v>161</v>
      </c>
      <c r="O56" s="123">
        <v>46115</v>
      </c>
      <c r="P56" s="158">
        <v>99</v>
      </c>
      <c r="Q56" s="158" t="s">
        <v>67</v>
      </c>
      <c r="R56" s="158">
        <v>2.86</v>
      </c>
      <c r="S56" s="158">
        <v>0.57999999999999996</v>
      </c>
      <c r="T56" s="158">
        <v>0.1</v>
      </c>
      <c r="U56" s="158">
        <v>96.04</v>
      </c>
      <c r="V56" s="163">
        <v>0</v>
      </c>
      <c r="W56" s="122"/>
      <c r="X56" s="162">
        <v>20260406</v>
      </c>
      <c r="Y56" s="122"/>
      <c r="Z56" s="122" t="s">
        <v>142</v>
      </c>
      <c r="AA56" s="122">
        <v>3908900</v>
      </c>
      <c r="AB56" s="122" t="s">
        <v>148</v>
      </c>
      <c r="AC56" s="122"/>
      <c r="AD56" s="122"/>
      <c r="AE56" s="129">
        <v>0.71685185185185185</v>
      </c>
      <c r="AF56" s="122" t="s">
        <v>141</v>
      </c>
      <c r="AG56" s="139" t="s">
        <v>148</v>
      </c>
    </row>
    <row r="57" spans="1:33" x14ac:dyDescent="0.3">
      <c r="A57" s="121">
        <v>1044162</v>
      </c>
      <c r="B57" s="122" t="s">
        <v>162</v>
      </c>
      <c r="C57" s="122" t="s">
        <v>66</v>
      </c>
      <c r="D57" s="123">
        <v>46115</v>
      </c>
      <c r="E57" s="123">
        <v>46115</v>
      </c>
      <c r="F57" s="122"/>
      <c r="G57" s="122">
        <v>872</v>
      </c>
      <c r="H57" s="122" t="s">
        <v>132</v>
      </c>
      <c r="I57" s="122">
        <v>3119</v>
      </c>
      <c r="J57" s="122">
        <v>418997</v>
      </c>
      <c r="K57" s="122"/>
      <c r="L57" s="122" t="s">
        <v>224</v>
      </c>
      <c r="M57" s="122" t="s">
        <v>160</v>
      </c>
      <c r="N57" s="122" t="s">
        <v>161</v>
      </c>
      <c r="O57" s="123">
        <v>46115</v>
      </c>
      <c r="P57" s="158">
        <v>568</v>
      </c>
      <c r="Q57" s="158" t="s">
        <v>67</v>
      </c>
      <c r="R57" s="158">
        <v>16.420000000000002</v>
      </c>
      <c r="S57" s="158">
        <v>7.33</v>
      </c>
      <c r="T57" s="158">
        <v>1.32</v>
      </c>
      <c r="U57" s="158">
        <v>550.26</v>
      </c>
      <c r="V57" s="163">
        <v>0</v>
      </c>
      <c r="W57" s="122"/>
      <c r="X57" s="162">
        <v>20260406</v>
      </c>
      <c r="Y57" s="122"/>
      <c r="Z57" s="122" t="s">
        <v>139</v>
      </c>
      <c r="AA57" s="122">
        <v>3908900</v>
      </c>
      <c r="AB57" s="122" t="s">
        <v>149</v>
      </c>
      <c r="AC57" s="122"/>
      <c r="AD57" s="122"/>
      <c r="AE57" s="129">
        <v>0.73</v>
      </c>
      <c r="AF57" s="122" t="s">
        <v>141</v>
      </c>
      <c r="AG57" s="139" t="s">
        <v>148</v>
      </c>
    </row>
    <row r="58" spans="1:33" x14ac:dyDescent="0.3">
      <c r="A58" s="121">
        <v>1044162</v>
      </c>
      <c r="B58" s="122" t="s">
        <v>162</v>
      </c>
      <c r="C58" s="122" t="s">
        <v>66</v>
      </c>
      <c r="D58" s="123">
        <v>46115</v>
      </c>
      <c r="E58" s="123">
        <v>46115</v>
      </c>
      <c r="F58" s="122"/>
      <c r="G58" s="122">
        <v>872</v>
      </c>
      <c r="H58" s="122">
        <v>65656565</v>
      </c>
      <c r="I58" s="122">
        <v>3125</v>
      </c>
      <c r="J58" s="122">
        <v>903667</v>
      </c>
      <c r="K58" s="122"/>
      <c r="L58" s="122" t="s">
        <v>225</v>
      </c>
      <c r="M58" s="122" t="s">
        <v>160</v>
      </c>
      <c r="N58" s="122" t="s">
        <v>161</v>
      </c>
      <c r="O58" s="123">
        <v>46115</v>
      </c>
      <c r="P58" s="158">
        <v>500</v>
      </c>
      <c r="Q58" s="158" t="s">
        <v>67</v>
      </c>
      <c r="R58" s="158">
        <v>14.45</v>
      </c>
      <c r="S58" s="158">
        <v>6.45</v>
      </c>
      <c r="T58" s="158">
        <v>1.1599999999999999</v>
      </c>
      <c r="U58" s="158">
        <v>484.39</v>
      </c>
      <c r="V58" s="163">
        <v>0</v>
      </c>
      <c r="W58" s="122"/>
      <c r="X58" s="162">
        <v>20260406</v>
      </c>
      <c r="Y58" s="122"/>
      <c r="Z58" s="122" t="s">
        <v>139</v>
      </c>
      <c r="AA58" s="122">
        <v>3908900</v>
      </c>
      <c r="AB58" s="122" t="s">
        <v>145</v>
      </c>
      <c r="AC58" s="122"/>
      <c r="AD58" s="122" t="s">
        <v>146</v>
      </c>
      <c r="AE58" s="129">
        <v>0.81469907407407405</v>
      </c>
      <c r="AF58" s="122" t="s">
        <v>141</v>
      </c>
      <c r="AG58" s="139" t="s">
        <v>148</v>
      </c>
    </row>
    <row r="59" spans="1:33" x14ac:dyDescent="0.3">
      <c r="A59" s="121">
        <v>1044162</v>
      </c>
      <c r="B59" s="122" t="s">
        <v>162</v>
      </c>
      <c r="C59" s="122" t="s">
        <v>66</v>
      </c>
      <c r="D59" s="123">
        <v>46115</v>
      </c>
      <c r="E59" s="123">
        <v>46115</v>
      </c>
      <c r="F59" s="122"/>
      <c r="G59" s="122">
        <v>872</v>
      </c>
      <c r="H59" s="122">
        <v>65656565</v>
      </c>
      <c r="I59" s="122">
        <v>3128</v>
      </c>
      <c r="J59" s="122">
        <v>904871</v>
      </c>
      <c r="K59" s="122"/>
      <c r="L59" s="122" t="s">
        <v>225</v>
      </c>
      <c r="M59" s="122" t="s">
        <v>160</v>
      </c>
      <c r="N59" s="122" t="s">
        <v>161</v>
      </c>
      <c r="O59" s="123">
        <v>46115</v>
      </c>
      <c r="P59" s="158">
        <v>449</v>
      </c>
      <c r="Q59" s="158" t="s">
        <v>67</v>
      </c>
      <c r="R59" s="158">
        <v>12.97</v>
      </c>
      <c r="S59" s="158">
        <v>5.79</v>
      </c>
      <c r="T59" s="158">
        <v>1.04</v>
      </c>
      <c r="U59" s="158">
        <v>434.99</v>
      </c>
      <c r="V59" s="163">
        <v>0</v>
      </c>
      <c r="W59" s="122"/>
      <c r="X59" s="162">
        <v>20260406</v>
      </c>
      <c r="Y59" s="122"/>
      <c r="Z59" s="122" t="s">
        <v>139</v>
      </c>
      <c r="AA59" s="122">
        <v>3908900</v>
      </c>
      <c r="AB59" s="122" t="s">
        <v>145</v>
      </c>
      <c r="AC59" s="122"/>
      <c r="AD59" s="122" t="s">
        <v>146</v>
      </c>
      <c r="AE59" s="129">
        <v>0.81520833333333342</v>
      </c>
      <c r="AF59" s="122" t="s">
        <v>141</v>
      </c>
      <c r="AG59" s="139" t="s">
        <v>148</v>
      </c>
    </row>
    <row r="60" spans="1:33" x14ac:dyDescent="0.3">
      <c r="A60" s="121">
        <v>1044162</v>
      </c>
      <c r="B60" s="122" t="s">
        <v>162</v>
      </c>
      <c r="C60" s="122" t="s">
        <v>66</v>
      </c>
      <c r="D60" s="123">
        <v>46115</v>
      </c>
      <c r="E60" s="123">
        <v>46115</v>
      </c>
      <c r="F60" s="122"/>
      <c r="G60" s="122">
        <v>872</v>
      </c>
      <c r="H60" s="122" t="s">
        <v>132</v>
      </c>
      <c r="I60" s="122">
        <v>3131</v>
      </c>
      <c r="J60" s="122">
        <v>911370</v>
      </c>
      <c r="K60" s="122"/>
      <c r="L60" s="122" t="s">
        <v>226</v>
      </c>
      <c r="M60" s="122" t="s">
        <v>160</v>
      </c>
      <c r="N60" s="122" t="s">
        <v>161</v>
      </c>
      <c r="O60" s="123">
        <v>46115</v>
      </c>
      <c r="P60" s="158">
        <v>1699</v>
      </c>
      <c r="Q60" s="158" t="s">
        <v>67</v>
      </c>
      <c r="R60" s="158">
        <v>49.1</v>
      </c>
      <c r="S60" s="158">
        <v>21.92</v>
      </c>
      <c r="T60" s="158">
        <v>3.95</v>
      </c>
      <c r="U60" s="158">
        <v>1645.95</v>
      </c>
      <c r="V60" s="163">
        <v>0</v>
      </c>
      <c r="W60" s="122"/>
      <c r="X60" s="162">
        <v>20260406</v>
      </c>
      <c r="Y60" s="122"/>
      <c r="Z60" s="122" t="s">
        <v>139</v>
      </c>
      <c r="AA60" s="122">
        <v>3908900</v>
      </c>
      <c r="AB60" s="122" t="s">
        <v>145</v>
      </c>
      <c r="AC60" s="122"/>
      <c r="AD60" s="122"/>
      <c r="AE60" s="129">
        <v>0.81798611111111119</v>
      </c>
      <c r="AF60" s="122" t="s">
        <v>141</v>
      </c>
      <c r="AG60" s="139" t="s">
        <v>148</v>
      </c>
    </row>
    <row r="61" spans="1:33" x14ac:dyDescent="0.3">
      <c r="A61" s="121">
        <v>1044162</v>
      </c>
      <c r="B61" s="122" t="s">
        <v>162</v>
      </c>
      <c r="C61" s="122" t="s">
        <v>66</v>
      </c>
      <c r="D61" s="123">
        <v>46115</v>
      </c>
      <c r="E61" s="123">
        <v>46115</v>
      </c>
      <c r="F61" s="122"/>
      <c r="G61" s="122">
        <v>872</v>
      </c>
      <c r="H61" s="122" t="s">
        <v>132</v>
      </c>
      <c r="I61" s="122">
        <v>3133</v>
      </c>
      <c r="J61" s="122">
        <v>5793</v>
      </c>
      <c r="K61" s="122"/>
      <c r="L61" s="122" t="s">
        <v>227</v>
      </c>
      <c r="M61" s="122" t="s">
        <v>160</v>
      </c>
      <c r="N61" s="122" t="s">
        <v>161</v>
      </c>
      <c r="O61" s="123">
        <v>46115</v>
      </c>
      <c r="P61" s="158">
        <v>1008</v>
      </c>
      <c r="Q61" s="158" t="s">
        <v>67</v>
      </c>
      <c r="R61" s="158">
        <v>29.13</v>
      </c>
      <c r="S61" s="158">
        <v>13</v>
      </c>
      <c r="T61" s="158">
        <v>2.34</v>
      </c>
      <c r="U61" s="158">
        <v>976.53</v>
      </c>
      <c r="V61" s="163">
        <v>0</v>
      </c>
      <c r="W61" s="122"/>
      <c r="X61" s="162">
        <v>20260406</v>
      </c>
      <c r="Y61" s="122"/>
      <c r="Z61" s="122" t="s">
        <v>139</v>
      </c>
      <c r="AA61" s="122">
        <v>3908900</v>
      </c>
      <c r="AB61" s="122" t="s">
        <v>145</v>
      </c>
      <c r="AC61" s="122"/>
      <c r="AD61" s="122"/>
      <c r="AE61" s="129">
        <v>0.82924768518518521</v>
      </c>
      <c r="AF61" s="122" t="s">
        <v>141</v>
      </c>
      <c r="AG61" s="139" t="s">
        <v>148</v>
      </c>
    </row>
    <row r="62" spans="1:33" x14ac:dyDescent="0.3">
      <c r="A62" s="121">
        <v>1044162</v>
      </c>
      <c r="B62" s="122" t="s">
        <v>162</v>
      </c>
      <c r="C62" s="122" t="s">
        <v>66</v>
      </c>
      <c r="D62" s="123">
        <v>46115</v>
      </c>
      <c r="E62" s="123">
        <v>46115</v>
      </c>
      <c r="F62" s="122"/>
      <c r="G62" s="122">
        <v>872</v>
      </c>
      <c r="H62" s="122">
        <v>65656565</v>
      </c>
      <c r="I62" s="122">
        <v>3135</v>
      </c>
      <c r="J62" s="122">
        <v>107237</v>
      </c>
      <c r="K62" s="122"/>
      <c r="L62" s="122" t="s">
        <v>228</v>
      </c>
      <c r="M62" s="122" t="s">
        <v>160</v>
      </c>
      <c r="N62" s="122" t="s">
        <v>161</v>
      </c>
      <c r="O62" s="123">
        <v>46115</v>
      </c>
      <c r="P62" s="158">
        <v>159</v>
      </c>
      <c r="Q62" s="158" t="s">
        <v>67</v>
      </c>
      <c r="R62" s="158">
        <v>4.59</v>
      </c>
      <c r="S62" s="158">
        <v>2.0499999999999998</v>
      </c>
      <c r="T62" s="158">
        <v>0.37</v>
      </c>
      <c r="U62" s="158">
        <v>154.04</v>
      </c>
      <c r="V62" s="163">
        <v>0</v>
      </c>
      <c r="W62" s="122"/>
      <c r="X62" s="162">
        <v>20260406</v>
      </c>
      <c r="Y62" s="122"/>
      <c r="Z62" s="122" t="s">
        <v>139</v>
      </c>
      <c r="AA62" s="122">
        <v>3908900</v>
      </c>
      <c r="AB62" s="122" t="s">
        <v>145</v>
      </c>
      <c r="AC62" s="122"/>
      <c r="AD62" s="122" t="s">
        <v>146</v>
      </c>
      <c r="AE62" s="129">
        <v>0.87374999999999992</v>
      </c>
      <c r="AF62" s="122" t="s">
        <v>141</v>
      </c>
      <c r="AG62" s="139" t="s">
        <v>148</v>
      </c>
    </row>
    <row r="63" spans="1:33" x14ac:dyDescent="0.3">
      <c r="A63" s="121">
        <v>1044162</v>
      </c>
      <c r="B63" s="122" t="s">
        <v>162</v>
      </c>
      <c r="C63" s="122" t="s">
        <v>66</v>
      </c>
      <c r="D63" s="123">
        <v>46115</v>
      </c>
      <c r="E63" s="123">
        <v>46115</v>
      </c>
      <c r="F63" s="122"/>
      <c r="G63" s="122">
        <v>872</v>
      </c>
      <c r="H63" s="122">
        <v>65656565</v>
      </c>
      <c r="I63" s="122">
        <v>3140</v>
      </c>
      <c r="J63" s="122">
        <v>213351</v>
      </c>
      <c r="K63" s="122"/>
      <c r="L63" s="122" t="s">
        <v>229</v>
      </c>
      <c r="M63" s="122" t="s">
        <v>160</v>
      </c>
      <c r="N63" s="122" t="s">
        <v>161</v>
      </c>
      <c r="O63" s="123">
        <v>46115</v>
      </c>
      <c r="P63" s="158">
        <v>529</v>
      </c>
      <c r="Q63" s="158" t="s">
        <v>67</v>
      </c>
      <c r="R63" s="158">
        <v>15.28</v>
      </c>
      <c r="S63" s="158">
        <v>6.82</v>
      </c>
      <c r="T63" s="158">
        <v>1.23</v>
      </c>
      <c r="U63" s="158">
        <v>512.49</v>
      </c>
      <c r="V63" s="161">
        <v>12163.11</v>
      </c>
      <c r="W63" s="123">
        <v>46118</v>
      </c>
      <c r="X63" s="162">
        <v>20260406</v>
      </c>
      <c r="Y63" s="122">
        <v>104101</v>
      </c>
      <c r="Z63" s="122" t="s">
        <v>139</v>
      </c>
      <c r="AA63" s="122">
        <v>3908900</v>
      </c>
      <c r="AB63" s="122" t="s">
        <v>148</v>
      </c>
      <c r="AC63" s="122"/>
      <c r="AD63" s="122" t="s">
        <v>163</v>
      </c>
      <c r="AE63" s="129">
        <v>0.90053240740740748</v>
      </c>
      <c r="AF63" s="122" t="s">
        <v>141</v>
      </c>
      <c r="AG63" s="139" t="s">
        <v>148</v>
      </c>
    </row>
    <row r="64" spans="1:33" x14ac:dyDescent="0.3">
      <c r="A64" s="121">
        <v>1044162</v>
      </c>
      <c r="B64" s="122" t="s">
        <v>159</v>
      </c>
      <c r="C64" s="122" t="s">
        <v>66</v>
      </c>
      <c r="D64" s="123">
        <v>46116</v>
      </c>
      <c r="E64" s="123">
        <v>46116</v>
      </c>
      <c r="F64" s="122"/>
      <c r="G64" s="122">
        <v>873</v>
      </c>
      <c r="H64" s="122" t="s">
        <v>132</v>
      </c>
      <c r="I64" s="122">
        <v>3150</v>
      </c>
      <c r="J64" s="122">
        <v>548270</v>
      </c>
      <c r="K64" s="122"/>
      <c r="L64" s="122" t="s">
        <v>230</v>
      </c>
      <c r="M64" s="122" t="s">
        <v>160</v>
      </c>
      <c r="N64" s="122" t="s">
        <v>161</v>
      </c>
      <c r="O64" s="123">
        <v>46116</v>
      </c>
      <c r="P64" s="158">
        <v>129</v>
      </c>
      <c r="Q64" s="158" t="s">
        <v>67</v>
      </c>
      <c r="R64" s="158">
        <v>3.73</v>
      </c>
      <c r="S64" s="158">
        <v>1.02</v>
      </c>
      <c r="T64" s="158">
        <v>0.18</v>
      </c>
      <c r="U64" s="158">
        <v>125.09</v>
      </c>
      <c r="V64" s="161">
        <v>125.09</v>
      </c>
      <c r="W64" s="123">
        <v>46118</v>
      </c>
      <c r="X64" s="162">
        <v>20260406</v>
      </c>
      <c r="Y64" s="122">
        <v>104101</v>
      </c>
      <c r="Z64" s="122" t="s">
        <v>142</v>
      </c>
      <c r="AA64" s="122">
        <v>3908900</v>
      </c>
      <c r="AB64" s="122" t="s">
        <v>143</v>
      </c>
      <c r="AC64" s="122"/>
      <c r="AD64" s="122"/>
      <c r="AE64" s="129">
        <v>0.45215277777777779</v>
      </c>
      <c r="AF64" s="122" t="s">
        <v>141</v>
      </c>
      <c r="AG64" s="139" t="s">
        <v>148</v>
      </c>
    </row>
    <row r="65" spans="1:33" x14ac:dyDescent="0.3">
      <c r="A65" s="121">
        <v>1044162</v>
      </c>
      <c r="B65" s="122" t="s">
        <v>162</v>
      </c>
      <c r="C65" s="122" t="s">
        <v>66</v>
      </c>
      <c r="D65" s="123">
        <v>46116</v>
      </c>
      <c r="E65" s="123">
        <v>46116</v>
      </c>
      <c r="F65" s="122"/>
      <c r="G65" s="122">
        <v>873</v>
      </c>
      <c r="H65" s="122" t="s">
        <v>132</v>
      </c>
      <c r="I65" s="122">
        <v>3152</v>
      </c>
      <c r="J65" s="122">
        <v>35184</v>
      </c>
      <c r="K65" s="122"/>
      <c r="L65" s="122" t="s">
        <v>231</v>
      </c>
      <c r="M65" s="122" t="s">
        <v>160</v>
      </c>
      <c r="N65" s="122" t="s">
        <v>161</v>
      </c>
      <c r="O65" s="123">
        <v>46116</v>
      </c>
      <c r="P65" s="158">
        <v>529</v>
      </c>
      <c r="Q65" s="158" t="s">
        <v>67</v>
      </c>
      <c r="R65" s="158">
        <v>15.29</v>
      </c>
      <c r="S65" s="158">
        <v>6.83</v>
      </c>
      <c r="T65" s="158">
        <v>1.23</v>
      </c>
      <c r="U65" s="158">
        <v>512.48</v>
      </c>
      <c r="V65" s="163">
        <v>0</v>
      </c>
      <c r="W65" s="122"/>
      <c r="X65" s="162">
        <v>20260406</v>
      </c>
      <c r="Y65" s="122"/>
      <c r="Z65" s="122" t="s">
        <v>139</v>
      </c>
      <c r="AA65" s="122">
        <v>3908900</v>
      </c>
      <c r="AB65" s="122" t="s">
        <v>152</v>
      </c>
      <c r="AC65" s="122"/>
      <c r="AD65" s="122"/>
      <c r="AE65" s="129">
        <v>0.47055555555555556</v>
      </c>
      <c r="AF65" s="122" t="s">
        <v>141</v>
      </c>
      <c r="AG65" s="139" t="s">
        <v>148</v>
      </c>
    </row>
    <row r="66" spans="1:33" x14ac:dyDescent="0.3">
      <c r="A66" s="121">
        <v>1044162</v>
      </c>
      <c r="B66" s="122" t="s">
        <v>162</v>
      </c>
      <c r="C66" s="122" t="s">
        <v>66</v>
      </c>
      <c r="D66" s="123">
        <v>46116</v>
      </c>
      <c r="E66" s="123">
        <v>46116</v>
      </c>
      <c r="F66" s="122"/>
      <c r="G66" s="122">
        <v>873</v>
      </c>
      <c r="H66" s="122" t="s">
        <v>132</v>
      </c>
      <c r="I66" s="122">
        <v>3154</v>
      </c>
      <c r="J66" s="122">
        <v>688895</v>
      </c>
      <c r="K66" s="122"/>
      <c r="L66" s="122" t="s">
        <v>232</v>
      </c>
      <c r="M66" s="122" t="s">
        <v>160</v>
      </c>
      <c r="N66" s="122" t="s">
        <v>161</v>
      </c>
      <c r="O66" s="123">
        <v>46116</v>
      </c>
      <c r="P66" s="158">
        <v>459</v>
      </c>
      <c r="Q66" s="158" t="s">
        <v>67</v>
      </c>
      <c r="R66" s="158">
        <v>13.27</v>
      </c>
      <c r="S66" s="158">
        <v>5.93</v>
      </c>
      <c r="T66" s="158">
        <v>1.07</v>
      </c>
      <c r="U66" s="158">
        <v>444.66</v>
      </c>
      <c r="V66" s="163">
        <v>0</v>
      </c>
      <c r="W66" s="122"/>
      <c r="X66" s="162">
        <v>20260406</v>
      </c>
      <c r="Y66" s="122"/>
      <c r="Z66" s="122" t="s">
        <v>139</v>
      </c>
      <c r="AA66" s="122">
        <v>3908900</v>
      </c>
      <c r="AB66" s="122" t="s">
        <v>145</v>
      </c>
      <c r="AC66" s="122"/>
      <c r="AD66" s="122"/>
      <c r="AE66" s="129">
        <v>0.48994212962962963</v>
      </c>
      <c r="AF66" s="122" t="s">
        <v>141</v>
      </c>
      <c r="AG66" s="139" t="s">
        <v>148</v>
      </c>
    </row>
    <row r="67" spans="1:33" x14ac:dyDescent="0.3">
      <c r="A67" s="121">
        <v>1044162</v>
      </c>
      <c r="B67" s="122" t="s">
        <v>162</v>
      </c>
      <c r="C67" s="122" t="s">
        <v>66</v>
      </c>
      <c r="D67" s="123">
        <v>46116</v>
      </c>
      <c r="E67" s="123">
        <v>46116</v>
      </c>
      <c r="F67" s="122"/>
      <c r="G67" s="122">
        <v>873</v>
      </c>
      <c r="H67" s="122" t="s">
        <v>132</v>
      </c>
      <c r="I67" s="122">
        <v>3156</v>
      </c>
      <c r="J67" s="122">
        <v>120628</v>
      </c>
      <c r="K67" s="122"/>
      <c r="L67" s="122" t="s">
        <v>168</v>
      </c>
      <c r="M67" s="122" t="s">
        <v>160</v>
      </c>
      <c r="N67" s="122" t="s">
        <v>161</v>
      </c>
      <c r="O67" s="123">
        <v>46116</v>
      </c>
      <c r="P67" s="158">
        <v>534</v>
      </c>
      <c r="Q67" s="158" t="s">
        <v>67</v>
      </c>
      <c r="R67" s="158">
        <v>15.43</v>
      </c>
      <c r="S67" s="158">
        <v>4.22</v>
      </c>
      <c r="T67" s="158">
        <v>0.76</v>
      </c>
      <c r="U67" s="158">
        <v>517.80999999999995</v>
      </c>
      <c r="V67" s="163">
        <v>0</v>
      </c>
      <c r="W67" s="122"/>
      <c r="X67" s="162">
        <v>20260406</v>
      </c>
      <c r="Y67" s="122"/>
      <c r="Z67" s="122" t="s">
        <v>139</v>
      </c>
      <c r="AA67" s="122">
        <v>3908900</v>
      </c>
      <c r="AB67" s="122" t="s">
        <v>147</v>
      </c>
      <c r="AC67" s="122"/>
      <c r="AD67" s="122"/>
      <c r="AE67" s="129">
        <v>0.50375000000000003</v>
      </c>
      <c r="AF67" s="122" t="s">
        <v>141</v>
      </c>
      <c r="AG67" s="139" t="s">
        <v>148</v>
      </c>
    </row>
    <row r="68" spans="1:33" x14ac:dyDescent="0.3">
      <c r="A68" s="121">
        <v>1044162</v>
      </c>
      <c r="B68" s="122" t="s">
        <v>162</v>
      </c>
      <c r="C68" s="122" t="s">
        <v>66</v>
      </c>
      <c r="D68" s="123">
        <v>46116</v>
      </c>
      <c r="E68" s="123">
        <v>46116</v>
      </c>
      <c r="F68" s="122"/>
      <c r="G68" s="122">
        <v>873</v>
      </c>
      <c r="H68" s="122" t="s">
        <v>132</v>
      </c>
      <c r="I68" s="122">
        <v>3158</v>
      </c>
      <c r="J68" s="122">
        <v>121508</v>
      </c>
      <c r="K68" s="122"/>
      <c r="L68" s="122" t="s">
        <v>165</v>
      </c>
      <c r="M68" s="122" t="s">
        <v>160</v>
      </c>
      <c r="N68" s="122" t="s">
        <v>161</v>
      </c>
      <c r="O68" s="123">
        <v>46116</v>
      </c>
      <c r="P68" s="158">
        <v>597</v>
      </c>
      <c r="Q68" s="158" t="s">
        <v>67</v>
      </c>
      <c r="R68" s="158">
        <v>17.25</v>
      </c>
      <c r="S68" s="158">
        <v>4.71</v>
      </c>
      <c r="T68" s="158">
        <v>0.85</v>
      </c>
      <c r="U68" s="158">
        <v>578.9</v>
      </c>
      <c r="V68" s="163">
        <v>0</v>
      </c>
      <c r="W68" s="122"/>
      <c r="X68" s="162">
        <v>20260406</v>
      </c>
      <c r="Y68" s="122"/>
      <c r="Z68" s="122" t="s">
        <v>139</v>
      </c>
      <c r="AA68" s="122">
        <v>3908900</v>
      </c>
      <c r="AB68" s="122" t="s">
        <v>147</v>
      </c>
      <c r="AC68" s="122"/>
      <c r="AD68" s="122"/>
      <c r="AE68" s="129">
        <v>0.50976851851851845</v>
      </c>
      <c r="AF68" s="122" t="s">
        <v>141</v>
      </c>
      <c r="AG68" s="139" t="s">
        <v>148</v>
      </c>
    </row>
    <row r="69" spans="1:33" x14ac:dyDescent="0.3">
      <c r="A69" s="121">
        <v>1044162</v>
      </c>
      <c r="B69" s="122" t="s">
        <v>162</v>
      </c>
      <c r="C69" s="122" t="s">
        <v>66</v>
      </c>
      <c r="D69" s="123">
        <v>46116</v>
      </c>
      <c r="E69" s="123">
        <v>46116</v>
      </c>
      <c r="F69" s="122"/>
      <c r="G69" s="122">
        <v>873</v>
      </c>
      <c r="H69" s="122" t="s">
        <v>132</v>
      </c>
      <c r="I69" s="122">
        <v>3160</v>
      </c>
      <c r="J69" s="122">
        <v>623572</v>
      </c>
      <c r="K69" s="122"/>
      <c r="L69" s="122" t="s">
        <v>233</v>
      </c>
      <c r="M69" s="122" t="s">
        <v>160</v>
      </c>
      <c r="N69" s="122" t="s">
        <v>161</v>
      </c>
      <c r="O69" s="123">
        <v>46116</v>
      </c>
      <c r="P69" s="158">
        <v>89</v>
      </c>
      <c r="Q69" s="158" t="s">
        <v>67</v>
      </c>
      <c r="R69" s="158">
        <v>2.57</v>
      </c>
      <c r="S69" s="158">
        <v>1.1499999999999999</v>
      </c>
      <c r="T69" s="158">
        <v>0.21</v>
      </c>
      <c r="U69" s="158">
        <v>86.22</v>
      </c>
      <c r="V69" s="163">
        <v>0</v>
      </c>
      <c r="W69" s="122"/>
      <c r="X69" s="162">
        <v>20260406</v>
      </c>
      <c r="Y69" s="122"/>
      <c r="Z69" s="122" t="s">
        <v>139</v>
      </c>
      <c r="AA69" s="122">
        <v>3908900</v>
      </c>
      <c r="AB69" s="122" t="s">
        <v>147</v>
      </c>
      <c r="AC69" s="122"/>
      <c r="AD69" s="122"/>
      <c r="AE69" s="129">
        <v>0.54378472222222218</v>
      </c>
      <c r="AF69" s="122" t="s">
        <v>141</v>
      </c>
      <c r="AG69" s="139" t="s">
        <v>148</v>
      </c>
    </row>
    <row r="70" spans="1:33" x14ac:dyDescent="0.3">
      <c r="A70" s="121">
        <v>1044162</v>
      </c>
      <c r="B70" s="122" t="s">
        <v>162</v>
      </c>
      <c r="C70" s="122" t="s">
        <v>66</v>
      </c>
      <c r="D70" s="123">
        <v>46116</v>
      </c>
      <c r="E70" s="123">
        <v>46116</v>
      </c>
      <c r="F70" s="122"/>
      <c r="G70" s="122">
        <v>873</v>
      </c>
      <c r="H70" s="122" t="s">
        <v>132</v>
      </c>
      <c r="I70" s="122">
        <v>3162</v>
      </c>
      <c r="J70" s="122">
        <v>943369</v>
      </c>
      <c r="K70" s="122"/>
      <c r="L70" s="122" t="s">
        <v>234</v>
      </c>
      <c r="M70" s="122" t="s">
        <v>160</v>
      </c>
      <c r="N70" s="122" t="s">
        <v>161</v>
      </c>
      <c r="O70" s="123">
        <v>46116</v>
      </c>
      <c r="P70" s="158">
        <v>268</v>
      </c>
      <c r="Q70" s="158" t="s">
        <v>67</v>
      </c>
      <c r="R70" s="158">
        <v>7.75</v>
      </c>
      <c r="S70" s="158">
        <v>3.46</v>
      </c>
      <c r="T70" s="158">
        <v>0.62</v>
      </c>
      <c r="U70" s="158">
        <v>259.63</v>
      </c>
      <c r="V70" s="163">
        <v>0</v>
      </c>
      <c r="W70" s="122"/>
      <c r="X70" s="162">
        <v>20260406</v>
      </c>
      <c r="Y70" s="122"/>
      <c r="Z70" s="122" t="s">
        <v>139</v>
      </c>
      <c r="AA70" s="122">
        <v>3908900</v>
      </c>
      <c r="AB70" s="122" t="s">
        <v>145</v>
      </c>
      <c r="AC70" s="122"/>
      <c r="AD70" s="122"/>
      <c r="AE70" s="129">
        <v>0.55151620370370369</v>
      </c>
      <c r="AF70" s="122" t="s">
        <v>141</v>
      </c>
      <c r="AG70" s="139" t="s">
        <v>148</v>
      </c>
    </row>
    <row r="71" spans="1:33" x14ac:dyDescent="0.3">
      <c r="A71" s="121">
        <v>1044162</v>
      </c>
      <c r="B71" s="122" t="s">
        <v>162</v>
      </c>
      <c r="C71" s="122" t="s">
        <v>66</v>
      </c>
      <c r="D71" s="123">
        <v>46116</v>
      </c>
      <c r="E71" s="123">
        <v>46116</v>
      </c>
      <c r="F71" s="122"/>
      <c r="G71" s="122">
        <v>873</v>
      </c>
      <c r="H71" s="122" t="s">
        <v>132</v>
      </c>
      <c r="I71" s="122">
        <v>3164</v>
      </c>
      <c r="J71" s="122">
        <v>67110</v>
      </c>
      <c r="K71" s="122"/>
      <c r="L71" s="122" t="s">
        <v>235</v>
      </c>
      <c r="M71" s="122" t="s">
        <v>160</v>
      </c>
      <c r="N71" s="122" t="s">
        <v>161</v>
      </c>
      <c r="O71" s="123">
        <v>46116</v>
      </c>
      <c r="P71" s="158">
        <v>69</v>
      </c>
      <c r="Q71" s="158" t="s">
        <v>67</v>
      </c>
      <c r="R71" s="158">
        <v>1.99</v>
      </c>
      <c r="S71" s="158">
        <v>0.89</v>
      </c>
      <c r="T71" s="158">
        <v>0.16</v>
      </c>
      <c r="U71" s="158">
        <v>66.849999999999994</v>
      </c>
      <c r="V71" s="163">
        <v>0</v>
      </c>
      <c r="W71" s="122"/>
      <c r="X71" s="162">
        <v>20260406</v>
      </c>
      <c r="Y71" s="122"/>
      <c r="Z71" s="122" t="s">
        <v>139</v>
      </c>
      <c r="AA71" s="122">
        <v>3908900</v>
      </c>
      <c r="AB71" s="122" t="s">
        <v>145</v>
      </c>
      <c r="AC71" s="122"/>
      <c r="AD71" s="122"/>
      <c r="AE71" s="129">
        <v>0.63145833333333334</v>
      </c>
      <c r="AF71" s="122" t="s">
        <v>141</v>
      </c>
      <c r="AG71" s="139" t="s">
        <v>148</v>
      </c>
    </row>
    <row r="72" spans="1:33" x14ac:dyDescent="0.3">
      <c r="A72" s="121">
        <v>1044162</v>
      </c>
      <c r="B72" s="122" t="s">
        <v>162</v>
      </c>
      <c r="C72" s="122" t="s">
        <v>66</v>
      </c>
      <c r="D72" s="123">
        <v>46116</v>
      </c>
      <c r="E72" s="123">
        <v>46116</v>
      </c>
      <c r="F72" s="122"/>
      <c r="G72" s="122">
        <v>873</v>
      </c>
      <c r="H72" s="122" t="s">
        <v>132</v>
      </c>
      <c r="I72" s="122">
        <v>3175</v>
      </c>
      <c r="J72" s="122">
        <v>512272</v>
      </c>
      <c r="K72" s="122">
        <v>5</v>
      </c>
      <c r="L72" s="122" t="s">
        <v>236</v>
      </c>
      <c r="M72" s="122" t="s">
        <v>160</v>
      </c>
      <c r="N72" s="122" t="s">
        <v>161</v>
      </c>
      <c r="O72" s="123">
        <v>46116</v>
      </c>
      <c r="P72" s="158">
        <v>529</v>
      </c>
      <c r="Q72" s="158" t="s">
        <v>67</v>
      </c>
      <c r="R72" s="158">
        <v>15.29</v>
      </c>
      <c r="S72" s="158">
        <v>4.18</v>
      </c>
      <c r="T72" s="158">
        <v>0.75</v>
      </c>
      <c r="U72" s="158">
        <v>512.96</v>
      </c>
      <c r="V72" s="163">
        <v>0</v>
      </c>
      <c r="W72" s="122"/>
      <c r="X72" s="162">
        <v>20260406</v>
      </c>
      <c r="Y72" s="122"/>
      <c r="Z72" s="122" t="s">
        <v>142</v>
      </c>
      <c r="AA72" s="122">
        <v>3908900</v>
      </c>
      <c r="AB72" s="122" t="s">
        <v>147</v>
      </c>
      <c r="AC72" s="122" t="s">
        <v>144</v>
      </c>
      <c r="AD72" s="122"/>
      <c r="AE72" s="129">
        <v>0.66057870370370375</v>
      </c>
      <c r="AF72" s="122" t="s">
        <v>141</v>
      </c>
      <c r="AG72" s="139" t="s">
        <v>148</v>
      </c>
    </row>
    <row r="73" spans="1:33" x14ac:dyDescent="0.3">
      <c r="A73" s="121">
        <v>1044162</v>
      </c>
      <c r="B73" s="122" t="s">
        <v>162</v>
      </c>
      <c r="C73" s="122" t="s">
        <v>66</v>
      </c>
      <c r="D73" s="123">
        <v>46116</v>
      </c>
      <c r="E73" s="123">
        <v>46116</v>
      </c>
      <c r="F73" s="122"/>
      <c r="G73" s="122">
        <v>873</v>
      </c>
      <c r="H73" s="122" t="s">
        <v>132</v>
      </c>
      <c r="I73" s="122">
        <v>3177</v>
      </c>
      <c r="J73" s="122">
        <v>564684</v>
      </c>
      <c r="K73" s="122"/>
      <c r="L73" s="122" t="s">
        <v>237</v>
      </c>
      <c r="M73" s="122" t="s">
        <v>160</v>
      </c>
      <c r="N73" s="122" t="s">
        <v>161</v>
      </c>
      <c r="O73" s="123">
        <v>46116</v>
      </c>
      <c r="P73" s="158">
        <v>629</v>
      </c>
      <c r="Q73" s="158" t="s">
        <v>67</v>
      </c>
      <c r="R73" s="158">
        <v>18.18</v>
      </c>
      <c r="S73" s="158">
        <v>4.97</v>
      </c>
      <c r="T73" s="158">
        <v>0.89</v>
      </c>
      <c r="U73" s="158">
        <v>609.92999999999995</v>
      </c>
      <c r="V73" s="163">
        <v>0</v>
      </c>
      <c r="W73" s="122"/>
      <c r="X73" s="162">
        <v>20260406</v>
      </c>
      <c r="Y73" s="122"/>
      <c r="Z73" s="122" t="s">
        <v>142</v>
      </c>
      <c r="AA73" s="122">
        <v>3908900</v>
      </c>
      <c r="AB73" s="122" t="s">
        <v>149</v>
      </c>
      <c r="AC73" s="122"/>
      <c r="AD73" s="122"/>
      <c r="AE73" s="129">
        <v>0.67142361111111104</v>
      </c>
      <c r="AF73" s="122" t="s">
        <v>141</v>
      </c>
      <c r="AG73" s="139" t="s">
        <v>148</v>
      </c>
    </row>
    <row r="74" spans="1:33" x14ac:dyDescent="0.3">
      <c r="A74" s="121">
        <v>1044162</v>
      </c>
      <c r="B74" s="122" t="s">
        <v>162</v>
      </c>
      <c r="C74" s="122" t="s">
        <v>66</v>
      </c>
      <c r="D74" s="123">
        <v>46116</v>
      </c>
      <c r="E74" s="123">
        <v>46116</v>
      </c>
      <c r="F74" s="122"/>
      <c r="G74" s="122">
        <v>873</v>
      </c>
      <c r="H74" s="122" t="s">
        <v>132</v>
      </c>
      <c r="I74" s="122">
        <v>3179</v>
      </c>
      <c r="J74" s="122">
        <v>98141</v>
      </c>
      <c r="K74" s="122"/>
      <c r="L74" s="122" t="s">
        <v>238</v>
      </c>
      <c r="M74" s="122" t="s">
        <v>160</v>
      </c>
      <c r="N74" s="122" t="s">
        <v>161</v>
      </c>
      <c r="O74" s="123">
        <v>46116</v>
      </c>
      <c r="P74" s="158">
        <v>1799</v>
      </c>
      <c r="Q74" s="158" t="s">
        <v>67</v>
      </c>
      <c r="R74" s="158">
        <v>51.99</v>
      </c>
      <c r="S74" s="158">
        <v>23.21</v>
      </c>
      <c r="T74" s="158">
        <v>4.18</v>
      </c>
      <c r="U74" s="158">
        <v>1742.83</v>
      </c>
      <c r="V74" s="163">
        <v>0</v>
      </c>
      <c r="W74" s="122"/>
      <c r="X74" s="162">
        <v>20260406</v>
      </c>
      <c r="Y74" s="122"/>
      <c r="Z74" s="122" t="s">
        <v>139</v>
      </c>
      <c r="AA74" s="122">
        <v>3908900</v>
      </c>
      <c r="AB74" s="122" t="s">
        <v>152</v>
      </c>
      <c r="AC74" s="122"/>
      <c r="AD74" s="122"/>
      <c r="AE74" s="129">
        <v>0.68006944444444439</v>
      </c>
      <c r="AF74" s="122" t="s">
        <v>141</v>
      </c>
      <c r="AG74" s="139" t="s">
        <v>148</v>
      </c>
    </row>
    <row r="75" spans="1:33" x14ac:dyDescent="0.3">
      <c r="A75" s="121">
        <v>1044162</v>
      </c>
      <c r="B75" s="122" t="s">
        <v>162</v>
      </c>
      <c r="C75" s="122" t="s">
        <v>66</v>
      </c>
      <c r="D75" s="123">
        <v>46116</v>
      </c>
      <c r="E75" s="123">
        <v>46116</v>
      </c>
      <c r="F75" s="122"/>
      <c r="G75" s="122">
        <v>873</v>
      </c>
      <c r="H75" s="122" t="s">
        <v>132</v>
      </c>
      <c r="I75" s="122">
        <v>3183</v>
      </c>
      <c r="J75" s="122">
        <v>8454</v>
      </c>
      <c r="K75" s="122"/>
      <c r="L75" s="122" t="s">
        <v>239</v>
      </c>
      <c r="M75" s="122" t="s">
        <v>160</v>
      </c>
      <c r="N75" s="122" t="s">
        <v>161</v>
      </c>
      <c r="O75" s="123">
        <v>46116</v>
      </c>
      <c r="P75" s="158">
        <v>1999</v>
      </c>
      <c r="Q75" s="158" t="s">
        <v>67</v>
      </c>
      <c r="R75" s="158">
        <v>57.77</v>
      </c>
      <c r="S75" s="158">
        <v>7.79</v>
      </c>
      <c r="T75" s="158">
        <v>1.4</v>
      </c>
      <c r="U75" s="158">
        <v>1939.83</v>
      </c>
      <c r="V75" s="163">
        <v>0</v>
      </c>
      <c r="W75" s="122"/>
      <c r="X75" s="162">
        <v>20260406</v>
      </c>
      <c r="Y75" s="122"/>
      <c r="Z75" s="122" t="s">
        <v>142</v>
      </c>
      <c r="AA75" s="122">
        <v>3908900</v>
      </c>
      <c r="AB75" s="122" t="s">
        <v>145</v>
      </c>
      <c r="AC75" s="122"/>
      <c r="AD75" s="122"/>
      <c r="AE75" s="129">
        <v>0.6888657407407407</v>
      </c>
      <c r="AF75" s="122" t="s">
        <v>141</v>
      </c>
      <c r="AG75" s="139" t="s">
        <v>148</v>
      </c>
    </row>
    <row r="76" spans="1:33" x14ac:dyDescent="0.3">
      <c r="A76" s="121">
        <v>1044162</v>
      </c>
      <c r="B76" s="122" t="s">
        <v>162</v>
      </c>
      <c r="C76" s="122" t="s">
        <v>66</v>
      </c>
      <c r="D76" s="123">
        <v>46116</v>
      </c>
      <c r="E76" s="123">
        <v>46116</v>
      </c>
      <c r="F76" s="122"/>
      <c r="G76" s="122">
        <v>873</v>
      </c>
      <c r="H76" s="122" t="s">
        <v>132</v>
      </c>
      <c r="I76" s="122">
        <v>3185</v>
      </c>
      <c r="J76" s="122">
        <v>589811</v>
      </c>
      <c r="K76" s="122">
        <v>2</v>
      </c>
      <c r="L76" s="122" t="s">
        <v>240</v>
      </c>
      <c r="M76" s="122" t="s">
        <v>160</v>
      </c>
      <c r="N76" s="122" t="s">
        <v>161</v>
      </c>
      <c r="O76" s="123">
        <v>46116</v>
      </c>
      <c r="P76" s="158">
        <v>89</v>
      </c>
      <c r="Q76" s="158" t="s">
        <v>67</v>
      </c>
      <c r="R76" s="158">
        <v>2.57</v>
      </c>
      <c r="S76" s="158">
        <v>0.7</v>
      </c>
      <c r="T76" s="158">
        <v>0.13</v>
      </c>
      <c r="U76" s="158">
        <v>86.3</v>
      </c>
      <c r="V76" s="163">
        <v>0</v>
      </c>
      <c r="W76" s="122"/>
      <c r="X76" s="162">
        <v>20260406</v>
      </c>
      <c r="Y76" s="122"/>
      <c r="Z76" s="122" t="s">
        <v>142</v>
      </c>
      <c r="AA76" s="122">
        <v>3908900</v>
      </c>
      <c r="AB76" s="122" t="s">
        <v>149</v>
      </c>
      <c r="AC76" s="122" t="s">
        <v>144</v>
      </c>
      <c r="AD76" s="122"/>
      <c r="AE76" s="129">
        <v>0.70550925925925922</v>
      </c>
      <c r="AF76" s="122" t="s">
        <v>141</v>
      </c>
      <c r="AG76" s="139" t="s">
        <v>148</v>
      </c>
    </row>
    <row r="77" spans="1:33" x14ac:dyDescent="0.3">
      <c r="A77" s="121">
        <v>1044162</v>
      </c>
      <c r="B77" s="122" t="s">
        <v>162</v>
      </c>
      <c r="C77" s="122" t="s">
        <v>66</v>
      </c>
      <c r="D77" s="123">
        <v>46116</v>
      </c>
      <c r="E77" s="123">
        <v>46116</v>
      </c>
      <c r="F77" s="122"/>
      <c r="G77" s="122">
        <v>873</v>
      </c>
      <c r="H77" s="122" t="s">
        <v>132</v>
      </c>
      <c r="I77" s="122">
        <v>3187</v>
      </c>
      <c r="J77" s="122">
        <v>7759</v>
      </c>
      <c r="K77" s="122">
        <v>2</v>
      </c>
      <c r="L77" s="122" t="s">
        <v>241</v>
      </c>
      <c r="M77" s="122" t="s">
        <v>160</v>
      </c>
      <c r="N77" s="122" t="s">
        <v>161</v>
      </c>
      <c r="O77" s="123">
        <v>46116</v>
      </c>
      <c r="P77" s="158">
        <v>129</v>
      </c>
      <c r="Q77" s="158" t="s">
        <v>67</v>
      </c>
      <c r="R77" s="158">
        <v>3.73</v>
      </c>
      <c r="S77" s="158">
        <v>1.02</v>
      </c>
      <c r="T77" s="158">
        <v>0.18</v>
      </c>
      <c r="U77" s="158">
        <v>125.09</v>
      </c>
      <c r="V77" s="163">
        <v>0</v>
      </c>
      <c r="W77" s="122"/>
      <c r="X77" s="162">
        <v>20260406</v>
      </c>
      <c r="Y77" s="122"/>
      <c r="Z77" s="122" t="s">
        <v>142</v>
      </c>
      <c r="AA77" s="122">
        <v>3908900</v>
      </c>
      <c r="AB77" s="122" t="s">
        <v>145</v>
      </c>
      <c r="AC77" s="122" t="s">
        <v>144</v>
      </c>
      <c r="AD77" s="122"/>
      <c r="AE77" s="129">
        <v>0.75651620370370365</v>
      </c>
      <c r="AF77" s="122" t="s">
        <v>141</v>
      </c>
      <c r="AG77" s="139" t="s">
        <v>148</v>
      </c>
    </row>
    <row r="78" spans="1:33" x14ac:dyDescent="0.3">
      <c r="A78" s="121">
        <v>1044162</v>
      </c>
      <c r="B78" s="122" t="s">
        <v>162</v>
      </c>
      <c r="C78" s="122" t="s">
        <v>66</v>
      </c>
      <c r="D78" s="123">
        <v>46116</v>
      </c>
      <c r="E78" s="123">
        <v>46116</v>
      </c>
      <c r="F78" s="122"/>
      <c r="G78" s="122">
        <v>873</v>
      </c>
      <c r="H78" s="122">
        <v>65656565</v>
      </c>
      <c r="I78" s="157">
        <v>3189</v>
      </c>
      <c r="J78" s="157">
        <v>400849</v>
      </c>
      <c r="K78" s="122"/>
      <c r="L78" s="157" t="s">
        <v>242</v>
      </c>
      <c r="M78" s="122" t="s">
        <v>160</v>
      </c>
      <c r="N78" s="122" t="s">
        <v>161</v>
      </c>
      <c r="O78" s="159">
        <v>46116</v>
      </c>
      <c r="P78" s="160">
        <v>75</v>
      </c>
      <c r="Q78" s="160" t="s">
        <v>67</v>
      </c>
      <c r="R78" s="158">
        <v>2.16</v>
      </c>
      <c r="S78" s="158">
        <v>0.96</v>
      </c>
      <c r="T78" s="158">
        <v>0.17</v>
      </c>
      <c r="U78" s="158">
        <v>72.67</v>
      </c>
      <c r="V78" s="163">
        <v>0</v>
      </c>
      <c r="W78" s="122"/>
      <c r="X78" s="162">
        <v>20260406</v>
      </c>
      <c r="Y78" s="122"/>
      <c r="Z78" s="122" t="s">
        <v>139</v>
      </c>
      <c r="AA78" s="122">
        <v>3908900</v>
      </c>
      <c r="AB78" s="122" t="s">
        <v>145</v>
      </c>
      <c r="AC78" s="122"/>
      <c r="AD78" s="122" t="s">
        <v>146</v>
      </c>
      <c r="AE78" s="129">
        <v>0.76459490740740732</v>
      </c>
      <c r="AF78" s="122" t="s">
        <v>141</v>
      </c>
      <c r="AG78" s="139" t="s">
        <v>148</v>
      </c>
    </row>
    <row r="79" spans="1:33" x14ac:dyDescent="0.3">
      <c r="A79" s="121">
        <v>1044162</v>
      </c>
      <c r="B79" s="122" t="s">
        <v>162</v>
      </c>
      <c r="C79" s="122" t="s">
        <v>66</v>
      </c>
      <c r="D79" s="123">
        <v>46116</v>
      </c>
      <c r="E79" s="123">
        <v>46116</v>
      </c>
      <c r="F79" s="122"/>
      <c r="G79" s="122">
        <v>873</v>
      </c>
      <c r="H79" s="122" t="s">
        <v>132</v>
      </c>
      <c r="I79" s="122">
        <v>3192</v>
      </c>
      <c r="J79" s="122">
        <v>9235</v>
      </c>
      <c r="K79" s="122"/>
      <c r="L79" s="122" t="s">
        <v>243</v>
      </c>
      <c r="M79" s="122" t="s">
        <v>160</v>
      </c>
      <c r="N79" s="122" t="s">
        <v>161</v>
      </c>
      <c r="O79" s="123">
        <v>46116</v>
      </c>
      <c r="P79" s="158">
        <v>1799</v>
      </c>
      <c r="Q79" s="158" t="s">
        <v>67</v>
      </c>
      <c r="R79" s="158">
        <v>51.99</v>
      </c>
      <c r="S79" s="158">
        <v>14.21</v>
      </c>
      <c r="T79" s="158">
        <v>2.56</v>
      </c>
      <c r="U79" s="158">
        <v>1744.45</v>
      </c>
      <c r="V79" s="163">
        <v>0</v>
      </c>
      <c r="W79" s="122"/>
      <c r="X79" s="162">
        <v>20260406</v>
      </c>
      <c r="Y79" s="122"/>
      <c r="Z79" s="122" t="s">
        <v>142</v>
      </c>
      <c r="AA79" s="122">
        <v>3908900</v>
      </c>
      <c r="AB79" s="122" t="s">
        <v>145</v>
      </c>
      <c r="AC79" s="122"/>
      <c r="AD79" s="122"/>
      <c r="AE79" s="129">
        <v>0.78049768518518514</v>
      </c>
      <c r="AF79" s="122" t="s">
        <v>141</v>
      </c>
      <c r="AG79" s="139" t="s">
        <v>148</v>
      </c>
    </row>
    <row r="80" spans="1:33" x14ac:dyDescent="0.3">
      <c r="A80" s="121">
        <v>1044162</v>
      </c>
      <c r="B80" s="122" t="s">
        <v>162</v>
      </c>
      <c r="C80" s="122" t="s">
        <v>66</v>
      </c>
      <c r="D80" s="123">
        <v>46116</v>
      </c>
      <c r="E80" s="123">
        <v>46116</v>
      </c>
      <c r="F80" s="122"/>
      <c r="G80" s="122">
        <v>873</v>
      </c>
      <c r="H80" s="122" t="s">
        <v>132</v>
      </c>
      <c r="I80" s="122">
        <v>3195</v>
      </c>
      <c r="J80" s="122">
        <v>417769</v>
      </c>
      <c r="K80" s="122"/>
      <c r="L80" s="122" t="s">
        <v>244</v>
      </c>
      <c r="M80" s="122" t="s">
        <v>160</v>
      </c>
      <c r="N80" s="122" t="s">
        <v>161</v>
      </c>
      <c r="O80" s="123">
        <v>46116</v>
      </c>
      <c r="P80" s="158">
        <v>179</v>
      </c>
      <c r="Q80" s="158" t="s">
        <v>67</v>
      </c>
      <c r="R80" s="158">
        <v>5.17</v>
      </c>
      <c r="S80" s="158">
        <v>2.31</v>
      </c>
      <c r="T80" s="158">
        <v>0.42</v>
      </c>
      <c r="U80" s="158">
        <v>173.41</v>
      </c>
      <c r="V80" s="163">
        <v>0</v>
      </c>
      <c r="W80" s="122"/>
      <c r="X80" s="162">
        <v>20260406</v>
      </c>
      <c r="Y80" s="122"/>
      <c r="Z80" s="122" t="s">
        <v>139</v>
      </c>
      <c r="AA80" s="122">
        <v>3908900</v>
      </c>
      <c r="AB80" s="122" t="s">
        <v>155</v>
      </c>
      <c r="AC80" s="122"/>
      <c r="AD80" s="122"/>
      <c r="AE80" s="129">
        <v>0.7823148148148148</v>
      </c>
      <c r="AF80" s="122" t="s">
        <v>141</v>
      </c>
      <c r="AG80" s="139" t="s">
        <v>148</v>
      </c>
    </row>
    <row r="81" spans="1:33" x14ac:dyDescent="0.3">
      <c r="A81" s="121">
        <v>1044162</v>
      </c>
      <c r="B81" s="122" t="s">
        <v>162</v>
      </c>
      <c r="C81" s="122" t="s">
        <v>66</v>
      </c>
      <c r="D81" s="123">
        <v>46116</v>
      </c>
      <c r="E81" s="123">
        <v>46116</v>
      </c>
      <c r="F81" s="122"/>
      <c r="G81" s="122">
        <v>873</v>
      </c>
      <c r="H81" s="122" t="s">
        <v>132</v>
      </c>
      <c r="I81" s="122">
        <v>3197</v>
      </c>
      <c r="J81" s="122">
        <v>4494</v>
      </c>
      <c r="K81" s="122"/>
      <c r="L81" s="122" t="s">
        <v>243</v>
      </c>
      <c r="M81" s="122" t="s">
        <v>160</v>
      </c>
      <c r="N81" s="122" t="s">
        <v>161</v>
      </c>
      <c r="O81" s="123">
        <v>46116</v>
      </c>
      <c r="P81" s="158">
        <v>659</v>
      </c>
      <c r="Q81" s="158" t="s">
        <v>67</v>
      </c>
      <c r="R81" s="158">
        <v>19.05</v>
      </c>
      <c r="S81" s="158">
        <v>5.21</v>
      </c>
      <c r="T81" s="158">
        <v>0.94</v>
      </c>
      <c r="U81" s="158">
        <v>639.01</v>
      </c>
      <c r="V81" s="163">
        <v>0</v>
      </c>
      <c r="W81" s="122"/>
      <c r="X81" s="162">
        <v>20260406</v>
      </c>
      <c r="Y81" s="122"/>
      <c r="Z81" s="122" t="s">
        <v>142</v>
      </c>
      <c r="AA81" s="122">
        <v>3908900</v>
      </c>
      <c r="AB81" s="122" t="s">
        <v>145</v>
      </c>
      <c r="AC81" s="122"/>
      <c r="AD81" s="122"/>
      <c r="AE81" s="129">
        <v>0.78629629629629638</v>
      </c>
      <c r="AF81" s="122" t="s">
        <v>141</v>
      </c>
      <c r="AG81" s="139" t="s">
        <v>148</v>
      </c>
    </row>
    <row r="82" spans="1:33" x14ac:dyDescent="0.3">
      <c r="A82" s="121">
        <v>1044162</v>
      </c>
      <c r="B82" s="122" t="s">
        <v>162</v>
      </c>
      <c r="C82" s="122" t="s">
        <v>66</v>
      </c>
      <c r="D82" s="123">
        <v>46116</v>
      </c>
      <c r="E82" s="123">
        <v>46116</v>
      </c>
      <c r="F82" s="122"/>
      <c r="G82" s="122">
        <v>873</v>
      </c>
      <c r="H82" s="122" t="s">
        <v>132</v>
      </c>
      <c r="I82" s="122">
        <v>3200</v>
      </c>
      <c r="J82" s="122">
        <v>604385</v>
      </c>
      <c r="K82" s="122"/>
      <c r="L82" s="122" t="s">
        <v>245</v>
      </c>
      <c r="M82" s="122" t="s">
        <v>160</v>
      </c>
      <c r="N82" s="122" t="s">
        <v>161</v>
      </c>
      <c r="O82" s="123">
        <v>46116</v>
      </c>
      <c r="P82" s="158">
        <v>89</v>
      </c>
      <c r="Q82" s="158" t="s">
        <v>67</v>
      </c>
      <c r="R82" s="158">
        <v>2.57</v>
      </c>
      <c r="S82" s="158">
        <v>1.1499999999999999</v>
      </c>
      <c r="T82" s="158">
        <v>0.21</v>
      </c>
      <c r="U82" s="158">
        <v>86.22</v>
      </c>
      <c r="V82" s="163">
        <v>0</v>
      </c>
      <c r="W82" s="122"/>
      <c r="X82" s="162">
        <v>20260406</v>
      </c>
      <c r="Y82" s="122"/>
      <c r="Z82" s="122" t="s">
        <v>139</v>
      </c>
      <c r="AA82" s="122">
        <v>3908900</v>
      </c>
      <c r="AB82" s="122" t="s">
        <v>155</v>
      </c>
      <c r="AC82" s="122"/>
      <c r="AD82" s="122"/>
      <c r="AE82" s="129">
        <v>0.80053240740740739</v>
      </c>
      <c r="AF82" s="122" t="s">
        <v>141</v>
      </c>
      <c r="AG82" s="139" t="s">
        <v>148</v>
      </c>
    </row>
    <row r="83" spans="1:33" x14ac:dyDescent="0.3">
      <c r="A83" s="121">
        <v>1044162</v>
      </c>
      <c r="B83" s="122" t="s">
        <v>162</v>
      </c>
      <c r="C83" s="122" t="s">
        <v>66</v>
      </c>
      <c r="D83" s="123">
        <v>46116</v>
      </c>
      <c r="E83" s="123">
        <v>46116</v>
      </c>
      <c r="F83" s="122"/>
      <c r="G83" s="122">
        <v>873</v>
      </c>
      <c r="H83" s="122" t="s">
        <v>132</v>
      </c>
      <c r="I83" s="122">
        <v>3202</v>
      </c>
      <c r="J83" s="122">
        <v>382465</v>
      </c>
      <c r="K83" s="122"/>
      <c r="L83" s="122" t="s">
        <v>246</v>
      </c>
      <c r="M83" s="122" t="s">
        <v>160</v>
      </c>
      <c r="N83" s="122" t="s">
        <v>161</v>
      </c>
      <c r="O83" s="123">
        <v>46116</v>
      </c>
      <c r="P83" s="158">
        <v>1799</v>
      </c>
      <c r="Q83" s="158" t="s">
        <v>67</v>
      </c>
      <c r="R83" s="158">
        <v>51.99</v>
      </c>
      <c r="S83" s="158">
        <v>14.21</v>
      </c>
      <c r="T83" s="158">
        <v>2.56</v>
      </c>
      <c r="U83" s="158">
        <v>1744.45</v>
      </c>
      <c r="V83" s="163">
        <v>0</v>
      </c>
      <c r="W83" s="122"/>
      <c r="X83" s="162">
        <v>20260406</v>
      </c>
      <c r="Y83" s="122"/>
      <c r="Z83" s="122" t="s">
        <v>139</v>
      </c>
      <c r="AA83" s="122">
        <v>3908900</v>
      </c>
      <c r="AB83" s="122" t="s">
        <v>540</v>
      </c>
      <c r="AC83" s="122"/>
      <c r="AD83" s="122"/>
      <c r="AE83" s="129">
        <v>0.81590277777777775</v>
      </c>
      <c r="AF83" s="122" t="s">
        <v>141</v>
      </c>
      <c r="AG83" s="139" t="s">
        <v>148</v>
      </c>
    </row>
    <row r="84" spans="1:33" x14ac:dyDescent="0.3">
      <c r="A84" s="121">
        <v>1044162</v>
      </c>
      <c r="B84" s="122" t="s">
        <v>162</v>
      </c>
      <c r="C84" s="122" t="s">
        <v>66</v>
      </c>
      <c r="D84" s="123">
        <v>46116</v>
      </c>
      <c r="E84" s="123">
        <v>46116</v>
      </c>
      <c r="F84" s="122"/>
      <c r="G84" s="122">
        <v>873</v>
      </c>
      <c r="H84" s="122" t="s">
        <v>132</v>
      </c>
      <c r="I84" s="122">
        <v>3204</v>
      </c>
      <c r="J84" s="122">
        <v>139954</v>
      </c>
      <c r="K84" s="122"/>
      <c r="L84" s="122" t="s">
        <v>247</v>
      </c>
      <c r="M84" s="122" t="s">
        <v>160</v>
      </c>
      <c r="N84" s="122" t="s">
        <v>161</v>
      </c>
      <c r="O84" s="123">
        <v>46116</v>
      </c>
      <c r="P84" s="158">
        <v>89</v>
      </c>
      <c r="Q84" s="158" t="s">
        <v>67</v>
      </c>
      <c r="R84" s="158">
        <v>2.57</v>
      </c>
      <c r="S84" s="158">
        <v>1.1499999999999999</v>
      </c>
      <c r="T84" s="158">
        <v>0.21</v>
      </c>
      <c r="U84" s="158">
        <v>86.22</v>
      </c>
      <c r="V84" s="163">
        <v>0</v>
      </c>
      <c r="W84" s="122"/>
      <c r="X84" s="162">
        <v>20260406</v>
      </c>
      <c r="Y84" s="122"/>
      <c r="Z84" s="122" t="s">
        <v>139</v>
      </c>
      <c r="AA84" s="122">
        <v>3908900</v>
      </c>
      <c r="AB84" s="122" t="s">
        <v>147</v>
      </c>
      <c r="AC84" s="122"/>
      <c r="AD84" s="122"/>
      <c r="AE84" s="129">
        <v>0.86181712962962964</v>
      </c>
      <c r="AF84" s="122" t="s">
        <v>141</v>
      </c>
      <c r="AG84" s="139" t="s">
        <v>148</v>
      </c>
    </row>
    <row r="85" spans="1:33" x14ac:dyDescent="0.3">
      <c r="A85" s="121">
        <v>1044162</v>
      </c>
      <c r="B85" s="122" t="s">
        <v>162</v>
      </c>
      <c r="C85" s="122" t="s">
        <v>66</v>
      </c>
      <c r="D85" s="123">
        <v>46116</v>
      </c>
      <c r="E85" s="123">
        <v>46116</v>
      </c>
      <c r="F85" s="122"/>
      <c r="G85" s="122">
        <v>873</v>
      </c>
      <c r="H85" s="122" t="s">
        <v>132</v>
      </c>
      <c r="I85" s="122">
        <v>3206</v>
      </c>
      <c r="J85" s="122">
        <v>482919</v>
      </c>
      <c r="K85" s="122"/>
      <c r="L85" s="122" t="s">
        <v>248</v>
      </c>
      <c r="M85" s="122" t="s">
        <v>160</v>
      </c>
      <c r="N85" s="122" t="s">
        <v>161</v>
      </c>
      <c r="O85" s="123">
        <v>46116</v>
      </c>
      <c r="P85" s="158">
        <v>529</v>
      </c>
      <c r="Q85" s="158" t="s">
        <v>67</v>
      </c>
      <c r="R85" s="158">
        <v>15.29</v>
      </c>
      <c r="S85" s="158">
        <v>6.83</v>
      </c>
      <c r="T85" s="158">
        <v>1.23</v>
      </c>
      <c r="U85" s="158">
        <v>512.48</v>
      </c>
      <c r="V85" s="161">
        <v>12542.4</v>
      </c>
      <c r="W85" s="123">
        <v>46118</v>
      </c>
      <c r="X85" s="162">
        <v>20260406</v>
      </c>
      <c r="Y85" s="122">
        <v>104101</v>
      </c>
      <c r="Z85" s="122" t="s">
        <v>139</v>
      </c>
      <c r="AA85" s="122">
        <v>3908900</v>
      </c>
      <c r="AB85" s="122" t="s">
        <v>148</v>
      </c>
      <c r="AC85" s="122"/>
      <c r="AD85" s="122"/>
      <c r="AE85" s="129">
        <v>0.88071759259259252</v>
      </c>
      <c r="AF85" s="122" t="s">
        <v>141</v>
      </c>
      <c r="AG85" s="139" t="s">
        <v>148</v>
      </c>
    </row>
    <row r="86" spans="1:33" x14ac:dyDescent="0.3">
      <c r="A86" s="121">
        <v>1044162</v>
      </c>
      <c r="B86" s="122" t="s">
        <v>159</v>
      </c>
      <c r="C86" s="122" t="s">
        <v>66</v>
      </c>
      <c r="D86" s="123">
        <v>46117</v>
      </c>
      <c r="E86" s="123">
        <v>46117</v>
      </c>
      <c r="F86" s="122"/>
      <c r="G86" s="122">
        <v>874</v>
      </c>
      <c r="H86" s="122" t="s">
        <v>132</v>
      </c>
      <c r="I86" s="122">
        <v>3231</v>
      </c>
      <c r="J86" s="122" t="s">
        <v>174</v>
      </c>
      <c r="K86" s="122"/>
      <c r="L86" s="122" t="s">
        <v>249</v>
      </c>
      <c r="M86" s="122" t="s">
        <v>160</v>
      </c>
      <c r="N86" s="122" t="s">
        <v>161</v>
      </c>
      <c r="O86" s="123">
        <v>46117</v>
      </c>
      <c r="P86" s="158">
        <v>89</v>
      </c>
      <c r="Q86" s="158" t="s">
        <v>67</v>
      </c>
      <c r="R86" s="158">
        <v>2.57</v>
      </c>
      <c r="S86" s="158">
        <v>0.52</v>
      </c>
      <c r="T86" s="158">
        <v>0.09</v>
      </c>
      <c r="U86" s="158">
        <v>86.34</v>
      </c>
      <c r="V86" s="161">
        <v>86.34</v>
      </c>
      <c r="W86" s="123">
        <v>46118</v>
      </c>
      <c r="X86" s="162">
        <v>20260406</v>
      </c>
      <c r="Y86" s="122">
        <v>104101</v>
      </c>
      <c r="Z86" s="122" t="s">
        <v>142</v>
      </c>
      <c r="AA86" s="122">
        <v>3908900</v>
      </c>
      <c r="AB86" s="122" t="s">
        <v>541</v>
      </c>
      <c r="AC86" s="122"/>
      <c r="AD86" s="122"/>
      <c r="AE86" s="129">
        <v>0.62353009259259262</v>
      </c>
      <c r="AF86" s="122" t="s">
        <v>141</v>
      </c>
      <c r="AG86" s="139" t="s">
        <v>148</v>
      </c>
    </row>
    <row r="87" spans="1:33" x14ac:dyDescent="0.3">
      <c r="A87" s="121">
        <v>1044162</v>
      </c>
      <c r="B87" s="122" t="s">
        <v>162</v>
      </c>
      <c r="C87" s="122" t="s">
        <v>66</v>
      </c>
      <c r="D87" s="123">
        <v>46117</v>
      </c>
      <c r="E87" s="123">
        <v>46117</v>
      </c>
      <c r="F87" s="122"/>
      <c r="G87" s="122">
        <v>874</v>
      </c>
      <c r="H87" s="122" t="s">
        <v>132</v>
      </c>
      <c r="I87" s="122">
        <v>3212</v>
      </c>
      <c r="J87" s="122">
        <v>701831</v>
      </c>
      <c r="K87" s="122"/>
      <c r="L87" s="122" t="s">
        <v>250</v>
      </c>
      <c r="M87" s="122" t="s">
        <v>160</v>
      </c>
      <c r="N87" s="122" t="s">
        <v>161</v>
      </c>
      <c r="O87" s="123">
        <v>46117</v>
      </c>
      <c r="P87" s="158">
        <v>89</v>
      </c>
      <c r="Q87" s="158" t="s">
        <v>67</v>
      </c>
      <c r="R87" s="158">
        <v>2.57</v>
      </c>
      <c r="S87" s="158">
        <v>1.1499999999999999</v>
      </c>
      <c r="T87" s="158">
        <v>0.21</v>
      </c>
      <c r="U87" s="158">
        <v>86.22</v>
      </c>
      <c r="V87" s="163">
        <v>0</v>
      </c>
      <c r="W87" s="122"/>
      <c r="X87" s="162">
        <v>20260406</v>
      </c>
      <c r="Y87" s="122"/>
      <c r="Z87" s="122" t="s">
        <v>139</v>
      </c>
      <c r="AA87" s="122">
        <v>3908900</v>
      </c>
      <c r="AB87" s="122" t="s">
        <v>148</v>
      </c>
      <c r="AC87" s="122"/>
      <c r="AD87" s="122"/>
      <c r="AE87" s="129">
        <v>0.47913194444444446</v>
      </c>
      <c r="AF87" s="122" t="s">
        <v>141</v>
      </c>
      <c r="AG87" s="139" t="s">
        <v>148</v>
      </c>
    </row>
    <row r="88" spans="1:33" x14ac:dyDescent="0.3">
      <c r="A88" s="121">
        <v>1044162</v>
      </c>
      <c r="B88" s="122" t="s">
        <v>162</v>
      </c>
      <c r="C88" s="122" t="s">
        <v>66</v>
      </c>
      <c r="D88" s="123">
        <v>46117</v>
      </c>
      <c r="E88" s="123">
        <v>46117</v>
      </c>
      <c r="F88" s="122"/>
      <c r="G88" s="122">
        <v>874</v>
      </c>
      <c r="H88" s="122">
        <v>65656565</v>
      </c>
      <c r="I88" s="122">
        <v>3214</v>
      </c>
      <c r="J88" s="122">
        <v>448688</v>
      </c>
      <c r="K88" s="122"/>
      <c r="L88" s="122" t="s">
        <v>251</v>
      </c>
      <c r="M88" s="122" t="s">
        <v>160</v>
      </c>
      <c r="N88" s="122" t="s">
        <v>161</v>
      </c>
      <c r="O88" s="123">
        <v>46117</v>
      </c>
      <c r="P88" s="158">
        <v>58</v>
      </c>
      <c r="Q88" s="158" t="s">
        <v>67</v>
      </c>
      <c r="R88" s="158">
        <v>1.67</v>
      </c>
      <c r="S88" s="158">
        <v>0.74</v>
      </c>
      <c r="T88" s="158">
        <v>0.13</v>
      </c>
      <c r="U88" s="158">
        <v>56.2</v>
      </c>
      <c r="V88" s="163">
        <v>0</v>
      </c>
      <c r="W88" s="122"/>
      <c r="X88" s="162">
        <v>20260406</v>
      </c>
      <c r="Y88" s="122"/>
      <c r="Z88" s="122" t="s">
        <v>139</v>
      </c>
      <c r="AA88" s="122">
        <v>3908900</v>
      </c>
      <c r="AB88" s="122" t="s">
        <v>145</v>
      </c>
      <c r="AC88" s="122"/>
      <c r="AD88" s="122" t="s">
        <v>146</v>
      </c>
      <c r="AE88" s="129">
        <v>0.48078703703703707</v>
      </c>
      <c r="AF88" s="122" t="s">
        <v>141</v>
      </c>
      <c r="AG88" s="139" t="s">
        <v>148</v>
      </c>
    </row>
    <row r="89" spans="1:33" x14ac:dyDescent="0.3">
      <c r="A89" s="121">
        <v>1044162</v>
      </c>
      <c r="B89" s="122" t="s">
        <v>162</v>
      </c>
      <c r="C89" s="122" t="s">
        <v>66</v>
      </c>
      <c r="D89" s="123">
        <v>46117</v>
      </c>
      <c r="E89" s="123">
        <v>46117</v>
      </c>
      <c r="F89" s="122"/>
      <c r="G89" s="122">
        <v>874</v>
      </c>
      <c r="H89" s="122" t="s">
        <v>132</v>
      </c>
      <c r="I89" s="122">
        <v>3217</v>
      </c>
      <c r="J89" s="122">
        <v>783035</v>
      </c>
      <c r="K89" s="122"/>
      <c r="L89" s="122" t="s">
        <v>252</v>
      </c>
      <c r="M89" s="122" t="s">
        <v>160</v>
      </c>
      <c r="N89" s="122" t="s">
        <v>161</v>
      </c>
      <c r="O89" s="123">
        <v>46117</v>
      </c>
      <c r="P89" s="158">
        <v>1149</v>
      </c>
      <c r="Q89" s="158" t="s">
        <v>67</v>
      </c>
      <c r="R89" s="158">
        <v>33.21</v>
      </c>
      <c r="S89" s="158">
        <v>14.83</v>
      </c>
      <c r="T89" s="158">
        <v>2.67</v>
      </c>
      <c r="U89" s="158">
        <v>1113.1199999999999</v>
      </c>
      <c r="V89" s="163">
        <v>0</v>
      </c>
      <c r="W89" s="122"/>
      <c r="X89" s="162">
        <v>20260406</v>
      </c>
      <c r="Y89" s="122"/>
      <c r="Z89" s="122" t="s">
        <v>139</v>
      </c>
      <c r="AA89" s="122">
        <v>3908900</v>
      </c>
      <c r="AB89" s="122" t="s">
        <v>148</v>
      </c>
      <c r="AC89" s="122"/>
      <c r="AD89" s="122"/>
      <c r="AE89" s="129">
        <v>0.49538194444444444</v>
      </c>
      <c r="AF89" s="122" t="s">
        <v>141</v>
      </c>
      <c r="AG89" s="139" t="s">
        <v>148</v>
      </c>
    </row>
    <row r="90" spans="1:33" x14ac:dyDescent="0.3">
      <c r="A90" s="121">
        <v>1044162</v>
      </c>
      <c r="B90" s="122" t="s">
        <v>162</v>
      </c>
      <c r="C90" s="122" t="s">
        <v>66</v>
      </c>
      <c r="D90" s="123">
        <v>46117</v>
      </c>
      <c r="E90" s="123">
        <v>46117</v>
      </c>
      <c r="F90" s="122"/>
      <c r="G90" s="122">
        <v>874</v>
      </c>
      <c r="H90" s="122" t="s">
        <v>132</v>
      </c>
      <c r="I90" s="122">
        <v>3219</v>
      </c>
      <c r="J90" s="122">
        <v>508326</v>
      </c>
      <c r="K90" s="122"/>
      <c r="L90" s="122" t="s">
        <v>253</v>
      </c>
      <c r="M90" s="122" t="s">
        <v>160</v>
      </c>
      <c r="N90" s="122" t="s">
        <v>161</v>
      </c>
      <c r="O90" s="123">
        <v>46117</v>
      </c>
      <c r="P90" s="158">
        <v>1000</v>
      </c>
      <c r="Q90" s="158" t="s">
        <v>67</v>
      </c>
      <c r="R90" s="158">
        <v>28.9</v>
      </c>
      <c r="S90" s="158">
        <v>12.9</v>
      </c>
      <c r="T90" s="158">
        <v>2.3199999999999998</v>
      </c>
      <c r="U90" s="158">
        <v>968.78</v>
      </c>
      <c r="V90" s="163">
        <v>0</v>
      </c>
      <c r="W90" s="122"/>
      <c r="X90" s="162">
        <v>20260406</v>
      </c>
      <c r="Y90" s="122"/>
      <c r="Z90" s="122" t="s">
        <v>139</v>
      </c>
      <c r="AA90" s="122">
        <v>3908900</v>
      </c>
      <c r="AB90" s="122" t="s">
        <v>145</v>
      </c>
      <c r="AC90" s="122"/>
      <c r="AD90" s="122"/>
      <c r="AE90" s="129">
        <v>0.55893518518518526</v>
      </c>
      <c r="AF90" s="122" t="s">
        <v>141</v>
      </c>
      <c r="AG90" s="139" t="s">
        <v>148</v>
      </c>
    </row>
    <row r="91" spans="1:33" x14ac:dyDescent="0.3">
      <c r="A91" s="121">
        <v>1044162</v>
      </c>
      <c r="B91" s="122" t="s">
        <v>162</v>
      </c>
      <c r="C91" s="122" t="s">
        <v>66</v>
      </c>
      <c r="D91" s="123">
        <v>46117</v>
      </c>
      <c r="E91" s="123">
        <v>46117</v>
      </c>
      <c r="F91" s="122"/>
      <c r="G91" s="122">
        <v>874</v>
      </c>
      <c r="H91" s="122" t="s">
        <v>132</v>
      </c>
      <c r="I91" s="122">
        <v>3221</v>
      </c>
      <c r="J91" s="122">
        <v>501579</v>
      </c>
      <c r="K91" s="122"/>
      <c r="L91" s="122" t="s">
        <v>254</v>
      </c>
      <c r="M91" s="122" t="s">
        <v>160</v>
      </c>
      <c r="N91" s="122" t="s">
        <v>161</v>
      </c>
      <c r="O91" s="123">
        <v>46117</v>
      </c>
      <c r="P91" s="158">
        <v>69</v>
      </c>
      <c r="Q91" s="158" t="s">
        <v>67</v>
      </c>
      <c r="R91" s="158">
        <v>1.99</v>
      </c>
      <c r="S91" s="158">
        <v>0.89</v>
      </c>
      <c r="T91" s="158">
        <v>0.16</v>
      </c>
      <c r="U91" s="158">
        <v>66.849999999999994</v>
      </c>
      <c r="V91" s="163">
        <v>0</v>
      </c>
      <c r="W91" s="122"/>
      <c r="X91" s="162">
        <v>20260406</v>
      </c>
      <c r="Y91" s="122"/>
      <c r="Z91" s="122" t="s">
        <v>139</v>
      </c>
      <c r="AA91" s="122">
        <v>3908900</v>
      </c>
      <c r="AB91" s="122" t="s">
        <v>145</v>
      </c>
      <c r="AC91" s="122"/>
      <c r="AD91" s="122"/>
      <c r="AE91" s="129">
        <v>0.56324074074074071</v>
      </c>
      <c r="AF91" s="122" t="s">
        <v>141</v>
      </c>
      <c r="AG91" s="139" t="s">
        <v>148</v>
      </c>
    </row>
    <row r="92" spans="1:33" x14ac:dyDescent="0.3">
      <c r="A92" s="121">
        <v>1044162</v>
      </c>
      <c r="B92" s="122" t="s">
        <v>162</v>
      </c>
      <c r="C92" s="122" t="s">
        <v>66</v>
      </c>
      <c r="D92" s="123">
        <v>46117</v>
      </c>
      <c r="E92" s="123">
        <v>46117</v>
      </c>
      <c r="F92" s="122"/>
      <c r="G92" s="122">
        <v>874</v>
      </c>
      <c r="H92" s="122" t="s">
        <v>132</v>
      </c>
      <c r="I92" s="122">
        <v>3223</v>
      </c>
      <c r="J92" s="122">
        <v>485376</v>
      </c>
      <c r="K92" s="122"/>
      <c r="L92" s="122" t="s">
        <v>255</v>
      </c>
      <c r="M92" s="122" t="s">
        <v>160</v>
      </c>
      <c r="N92" s="122" t="s">
        <v>161</v>
      </c>
      <c r="O92" s="123">
        <v>46117</v>
      </c>
      <c r="P92" s="158">
        <v>189</v>
      </c>
      <c r="Q92" s="158" t="s">
        <v>67</v>
      </c>
      <c r="R92" s="158">
        <v>5.46</v>
      </c>
      <c r="S92" s="158">
        <v>2.44</v>
      </c>
      <c r="T92" s="158">
        <v>0.44</v>
      </c>
      <c r="U92" s="158">
        <v>183.1</v>
      </c>
      <c r="V92" s="163">
        <v>0</v>
      </c>
      <c r="W92" s="122"/>
      <c r="X92" s="162">
        <v>20260406</v>
      </c>
      <c r="Y92" s="122"/>
      <c r="Z92" s="122" t="s">
        <v>139</v>
      </c>
      <c r="AA92" s="122">
        <v>3908900</v>
      </c>
      <c r="AB92" s="122" t="s">
        <v>145</v>
      </c>
      <c r="AC92" s="122"/>
      <c r="AD92" s="122"/>
      <c r="AE92" s="129">
        <v>0.56644675925925925</v>
      </c>
      <c r="AF92" s="122" t="s">
        <v>141</v>
      </c>
      <c r="AG92" s="139" t="s">
        <v>148</v>
      </c>
    </row>
    <row r="93" spans="1:33" x14ac:dyDescent="0.3">
      <c r="A93" s="121">
        <v>1044162</v>
      </c>
      <c r="B93" s="122" t="s">
        <v>162</v>
      </c>
      <c r="C93" s="122" t="s">
        <v>66</v>
      </c>
      <c r="D93" s="123">
        <v>46117</v>
      </c>
      <c r="E93" s="123">
        <v>46117</v>
      </c>
      <c r="F93" s="122"/>
      <c r="G93" s="122">
        <v>874</v>
      </c>
      <c r="H93" s="122" t="s">
        <v>132</v>
      </c>
      <c r="I93" s="122">
        <v>3227</v>
      </c>
      <c r="J93" s="122">
        <v>133082</v>
      </c>
      <c r="K93" s="122"/>
      <c r="L93" s="122" t="s">
        <v>256</v>
      </c>
      <c r="M93" s="122" t="s">
        <v>160</v>
      </c>
      <c r="N93" s="122" t="s">
        <v>161</v>
      </c>
      <c r="O93" s="123">
        <v>46117</v>
      </c>
      <c r="P93" s="158">
        <v>1248</v>
      </c>
      <c r="Q93" s="158" t="s">
        <v>67</v>
      </c>
      <c r="R93" s="158">
        <v>36.07</v>
      </c>
      <c r="S93" s="158">
        <v>16.100000000000001</v>
      </c>
      <c r="T93" s="158">
        <v>2.9</v>
      </c>
      <c r="U93" s="158">
        <v>1209.03</v>
      </c>
      <c r="V93" s="163">
        <v>0</v>
      </c>
      <c r="W93" s="122"/>
      <c r="X93" s="162">
        <v>20260406</v>
      </c>
      <c r="Y93" s="122"/>
      <c r="Z93" s="122" t="s">
        <v>139</v>
      </c>
      <c r="AA93" s="122">
        <v>3908900</v>
      </c>
      <c r="AB93" s="122" t="s">
        <v>156</v>
      </c>
      <c r="AC93" s="122"/>
      <c r="AD93" s="122"/>
      <c r="AE93" s="129">
        <v>0.61708333333333332</v>
      </c>
      <c r="AF93" s="122" t="s">
        <v>141</v>
      </c>
      <c r="AG93" s="139" t="s">
        <v>148</v>
      </c>
    </row>
    <row r="94" spans="1:33" x14ac:dyDescent="0.3">
      <c r="A94" s="121">
        <v>1044162</v>
      </c>
      <c r="B94" s="122" t="s">
        <v>162</v>
      </c>
      <c r="C94" s="122" t="s">
        <v>66</v>
      </c>
      <c r="D94" s="123">
        <v>46117</v>
      </c>
      <c r="E94" s="123">
        <v>46117</v>
      </c>
      <c r="F94" s="122"/>
      <c r="G94" s="122">
        <v>874</v>
      </c>
      <c r="H94" s="122" t="s">
        <v>132</v>
      </c>
      <c r="I94" s="122">
        <v>3229</v>
      </c>
      <c r="J94" s="122">
        <v>776907</v>
      </c>
      <c r="K94" s="122"/>
      <c r="L94" s="122" t="s">
        <v>257</v>
      </c>
      <c r="M94" s="122" t="s">
        <v>160</v>
      </c>
      <c r="N94" s="122" t="s">
        <v>161</v>
      </c>
      <c r="O94" s="123">
        <v>46117</v>
      </c>
      <c r="P94" s="158">
        <v>388</v>
      </c>
      <c r="Q94" s="158" t="s">
        <v>67</v>
      </c>
      <c r="R94" s="158">
        <v>11.21</v>
      </c>
      <c r="S94" s="158">
        <v>5</v>
      </c>
      <c r="T94" s="158">
        <v>0.9</v>
      </c>
      <c r="U94" s="158">
        <v>375.89</v>
      </c>
      <c r="V94" s="163">
        <v>0</v>
      </c>
      <c r="W94" s="122"/>
      <c r="X94" s="162">
        <v>20260406</v>
      </c>
      <c r="Y94" s="122"/>
      <c r="Z94" s="122" t="s">
        <v>139</v>
      </c>
      <c r="AA94" s="122">
        <v>3908900</v>
      </c>
      <c r="AB94" s="122" t="s">
        <v>145</v>
      </c>
      <c r="AC94" s="122"/>
      <c r="AD94" s="122"/>
      <c r="AE94" s="129">
        <v>0.6215046296296296</v>
      </c>
      <c r="AF94" s="122" t="s">
        <v>141</v>
      </c>
      <c r="AG94" s="139" t="s">
        <v>148</v>
      </c>
    </row>
    <row r="95" spans="1:33" x14ac:dyDescent="0.3">
      <c r="A95" s="121">
        <v>1044162</v>
      </c>
      <c r="B95" s="122" t="s">
        <v>162</v>
      </c>
      <c r="C95" s="122" t="s">
        <v>66</v>
      </c>
      <c r="D95" s="123">
        <v>46117</v>
      </c>
      <c r="E95" s="123">
        <v>46117</v>
      </c>
      <c r="F95" s="122"/>
      <c r="G95" s="122">
        <v>874</v>
      </c>
      <c r="H95" s="122" t="s">
        <v>132</v>
      </c>
      <c r="I95" s="122">
        <v>3233</v>
      </c>
      <c r="J95" s="122">
        <v>739276</v>
      </c>
      <c r="K95" s="122"/>
      <c r="L95" s="122" t="s">
        <v>258</v>
      </c>
      <c r="M95" s="122" t="s">
        <v>160</v>
      </c>
      <c r="N95" s="122" t="s">
        <v>161</v>
      </c>
      <c r="O95" s="123">
        <v>46117</v>
      </c>
      <c r="P95" s="158">
        <v>498</v>
      </c>
      <c r="Q95" s="158" t="s">
        <v>67</v>
      </c>
      <c r="R95" s="158">
        <v>14.39</v>
      </c>
      <c r="S95" s="158">
        <v>6.42</v>
      </c>
      <c r="T95" s="158">
        <v>1.1599999999999999</v>
      </c>
      <c r="U95" s="158">
        <v>482.45</v>
      </c>
      <c r="V95" s="163">
        <v>0</v>
      </c>
      <c r="W95" s="122"/>
      <c r="X95" s="162">
        <v>20260406</v>
      </c>
      <c r="Y95" s="122"/>
      <c r="Z95" s="122" t="s">
        <v>139</v>
      </c>
      <c r="AA95" s="122">
        <v>3908900</v>
      </c>
      <c r="AB95" s="122" t="s">
        <v>147</v>
      </c>
      <c r="AC95" s="122"/>
      <c r="AD95" s="122"/>
      <c r="AE95" s="129">
        <v>0.63258101851851845</v>
      </c>
      <c r="AF95" s="122" t="s">
        <v>141</v>
      </c>
      <c r="AG95" s="139" t="s">
        <v>148</v>
      </c>
    </row>
    <row r="96" spans="1:33" x14ac:dyDescent="0.3">
      <c r="A96" s="121">
        <v>1044162</v>
      </c>
      <c r="B96" s="122" t="s">
        <v>162</v>
      </c>
      <c r="C96" s="122" t="s">
        <v>66</v>
      </c>
      <c r="D96" s="123">
        <v>46117</v>
      </c>
      <c r="E96" s="123">
        <v>46117</v>
      </c>
      <c r="F96" s="122"/>
      <c r="G96" s="122">
        <v>874</v>
      </c>
      <c r="H96" s="122">
        <v>65656565</v>
      </c>
      <c r="I96" s="122">
        <v>3235</v>
      </c>
      <c r="J96" s="122">
        <v>679034</v>
      </c>
      <c r="K96" s="122"/>
      <c r="L96" s="122" t="s">
        <v>259</v>
      </c>
      <c r="M96" s="122" t="s">
        <v>160</v>
      </c>
      <c r="N96" s="122" t="s">
        <v>161</v>
      </c>
      <c r="O96" s="123">
        <v>46117</v>
      </c>
      <c r="P96" s="158">
        <v>529</v>
      </c>
      <c r="Q96" s="158" t="s">
        <v>67</v>
      </c>
      <c r="R96" s="158">
        <v>15.28</v>
      </c>
      <c r="S96" s="158">
        <v>6.82</v>
      </c>
      <c r="T96" s="158">
        <v>1.23</v>
      </c>
      <c r="U96" s="158">
        <v>512.49</v>
      </c>
      <c r="V96" s="163">
        <v>0</v>
      </c>
      <c r="W96" s="122"/>
      <c r="X96" s="162">
        <v>20260406</v>
      </c>
      <c r="Y96" s="122"/>
      <c r="Z96" s="122" t="s">
        <v>139</v>
      </c>
      <c r="AA96" s="122">
        <v>3908900</v>
      </c>
      <c r="AB96" s="122" t="s">
        <v>145</v>
      </c>
      <c r="AC96" s="122"/>
      <c r="AD96" s="122" t="s">
        <v>146</v>
      </c>
      <c r="AE96" s="129">
        <v>0.63454861111111105</v>
      </c>
      <c r="AF96" s="122" t="s">
        <v>141</v>
      </c>
      <c r="AG96" s="139" t="s">
        <v>148</v>
      </c>
    </row>
    <row r="97" spans="1:33" x14ac:dyDescent="0.3">
      <c r="A97" s="121">
        <v>1044162</v>
      </c>
      <c r="B97" s="122" t="s">
        <v>162</v>
      </c>
      <c r="C97" s="122" t="s">
        <v>66</v>
      </c>
      <c r="D97" s="123">
        <v>46117</v>
      </c>
      <c r="E97" s="123">
        <v>46117</v>
      </c>
      <c r="F97" s="122"/>
      <c r="G97" s="122">
        <v>874</v>
      </c>
      <c r="H97" s="122" t="s">
        <v>132</v>
      </c>
      <c r="I97" s="122">
        <v>3247</v>
      </c>
      <c r="J97" s="122">
        <v>905153</v>
      </c>
      <c r="K97" s="122">
        <v>6</v>
      </c>
      <c r="L97" s="122" t="s">
        <v>260</v>
      </c>
      <c r="M97" s="122" t="s">
        <v>160</v>
      </c>
      <c r="N97" s="122" t="s">
        <v>161</v>
      </c>
      <c r="O97" s="123">
        <v>46117</v>
      </c>
      <c r="P97" s="158">
        <v>1149</v>
      </c>
      <c r="Q97" s="158" t="s">
        <v>67</v>
      </c>
      <c r="R97" s="158">
        <v>33.21</v>
      </c>
      <c r="S97" s="158">
        <v>9.08</v>
      </c>
      <c r="T97" s="158">
        <v>1.63</v>
      </c>
      <c r="U97" s="158">
        <v>1114.1600000000001</v>
      </c>
      <c r="V97" s="163">
        <v>0</v>
      </c>
      <c r="W97" s="122"/>
      <c r="X97" s="162">
        <v>20260406</v>
      </c>
      <c r="Y97" s="122"/>
      <c r="Z97" s="122" t="s">
        <v>142</v>
      </c>
      <c r="AA97" s="122">
        <v>3908900</v>
      </c>
      <c r="AB97" s="122" t="s">
        <v>149</v>
      </c>
      <c r="AC97" s="122" t="s">
        <v>144</v>
      </c>
      <c r="AD97" s="122"/>
      <c r="AE97" s="129">
        <v>0.68840277777777781</v>
      </c>
      <c r="AF97" s="122" t="s">
        <v>141</v>
      </c>
      <c r="AG97" s="139" t="s">
        <v>148</v>
      </c>
    </row>
    <row r="98" spans="1:33" x14ac:dyDescent="0.3">
      <c r="A98" s="121">
        <v>1044162</v>
      </c>
      <c r="B98" s="122" t="s">
        <v>162</v>
      </c>
      <c r="C98" s="122" t="s">
        <v>66</v>
      </c>
      <c r="D98" s="123">
        <v>46117</v>
      </c>
      <c r="E98" s="123">
        <v>46117</v>
      </c>
      <c r="F98" s="122"/>
      <c r="G98" s="122">
        <v>874</v>
      </c>
      <c r="H98" s="122" t="s">
        <v>132</v>
      </c>
      <c r="I98" s="122">
        <v>3250</v>
      </c>
      <c r="J98" s="122">
        <v>2972</v>
      </c>
      <c r="K98" s="122"/>
      <c r="L98" s="122" t="s">
        <v>261</v>
      </c>
      <c r="M98" s="122" t="s">
        <v>160</v>
      </c>
      <c r="N98" s="122" t="s">
        <v>161</v>
      </c>
      <c r="O98" s="123">
        <v>46117</v>
      </c>
      <c r="P98" s="158">
        <v>659</v>
      </c>
      <c r="Q98" s="158" t="s">
        <v>67</v>
      </c>
      <c r="R98" s="158">
        <v>19.05</v>
      </c>
      <c r="S98" s="158">
        <v>5.21</v>
      </c>
      <c r="T98" s="158">
        <v>0.94</v>
      </c>
      <c r="U98" s="158">
        <v>639.01</v>
      </c>
      <c r="V98" s="163">
        <v>0</v>
      </c>
      <c r="W98" s="122"/>
      <c r="X98" s="162">
        <v>20260406</v>
      </c>
      <c r="Y98" s="122"/>
      <c r="Z98" s="122" t="s">
        <v>142</v>
      </c>
      <c r="AA98" s="122">
        <v>3908900</v>
      </c>
      <c r="AB98" s="122" t="s">
        <v>145</v>
      </c>
      <c r="AC98" s="122"/>
      <c r="AD98" s="122"/>
      <c r="AE98" s="129">
        <v>0.69884259259259263</v>
      </c>
      <c r="AF98" s="122" t="s">
        <v>141</v>
      </c>
      <c r="AG98" s="139" t="s">
        <v>148</v>
      </c>
    </row>
    <row r="99" spans="1:33" x14ac:dyDescent="0.3">
      <c r="A99" s="121">
        <v>1044162</v>
      </c>
      <c r="B99" s="122" t="s">
        <v>162</v>
      </c>
      <c r="C99" s="122" t="s">
        <v>66</v>
      </c>
      <c r="D99" s="123">
        <v>46117</v>
      </c>
      <c r="E99" s="123">
        <v>46117</v>
      </c>
      <c r="F99" s="122"/>
      <c r="G99" s="122">
        <v>874</v>
      </c>
      <c r="H99" s="122" t="s">
        <v>132</v>
      </c>
      <c r="I99" s="122">
        <v>3252</v>
      </c>
      <c r="J99" s="122">
        <v>830980</v>
      </c>
      <c r="K99" s="122"/>
      <c r="L99" s="122" t="s">
        <v>262</v>
      </c>
      <c r="M99" s="122" t="s">
        <v>160</v>
      </c>
      <c r="N99" s="122" t="s">
        <v>161</v>
      </c>
      <c r="O99" s="123">
        <v>46117</v>
      </c>
      <c r="P99" s="158">
        <v>68</v>
      </c>
      <c r="Q99" s="158" t="s">
        <v>67</v>
      </c>
      <c r="R99" s="158">
        <v>1.97</v>
      </c>
      <c r="S99" s="158">
        <v>0.88</v>
      </c>
      <c r="T99" s="158">
        <v>0.16</v>
      </c>
      <c r="U99" s="158">
        <v>65.87</v>
      </c>
      <c r="V99" s="163">
        <v>0</v>
      </c>
      <c r="W99" s="122"/>
      <c r="X99" s="162">
        <v>20260406</v>
      </c>
      <c r="Y99" s="122"/>
      <c r="Z99" s="122" t="s">
        <v>139</v>
      </c>
      <c r="AA99" s="122">
        <v>3908900</v>
      </c>
      <c r="AB99" s="122" t="s">
        <v>145</v>
      </c>
      <c r="AC99" s="122"/>
      <c r="AD99" s="122"/>
      <c r="AE99" s="129">
        <v>0.7055324074074073</v>
      </c>
      <c r="AF99" s="122" t="s">
        <v>141</v>
      </c>
      <c r="AG99" s="139" t="s">
        <v>148</v>
      </c>
    </row>
    <row r="100" spans="1:33" x14ac:dyDescent="0.3">
      <c r="A100" s="121">
        <v>1044162</v>
      </c>
      <c r="B100" s="122" t="s">
        <v>162</v>
      </c>
      <c r="C100" s="122" t="s">
        <v>66</v>
      </c>
      <c r="D100" s="123">
        <v>46117</v>
      </c>
      <c r="E100" s="123">
        <v>46117</v>
      </c>
      <c r="F100" s="122"/>
      <c r="G100" s="122">
        <v>874</v>
      </c>
      <c r="H100" s="122" t="s">
        <v>132</v>
      </c>
      <c r="I100" s="122">
        <v>3256</v>
      </c>
      <c r="J100" s="122">
        <v>953968</v>
      </c>
      <c r="K100" s="122"/>
      <c r="L100" s="122" t="s">
        <v>263</v>
      </c>
      <c r="M100" s="122" t="s">
        <v>160</v>
      </c>
      <c r="N100" s="122" t="s">
        <v>161</v>
      </c>
      <c r="O100" s="123">
        <v>46117</v>
      </c>
      <c r="P100" s="158">
        <v>629</v>
      </c>
      <c r="Q100" s="158" t="s">
        <v>67</v>
      </c>
      <c r="R100" s="158">
        <v>18.18</v>
      </c>
      <c r="S100" s="158">
        <v>4.97</v>
      </c>
      <c r="T100" s="158">
        <v>0.89</v>
      </c>
      <c r="U100" s="158">
        <v>609.92999999999995</v>
      </c>
      <c r="V100" s="163">
        <v>0</v>
      </c>
      <c r="W100" s="122"/>
      <c r="X100" s="162">
        <v>20260406</v>
      </c>
      <c r="Y100" s="122"/>
      <c r="Z100" s="122" t="s">
        <v>142</v>
      </c>
      <c r="AA100" s="122">
        <v>3908900</v>
      </c>
      <c r="AB100" s="122" t="s">
        <v>149</v>
      </c>
      <c r="AC100" s="122"/>
      <c r="AD100" s="122"/>
      <c r="AE100" s="129">
        <v>0.76383101851851853</v>
      </c>
      <c r="AF100" s="122" t="s">
        <v>141</v>
      </c>
      <c r="AG100" s="139" t="s">
        <v>148</v>
      </c>
    </row>
    <row r="101" spans="1:33" x14ac:dyDescent="0.3">
      <c r="A101" s="121">
        <v>1044162</v>
      </c>
      <c r="B101" s="122" t="s">
        <v>162</v>
      </c>
      <c r="C101" s="122" t="s">
        <v>66</v>
      </c>
      <c r="D101" s="123">
        <v>46117</v>
      </c>
      <c r="E101" s="123">
        <v>46117</v>
      </c>
      <c r="F101" s="122"/>
      <c r="G101" s="122">
        <v>874</v>
      </c>
      <c r="H101" s="122" t="s">
        <v>132</v>
      </c>
      <c r="I101" s="122">
        <v>3258</v>
      </c>
      <c r="J101" s="122">
        <v>935271</v>
      </c>
      <c r="K101" s="122"/>
      <c r="L101" s="122" t="s">
        <v>264</v>
      </c>
      <c r="M101" s="122" t="s">
        <v>160</v>
      </c>
      <c r="N101" s="122" t="s">
        <v>161</v>
      </c>
      <c r="O101" s="123">
        <v>46117</v>
      </c>
      <c r="P101" s="158">
        <v>150</v>
      </c>
      <c r="Q101" s="158" t="s">
        <v>67</v>
      </c>
      <c r="R101" s="158">
        <v>4.34</v>
      </c>
      <c r="S101" s="158">
        <v>1.94</v>
      </c>
      <c r="T101" s="158">
        <v>0.35</v>
      </c>
      <c r="U101" s="158">
        <v>145.31</v>
      </c>
      <c r="V101" s="163">
        <v>0</v>
      </c>
      <c r="W101" s="122"/>
      <c r="X101" s="162">
        <v>20260406</v>
      </c>
      <c r="Y101" s="122"/>
      <c r="Z101" s="122" t="s">
        <v>139</v>
      </c>
      <c r="AA101" s="122">
        <v>3908900</v>
      </c>
      <c r="AB101" s="122" t="s">
        <v>145</v>
      </c>
      <c r="AC101" s="122"/>
      <c r="AD101" s="122"/>
      <c r="AE101" s="129">
        <v>0.76947916666666671</v>
      </c>
      <c r="AF101" s="122" t="s">
        <v>141</v>
      </c>
      <c r="AG101" s="139" t="s">
        <v>148</v>
      </c>
    </row>
    <row r="102" spans="1:33" x14ac:dyDescent="0.3">
      <c r="A102" s="121">
        <v>1044162</v>
      </c>
      <c r="B102" s="122" t="s">
        <v>162</v>
      </c>
      <c r="C102" s="122" t="s">
        <v>66</v>
      </c>
      <c r="D102" s="123">
        <v>46117</v>
      </c>
      <c r="E102" s="123">
        <v>46117</v>
      </c>
      <c r="F102" s="122"/>
      <c r="G102" s="122">
        <v>874</v>
      </c>
      <c r="H102" s="122" t="s">
        <v>132</v>
      </c>
      <c r="I102" s="122">
        <v>3260</v>
      </c>
      <c r="J102" s="122">
        <v>292172</v>
      </c>
      <c r="K102" s="122"/>
      <c r="L102" s="122" t="s">
        <v>265</v>
      </c>
      <c r="M102" s="122" t="s">
        <v>160</v>
      </c>
      <c r="N102" s="122" t="s">
        <v>161</v>
      </c>
      <c r="O102" s="123">
        <v>46117</v>
      </c>
      <c r="P102" s="158">
        <v>200</v>
      </c>
      <c r="Q102" s="158" t="s">
        <v>67</v>
      </c>
      <c r="R102" s="158">
        <v>5.78</v>
      </c>
      <c r="S102" s="158">
        <v>1.58</v>
      </c>
      <c r="T102" s="158">
        <v>0.28000000000000003</v>
      </c>
      <c r="U102" s="158">
        <v>193.94</v>
      </c>
      <c r="V102" s="163">
        <v>0</v>
      </c>
      <c r="W102" s="122"/>
      <c r="X102" s="162">
        <v>20260406</v>
      </c>
      <c r="Y102" s="122"/>
      <c r="Z102" s="122" t="s">
        <v>142</v>
      </c>
      <c r="AA102" s="122">
        <v>3908900</v>
      </c>
      <c r="AB102" s="122" t="s">
        <v>147</v>
      </c>
      <c r="AC102" s="122"/>
      <c r="AD102" s="122"/>
      <c r="AE102" s="129">
        <v>0.77028935185185177</v>
      </c>
      <c r="AF102" s="122" t="s">
        <v>141</v>
      </c>
      <c r="AG102" s="139" t="s">
        <v>148</v>
      </c>
    </row>
    <row r="103" spans="1:33" x14ac:dyDescent="0.3">
      <c r="A103" s="121">
        <v>1044162</v>
      </c>
      <c r="B103" s="122" t="s">
        <v>162</v>
      </c>
      <c r="C103" s="122" t="s">
        <v>66</v>
      </c>
      <c r="D103" s="123">
        <v>46117</v>
      </c>
      <c r="E103" s="123">
        <v>46117</v>
      </c>
      <c r="F103" s="122"/>
      <c r="G103" s="122">
        <v>874</v>
      </c>
      <c r="H103" s="122" t="s">
        <v>132</v>
      </c>
      <c r="I103" s="122">
        <v>3264</v>
      </c>
      <c r="J103" s="122">
        <v>985329</v>
      </c>
      <c r="K103" s="122"/>
      <c r="L103" s="122" t="s">
        <v>264</v>
      </c>
      <c r="M103" s="122" t="s">
        <v>160</v>
      </c>
      <c r="N103" s="122" t="s">
        <v>161</v>
      </c>
      <c r="O103" s="123">
        <v>46117</v>
      </c>
      <c r="P103" s="158">
        <v>99</v>
      </c>
      <c r="Q103" s="158" t="s">
        <v>67</v>
      </c>
      <c r="R103" s="158">
        <v>2.86</v>
      </c>
      <c r="S103" s="158">
        <v>1.28</v>
      </c>
      <c r="T103" s="158">
        <v>0.23</v>
      </c>
      <c r="U103" s="158">
        <v>95.91</v>
      </c>
      <c r="V103" s="163">
        <v>0</v>
      </c>
      <c r="W103" s="122"/>
      <c r="X103" s="162">
        <v>20260406</v>
      </c>
      <c r="Y103" s="122"/>
      <c r="Z103" s="122" t="s">
        <v>139</v>
      </c>
      <c r="AA103" s="122">
        <v>3908900</v>
      </c>
      <c r="AB103" s="122" t="s">
        <v>145</v>
      </c>
      <c r="AC103" s="122"/>
      <c r="AD103" s="122"/>
      <c r="AE103" s="129">
        <v>0.77322916666666675</v>
      </c>
      <c r="AF103" s="122" t="s">
        <v>141</v>
      </c>
      <c r="AG103" s="139" t="s">
        <v>148</v>
      </c>
    </row>
    <row r="104" spans="1:33" x14ac:dyDescent="0.3">
      <c r="A104" s="121">
        <v>1044162</v>
      </c>
      <c r="B104" s="122" t="s">
        <v>162</v>
      </c>
      <c r="C104" s="122" t="s">
        <v>66</v>
      </c>
      <c r="D104" s="123">
        <v>46117</v>
      </c>
      <c r="E104" s="123">
        <v>46117</v>
      </c>
      <c r="F104" s="122"/>
      <c r="G104" s="122">
        <v>874</v>
      </c>
      <c r="H104" s="122">
        <v>65656565</v>
      </c>
      <c r="I104" s="122">
        <v>3266</v>
      </c>
      <c r="J104" s="122">
        <v>996638</v>
      </c>
      <c r="K104" s="122"/>
      <c r="L104" s="122" t="s">
        <v>266</v>
      </c>
      <c r="M104" s="122" t="s">
        <v>160</v>
      </c>
      <c r="N104" s="122" t="s">
        <v>161</v>
      </c>
      <c r="O104" s="123">
        <v>46117</v>
      </c>
      <c r="P104" s="158">
        <v>149</v>
      </c>
      <c r="Q104" s="158" t="s">
        <v>67</v>
      </c>
      <c r="R104" s="158">
        <v>4.3</v>
      </c>
      <c r="S104" s="158">
        <v>1.92</v>
      </c>
      <c r="T104" s="158">
        <v>0.35</v>
      </c>
      <c r="U104" s="158">
        <v>144.35</v>
      </c>
      <c r="V104" s="163">
        <v>0</v>
      </c>
      <c r="W104" s="122"/>
      <c r="X104" s="162">
        <v>20260406</v>
      </c>
      <c r="Y104" s="122"/>
      <c r="Z104" s="122" t="s">
        <v>139</v>
      </c>
      <c r="AA104" s="122">
        <v>3908900</v>
      </c>
      <c r="AB104" s="122" t="s">
        <v>145</v>
      </c>
      <c r="AC104" s="122"/>
      <c r="AD104" s="122" t="s">
        <v>146</v>
      </c>
      <c r="AE104" s="129">
        <v>0.78456018518518522</v>
      </c>
      <c r="AF104" s="122" t="s">
        <v>141</v>
      </c>
      <c r="AG104" s="139" t="s">
        <v>148</v>
      </c>
    </row>
    <row r="105" spans="1:33" x14ac:dyDescent="0.3">
      <c r="A105" s="121">
        <v>1044162</v>
      </c>
      <c r="B105" s="122" t="s">
        <v>162</v>
      </c>
      <c r="C105" s="122" t="s">
        <v>66</v>
      </c>
      <c r="D105" s="123">
        <v>46117</v>
      </c>
      <c r="E105" s="123">
        <v>46117</v>
      </c>
      <c r="F105" s="122"/>
      <c r="G105" s="122">
        <v>874</v>
      </c>
      <c r="H105" s="122" t="s">
        <v>132</v>
      </c>
      <c r="I105" s="122">
        <v>3269</v>
      </c>
      <c r="J105" s="122">
        <v>37521</v>
      </c>
      <c r="K105" s="122"/>
      <c r="L105" s="122" t="s">
        <v>267</v>
      </c>
      <c r="M105" s="122" t="s">
        <v>160</v>
      </c>
      <c r="N105" s="122" t="s">
        <v>161</v>
      </c>
      <c r="O105" s="123">
        <v>46117</v>
      </c>
      <c r="P105" s="158">
        <v>1149</v>
      </c>
      <c r="Q105" s="158" t="s">
        <v>67</v>
      </c>
      <c r="R105" s="158">
        <v>33.21</v>
      </c>
      <c r="S105" s="158">
        <v>14.83</v>
      </c>
      <c r="T105" s="158">
        <v>2.67</v>
      </c>
      <c r="U105" s="158">
        <v>1113.1199999999999</v>
      </c>
      <c r="V105" s="163">
        <v>0</v>
      </c>
      <c r="W105" s="122"/>
      <c r="X105" s="162">
        <v>20260406</v>
      </c>
      <c r="Y105" s="122"/>
      <c r="Z105" s="122" t="s">
        <v>139</v>
      </c>
      <c r="AA105" s="122">
        <v>3908900</v>
      </c>
      <c r="AB105" s="122" t="s">
        <v>145</v>
      </c>
      <c r="AC105" s="122"/>
      <c r="AD105" s="122"/>
      <c r="AE105" s="129">
        <v>0.7940625</v>
      </c>
      <c r="AF105" s="122" t="s">
        <v>141</v>
      </c>
      <c r="AG105" s="139" t="s">
        <v>148</v>
      </c>
    </row>
    <row r="106" spans="1:33" x14ac:dyDescent="0.3">
      <c r="A106" s="121">
        <v>1044162</v>
      </c>
      <c r="B106" s="122" t="s">
        <v>162</v>
      </c>
      <c r="C106" s="122" t="s">
        <v>66</v>
      </c>
      <c r="D106" s="123">
        <v>46117</v>
      </c>
      <c r="E106" s="123">
        <v>46117</v>
      </c>
      <c r="F106" s="122"/>
      <c r="G106" s="122">
        <v>874</v>
      </c>
      <c r="H106" s="122" t="s">
        <v>132</v>
      </c>
      <c r="I106" s="122">
        <v>3271</v>
      </c>
      <c r="J106" s="122">
        <v>191109</v>
      </c>
      <c r="K106" s="122"/>
      <c r="L106" s="122" t="s">
        <v>166</v>
      </c>
      <c r="M106" s="122" t="s">
        <v>160</v>
      </c>
      <c r="N106" s="122" t="s">
        <v>161</v>
      </c>
      <c r="O106" s="123">
        <v>46117</v>
      </c>
      <c r="P106" s="158">
        <v>440</v>
      </c>
      <c r="Q106" s="158" t="s">
        <v>67</v>
      </c>
      <c r="R106" s="158">
        <v>12.72</v>
      </c>
      <c r="S106" s="158">
        <v>3.48</v>
      </c>
      <c r="T106" s="158">
        <v>0.63</v>
      </c>
      <c r="U106" s="158">
        <v>426.65</v>
      </c>
      <c r="V106" s="163">
        <v>0</v>
      </c>
      <c r="W106" s="122"/>
      <c r="X106" s="162">
        <v>20260406</v>
      </c>
      <c r="Y106" s="122"/>
      <c r="Z106" s="122" t="s">
        <v>139</v>
      </c>
      <c r="AA106" s="122">
        <v>3908900</v>
      </c>
      <c r="AB106" s="122" t="s">
        <v>147</v>
      </c>
      <c r="AC106" s="122"/>
      <c r="AD106" s="122"/>
      <c r="AE106" s="129">
        <v>0.79866898148148147</v>
      </c>
      <c r="AF106" s="122" t="s">
        <v>141</v>
      </c>
      <c r="AG106" s="139" t="s">
        <v>148</v>
      </c>
    </row>
    <row r="107" spans="1:33" x14ac:dyDescent="0.3">
      <c r="A107" s="121">
        <v>1044162</v>
      </c>
      <c r="B107" s="122" t="s">
        <v>162</v>
      </c>
      <c r="C107" s="122" t="s">
        <v>66</v>
      </c>
      <c r="D107" s="123">
        <v>46117</v>
      </c>
      <c r="E107" s="123">
        <v>46117</v>
      </c>
      <c r="F107" s="122"/>
      <c r="G107" s="122">
        <v>874</v>
      </c>
      <c r="H107" s="122" t="s">
        <v>132</v>
      </c>
      <c r="I107" s="122">
        <v>3273</v>
      </c>
      <c r="J107" s="122">
        <v>51705</v>
      </c>
      <c r="K107" s="122"/>
      <c r="L107" s="122" t="s">
        <v>268</v>
      </c>
      <c r="M107" s="122" t="s">
        <v>160</v>
      </c>
      <c r="N107" s="122" t="s">
        <v>161</v>
      </c>
      <c r="O107" s="123">
        <v>46117</v>
      </c>
      <c r="P107" s="158">
        <v>1699</v>
      </c>
      <c r="Q107" s="158" t="s">
        <v>67</v>
      </c>
      <c r="R107" s="158">
        <v>49.1</v>
      </c>
      <c r="S107" s="158">
        <v>21.92</v>
      </c>
      <c r="T107" s="158">
        <v>3.95</v>
      </c>
      <c r="U107" s="158">
        <v>1645.95</v>
      </c>
      <c r="V107" s="163">
        <v>0</v>
      </c>
      <c r="W107" s="122"/>
      <c r="X107" s="162">
        <v>20260406</v>
      </c>
      <c r="Y107" s="122"/>
      <c r="Z107" s="122" t="s">
        <v>139</v>
      </c>
      <c r="AA107" s="122">
        <v>3908900</v>
      </c>
      <c r="AB107" s="122" t="s">
        <v>145</v>
      </c>
      <c r="AC107" s="122"/>
      <c r="AD107" s="122"/>
      <c r="AE107" s="129">
        <v>0.81565972222222216</v>
      </c>
      <c r="AF107" s="122" t="s">
        <v>141</v>
      </c>
      <c r="AG107" s="139" t="s">
        <v>148</v>
      </c>
    </row>
    <row r="108" spans="1:33" x14ac:dyDescent="0.3">
      <c r="A108" s="121">
        <v>1044162</v>
      </c>
      <c r="B108" s="122" t="s">
        <v>162</v>
      </c>
      <c r="C108" s="122" t="s">
        <v>66</v>
      </c>
      <c r="D108" s="123">
        <v>46117</v>
      </c>
      <c r="E108" s="123">
        <v>46117</v>
      </c>
      <c r="F108" s="122"/>
      <c r="G108" s="122">
        <v>874</v>
      </c>
      <c r="H108" s="122" t="s">
        <v>132</v>
      </c>
      <c r="I108" s="122">
        <v>3275</v>
      </c>
      <c r="J108" s="122">
        <v>311549</v>
      </c>
      <c r="K108" s="122">
        <v>3</v>
      </c>
      <c r="L108" s="122" t="s">
        <v>269</v>
      </c>
      <c r="M108" s="122" t="s">
        <v>160</v>
      </c>
      <c r="N108" s="122" t="s">
        <v>161</v>
      </c>
      <c r="O108" s="123">
        <v>46117</v>
      </c>
      <c r="P108" s="158">
        <v>1699</v>
      </c>
      <c r="Q108" s="158" t="s">
        <v>67</v>
      </c>
      <c r="R108" s="158">
        <v>78.83</v>
      </c>
      <c r="S108" s="158">
        <v>13.42</v>
      </c>
      <c r="T108" s="158">
        <v>2.42</v>
      </c>
      <c r="U108" s="158">
        <v>1617.75</v>
      </c>
      <c r="V108" s="163">
        <v>0</v>
      </c>
      <c r="W108" s="122"/>
      <c r="X108" s="162">
        <v>20260406</v>
      </c>
      <c r="Y108" s="122"/>
      <c r="Z108" s="122" t="s">
        <v>142</v>
      </c>
      <c r="AA108" s="122">
        <v>3908900</v>
      </c>
      <c r="AB108" s="122" t="s">
        <v>148</v>
      </c>
      <c r="AC108" s="122" t="s">
        <v>151</v>
      </c>
      <c r="AD108" s="122"/>
      <c r="AE108" s="129">
        <v>0.8249305555555555</v>
      </c>
      <c r="AF108" s="122" t="s">
        <v>141</v>
      </c>
      <c r="AG108" s="139" t="s">
        <v>148</v>
      </c>
    </row>
    <row r="109" spans="1:33" x14ac:dyDescent="0.3">
      <c r="A109" s="121">
        <v>1044162</v>
      </c>
      <c r="B109" s="122" t="s">
        <v>162</v>
      </c>
      <c r="C109" s="122" t="s">
        <v>66</v>
      </c>
      <c r="D109" s="123">
        <v>46117</v>
      </c>
      <c r="E109" s="123">
        <v>46117</v>
      </c>
      <c r="F109" s="122"/>
      <c r="G109" s="122">
        <v>874</v>
      </c>
      <c r="H109" s="122" t="s">
        <v>132</v>
      </c>
      <c r="I109" s="122">
        <v>3277</v>
      </c>
      <c r="J109" s="122">
        <v>370118</v>
      </c>
      <c r="K109" s="122"/>
      <c r="L109" s="122" t="s">
        <v>270</v>
      </c>
      <c r="M109" s="122" t="s">
        <v>160</v>
      </c>
      <c r="N109" s="122" t="s">
        <v>161</v>
      </c>
      <c r="O109" s="123">
        <v>46117</v>
      </c>
      <c r="P109" s="158">
        <v>199</v>
      </c>
      <c r="Q109" s="158" t="s">
        <v>67</v>
      </c>
      <c r="R109" s="158">
        <v>5.75</v>
      </c>
      <c r="S109" s="158">
        <v>2.57</v>
      </c>
      <c r="T109" s="158">
        <v>0.46</v>
      </c>
      <c r="U109" s="158">
        <v>192.79</v>
      </c>
      <c r="V109" s="163">
        <v>0</v>
      </c>
      <c r="W109" s="122"/>
      <c r="X109" s="162">
        <v>20260406</v>
      </c>
      <c r="Y109" s="122"/>
      <c r="Z109" s="122" t="s">
        <v>139</v>
      </c>
      <c r="AA109" s="122">
        <v>3908900</v>
      </c>
      <c r="AB109" s="122" t="s">
        <v>148</v>
      </c>
      <c r="AC109" s="122"/>
      <c r="AD109" s="122"/>
      <c r="AE109" s="129">
        <v>0.83723379629629635</v>
      </c>
      <c r="AF109" s="122" t="s">
        <v>141</v>
      </c>
      <c r="AG109" s="139" t="s">
        <v>148</v>
      </c>
    </row>
    <row r="110" spans="1:33" x14ac:dyDescent="0.3">
      <c r="A110" s="121">
        <v>1044162</v>
      </c>
      <c r="B110" s="122" t="s">
        <v>162</v>
      </c>
      <c r="C110" s="122" t="s">
        <v>66</v>
      </c>
      <c r="D110" s="123">
        <v>46117</v>
      </c>
      <c r="E110" s="123">
        <v>46117</v>
      </c>
      <c r="F110" s="122"/>
      <c r="G110" s="122">
        <v>874</v>
      </c>
      <c r="H110" s="122" t="s">
        <v>132</v>
      </c>
      <c r="I110" s="122">
        <v>3280</v>
      </c>
      <c r="J110" s="122">
        <v>44036</v>
      </c>
      <c r="K110" s="122">
        <v>3</v>
      </c>
      <c r="L110" s="122" t="s">
        <v>271</v>
      </c>
      <c r="M110" s="122" t="s">
        <v>160</v>
      </c>
      <c r="N110" s="122" t="s">
        <v>161</v>
      </c>
      <c r="O110" s="123">
        <v>46117</v>
      </c>
      <c r="P110" s="158">
        <v>1399</v>
      </c>
      <c r="Q110" s="158" t="s">
        <v>67</v>
      </c>
      <c r="R110" s="158">
        <v>40.43</v>
      </c>
      <c r="S110" s="158">
        <v>8.25</v>
      </c>
      <c r="T110" s="158">
        <v>1.49</v>
      </c>
      <c r="U110" s="158">
        <v>1357.08</v>
      </c>
      <c r="V110" s="161">
        <v>14415.95</v>
      </c>
      <c r="W110" s="123">
        <v>46118</v>
      </c>
      <c r="X110" s="162">
        <v>20260406</v>
      </c>
      <c r="Y110" s="122">
        <v>104101</v>
      </c>
      <c r="Z110" s="122" t="s">
        <v>142</v>
      </c>
      <c r="AA110" s="122">
        <v>3908900</v>
      </c>
      <c r="AB110" s="122" t="s">
        <v>149</v>
      </c>
      <c r="AC110" s="122" t="s">
        <v>144</v>
      </c>
      <c r="AD110" s="122"/>
      <c r="AE110" s="129">
        <v>0.88663194444444438</v>
      </c>
      <c r="AF110" s="122" t="s">
        <v>141</v>
      </c>
      <c r="AG110" s="139" t="s">
        <v>148</v>
      </c>
    </row>
    <row r="111" spans="1:33" x14ac:dyDescent="0.3">
      <c r="A111" s="121">
        <v>1044162</v>
      </c>
      <c r="B111" s="122" t="s">
        <v>167</v>
      </c>
      <c r="C111" s="122" t="s">
        <v>66</v>
      </c>
      <c r="D111" s="123">
        <v>46117</v>
      </c>
      <c r="E111" s="123">
        <v>46117</v>
      </c>
      <c r="F111" s="122"/>
      <c r="G111" s="122">
        <v>874</v>
      </c>
      <c r="H111" s="122" t="s">
        <v>132</v>
      </c>
      <c r="I111" s="122">
        <v>3254</v>
      </c>
      <c r="J111" s="122">
        <v>86329</v>
      </c>
      <c r="K111" s="122"/>
      <c r="L111" s="122" t="s">
        <v>272</v>
      </c>
      <c r="M111" s="122" t="s">
        <v>160</v>
      </c>
      <c r="N111" s="122" t="s">
        <v>161</v>
      </c>
      <c r="O111" s="123">
        <v>46117</v>
      </c>
      <c r="P111" s="158">
        <v>629</v>
      </c>
      <c r="Q111" s="158" t="s">
        <v>67</v>
      </c>
      <c r="R111" s="158">
        <v>18.18</v>
      </c>
      <c r="S111" s="158">
        <v>4.97</v>
      </c>
      <c r="T111" s="158">
        <v>0.89</v>
      </c>
      <c r="U111" s="158">
        <v>609.92999999999995</v>
      </c>
      <c r="V111" s="161">
        <v>609.92999999999995</v>
      </c>
      <c r="W111" s="123">
        <v>46118</v>
      </c>
      <c r="X111" s="162">
        <v>20260406</v>
      </c>
      <c r="Y111" s="122">
        <v>104101</v>
      </c>
      <c r="Z111" s="122" t="s">
        <v>142</v>
      </c>
      <c r="AA111" s="122">
        <v>3908900</v>
      </c>
      <c r="AB111" s="122" t="s">
        <v>538</v>
      </c>
      <c r="AC111" s="122"/>
      <c r="AD111" s="122"/>
      <c r="AE111" s="129">
        <v>0.72288194444444442</v>
      </c>
      <c r="AF111" s="122" t="s">
        <v>141</v>
      </c>
      <c r="AG111" s="139" t="s">
        <v>148</v>
      </c>
    </row>
    <row r="112" spans="1:33" x14ac:dyDescent="0.3">
      <c r="A112" s="121">
        <v>1044162</v>
      </c>
      <c r="B112" s="122" t="s">
        <v>159</v>
      </c>
      <c r="C112" s="122" t="s">
        <v>66</v>
      </c>
      <c r="D112" s="123">
        <v>46118</v>
      </c>
      <c r="E112" s="123">
        <v>46118</v>
      </c>
      <c r="F112" s="122"/>
      <c r="G112" s="122">
        <v>875</v>
      </c>
      <c r="H112" s="122" t="s">
        <v>132</v>
      </c>
      <c r="I112" s="122">
        <v>3323</v>
      </c>
      <c r="J112" s="122">
        <v>139570</v>
      </c>
      <c r="K112" s="122">
        <v>4</v>
      </c>
      <c r="L112" s="122" t="s">
        <v>273</v>
      </c>
      <c r="M112" s="122" t="s">
        <v>160</v>
      </c>
      <c r="N112" s="122" t="s">
        <v>161</v>
      </c>
      <c r="O112" s="123">
        <v>46118</v>
      </c>
      <c r="P112" s="158">
        <v>688</v>
      </c>
      <c r="Q112" s="158" t="s">
        <v>67</v>
      </c>
      <c r="R112" s="158">
        <v>19.88</v>
      </c>
      <c r="S112" s="158">
        <v>5.43</v>
      </c>
      <c r="T112" s="158">
        <v>0.98</v>
      </c>
      <c r="U112" s="158">
        <v>667.14</v>
      </c>
      <c r="V112" s="163">
        <v>0</v>
      </c>
      <c r="W112" s="122"/>
      <c r="X112" s="162">
        <v>20260407</v>
      </c>
      <c r="Y112" s="122"/>
      <c r="Z112" s="122" t="s">
        <v>142</v>
      </c>
      <c r="AA112" s="122">
        <v>3908900</v>
      </c>
      <c r="AB112" s="122" t="s">
        <v>143</v>
      </c>
      <c r="AC112" s="122" t="s">
        <v>144</v>
      </c>
      <c r="AD112" s="122"/>
      <c r="AE112" s="129">
        <v>0.76975694444444442</v>
      </c>
      <c r="AF112" s="122" t="s">
        <v>141</v>
      </c>
      <c r="AG112" s="139" t="s">
        <v>148</v>
      </c>
    </row>
    <row r="113" spans="1:33" x14ac:dyDescent="0.3">
      <c r="A113" s="121">
        <v>1044162</v>
      </c>
      <c r="B113" s="122" t="s">
        <v>159</v>
      </c>
      <c r="C113" s="122" t="s">
        <v>66</v>
      </c>
      <c r="D113" s="123">
        <v>46118</v>
      </c>
      <c r="E113" s="123">
        <v>46118</v>
      </c>
      <c r="F113" s="122"/>
      <c r="G113" s="122">
        <v>875</v>
      </c>
      <c r="H113" s="122" t="s">
        <v>132</v>
      </c>
      <c r="I113" s="122">
        <v>3344</v>
      </c>
      <c r="J113" s="122">
        <v>255180</v>
      </c>
      <c r="K113" s="122"/>
      <c r="L113" s="122" t="s">
        <v>274</v>
      </c>
      <c r="M113" s="122" t="s">
        <v>160</v>
      </c>
      <c r="N113" s="122" t="s">
        <v>161</v>
      </c>
      <c r="O113" s="123">
        <v>46118</v>
      </c>
      <c r="P113" s="158">
        <v>940</v>
      </c>
      <c r="Q113" s="158" t="s">
        <v>67</v>
      </c>
      <c r="R113" s="158">
        <v>27.17</v>
      </c>
      <c r="S113" s="158">
        <v>10.72</v>
      </c>
      <c r="T113" s="158">
        <v>1.93</v>
      </c>
      <c r="U113" s="158">
        <v>910.9</v>
      </c>
      <c r="V113" s="163">
        <v>0</v>
      </c>
      <c r="W113" s="122"/>
      <c r="X113" s="162">
        <v>20260407</v>
      </c>
      <c r="Y113" s="122"/>
      <c r="Z113" s="122" t="s">
        <v>139</v>
      </c>
      <c r="AA113" s="122">
        <v>3908900</v>
      </c>
      <c r="AB113" s="122" t="s">
        <v>140</v>
      </c>
      <c r="AC113" s="122"/>
      <c r="AD113" s="122"/>
      <c r="AE113" s="129">
        <v>0.81405092592592598</v>
      </c>
      <c r="AF113" s="122" t="s">
        <v>141</v>
      </c>
      <c r="AG113" s="139" t="s">
        <v>148</v>
      </c>
    </row>
    <row r="114" spans="1:33" x14ac:dyDescent="0.3">
      <c r="A114" s="121">
        <v>1044162</v>
      </c>
      <c r="B114" s="122" t="s">
        <v>159</v>
      </c>
      <c r="C114" s="122" t="s">
        <v>66</v>
      </c>
      <c r="D114" s="123">
        <v>46118</v>
      </c>
      <c r="E114" s="123">
        <v>46118</v>
      </c>
      <c r="F114" s="122"/>
      <c r="G114" s="122">
        <v>875</v>
      </c>
      <c r="H114" s="122" t="s">
        <v>132</v>
      </c>
      <c r="I114" s="122">
        <v>3348</v>
      </c>
      <c r="J114" s="122">
        <v>261912</v>
      </c>
      <c r="K114" s="122"/>
      <c r="L114" s="122" t="s">
        <v>275</v>
      </c>
      <c r="M114" s="122" t="s">
        <v>160</v>
      </c>
      <c r="N114" s="122" t="s">
        <v>161</v>
      </c>
      <c r="O114" s="123">
        <v>46118</v>
      </c>
      <c r="P114" s="158">
        <v>179</v>
      </c>
      <c r="Q114" s="158" t="s">
        <v>67</v>
      </c>
      <c r="R114" s="158">
        <v>5.17</v>
      </c>
      <c r="S114" s="158">
        <v>2.04</v>
      </c>
      <c r="T114" s="158">
        <v>0.37</v>
      </c>
      <c r="U114" s="158">
        <v>173.46</v>
      </c>
      <c r="V114" s="161">
        <v>1751.5</v>
      </c>
      <c r="W114" s="123">
        <v>46119</v>
      </c>
      <c r="X114" s="162">
        <v>20260407</v>
      </c>
      <c r="Y114" s="122">
        <v>104101</v>
      </c>
      <c r="Z114" s="122" t="s">
        <v>139</v>
      </c>
      <c r="AA114" s="122">
        <v>3908900</v>
      </c>
      <c r="AB114" s="122" t="s">
        <v>140</v>
      </c>
      <c r="AC114" s="122"/>
      <c r="AD114" s="122"/>
      <c r="AE114" s="129">
        <v>0.83865740740740735</v>
      </c>
      <c r="AF114" s="122" t="s">
        <v>141</v>
      </c>
      <c r="AG114" s="139" t="s">
        <v>148</v>
      </c>
    </row>
    <row r="115" spans="1:33" x14ac:dyDescent="0.3">
      <c r="A115" s="121">
        <v>1044162</v>
      </c>
      <c r="B115" s="122" t="s">
        <v>162</v>
      </c>
      <c r="C115" s="122" t="s">
        <v>66</v>
      </c>
      <c r="D115" s="123">
        <v>46118</v>
      </c>
      <c r="E115" s="123">
        <v>46118</v>
      </c>
      <c r="F115" s="122"/>
      <c r="G115" s="122">
        <v>875</v>
      </c>
      <c r="H115" s="122">
        <v>65656565</v>
      </c>
      <c r="I115" s="122">
        <v>3286</v>
      </c>
      <c r="J115" s="122">
        <v>711757</v>
      </c>
      <c r="K115" s="122"/>
      <c r="L115" s="122" t="s">
        <v>276</v>
      </c>
      <c r="M115" s="122" t="s">
        <v>160</v>
      </c>
      <c r="N115" s="122" t="s">
        <v>161</v>
      </c>
      <c r="O115" s="123">
        <v>46118</v>
      </c>
      <c r="P115" s="158">
        <v>1000</v>
      </c>
      <c r="Q115" s="158" t="s">
        <v>67</v>
      </c>
      <c r="R115" s="158">
        <v>28.9</v>
      </c>
      <c r="S115" s="158">
        <v>12.9</v>
      </c>
      <c r="T115" s="158">
        <v>2.3199999999999998</v>
      </c>
      <c r="U115" s="158">
        <v>968.78</v>
      </c>
      <c r="V115" s="163">
        <v>0</v>
      </c>
      <c r="W115" s="122"/>
      <c r="X115" s="162">
        <v>20260407</v>
      </c>
      <c r="Y115" s="122"/>
      <c r="Z115" s="122" t="s">
        <v>139</v>
      </c>
      <c r="AA115" s="122">
        <v>3908900</v>
      </c>
      <c r="AB115" s="122" t="s">
        <v>145</v>
      </c>
      <c r="AC115" s="122"/>
      <c r="AD115" s="122" t="s">
        <v>146</v>
      </c>
      <c r="AE115" s="129">
        <v>0.43018518518518517</v>
      </c>
      <c r="AF115" s="122" t="s">
        <v>141</v>
      </c>
      <c r="AG115" s="139" t="s">
        <v>148</v>
      </c>
    </row>
    <row r="116" spans="1:33" x14ac:dyDescent="0.3">
      <c r="A116" s="121">
        <v>1044162</v>
      </c>
      <c r="B116" s="122" t="s">
        <v>162</v>
      </c>
      <c r="C116" s="122" t="s">
        <v>66</v>
      </c>
      <c r="D116" s="123">
        <v>46118</v>
      </c>
      <c r="E116" s="123">
        <v>46118</v>
      </c>
      <c r="F116" s="122"/>
      <c r="G116" s="122">
        <v>875</v>
      </c>
      <c r="H116" s="122">
        <v>65656565</v>
      </c>
      <c r="I116" s="122">
        <v>3289</v>
      </c>
      <c r="J116" s="122">
        <v>792510</v>
      </c>
      <c r="K116" s="122"/>
      <c r="L116" s="122" t="s">
        <v>277</v>
      </c>
      <c r="M116" s="122" t="s">
        <v>160</v>
      </c>
      <c r="N116" s="122" t="s">
        <v>161</v>
      </c>
      <c r="O116" s="123">
        <v>46118</v>
      </c>
      <c r="P116" s="158">
        <v>94.35</v>
      </c>
      <c r="Q116" s="158" t="s">
        <v>67</v>
      </c>
      <c r="R116" s="158">
        <v>2.72</v>
      </c>
      <c r="S116" s="158">
        <v>1.21</v>
      </c>
      <c r="T116" s="158">
        <v>0.22</v>
      </c>
      <c r="U116" s="158">
        <v>91.41</v>
      </c>
      <c r="V116" s="163">
        <v>0</v>
      </c>
      <c r="W116" s="122"/>
      <c r="X116" s="162">
        <v>20260407</v>
      </c>
      <c r="Y116" s="122"/>
      <c r="Z116" s="122" t="s">
        <v>139</v>
      </c>
      <c r="AA116" s="122">
        <v>3908900</v>
      </c>
      <c r="AB116" s="122" t="s">
        <v>145</v>
      </c>
      <c r="AC116" s="122"/>
      <c r="AD116" s="122" t="s">
        <v>146</v>
      </c>
      <c r="AE116" s="129">
        <v>0.45579861111111114</v>
      </c>
      <c r="AF116" s="122" t="s">
        <v>141</v>
      </c>
      <c r="AG116" s="139" t="s">
        <v>148</v>
      </c>
    </row>
    <row r="117" spans="1:33" x14ac:dyDescent="0.3">
      <c r="A117" s="121">
        <v>1044162</v>
      </c>
      <c r="B117" s="122" t="s">
        <v>162</v>
      </c>
      <c r="C117" s="122" t="s">
        <v>66</v>
      </c>
      <c r="D117" s="123">
        <v>46118</v>
      </c>
      <c r="E117" s="123">
        <v>46118</v>
      </c>
      <c r="F117" s="122"/>
      <c r="G117" s="122">
        <v>875</v>
      </c>
      <c r="H117" s="122" t="s">
        <v>132</v>
      </c>
      <c r="I117" s="122">
        <v>3292</v>
      </c>
      <c r="J117" s="122">
        <v>34605</v>
      </c>
      <c r="K117" s="122"/>
      <c r="L117" s="122" t="s">
        <v>278</v>
      </c>
      <c r="M117" s="122" t="s">
        <v>160</v>
      </c>
      <c r="N117" s="122" t="s">
        <v>161</v>
      </c>
      <c r="O117" s="123">
        <v>46118</v>
      </c>
      <c r="P117" s="158">
        <v>259</v>
      </c>
      <c r="Q117" s="158" t="s">
        <v>67</v>
      </c>
      <c r="R117" s="158">
        <v>7.49</v>
      </c>
      <c r="S117" s="158">
        <v>3.35</v>
      </c>
      <c r="T117" s="158">
        <v>0.6</v>
      </c>
      <c r="U117" s="158">
        <v>250.91</v>
      </c>
      <c r="V117" s="163">
        <v>0</v>
      </c>
      <c r="W117" s="122"/>
      <c r="X117" s="162">
        <v>20260407</v>
      </c>
      <c r="Y117" s="122"/>
      <c r="Z117" s="122" t="s">
        <v>139</v>
      </c>
      <c r="AA117" s="122">
        <v>3908900</v>
      </c>
      <c r="AB117" s="122" t="s">
        <v>152</v>
      </c>
      <c r="AC117" s="122"/>
      <c r="AD117" s="122"/>
      <c r="AE117" s="129">
        <v>0.48906250000000001</v>
      </c>
      <c r="AF117" s="122" t="s">
        <v>141</v>
      </c>
      <c r="AG117" s="139" t="s">
        <v>148</v>
      </c>
    </row>
    <row r="118" spans="1:33" x14ac:dyDescent="0.3">
      <c r="A118" s="121">
        <v>1044162</v>
      </c>
      <c r="B118" s="122" t="s">
        <v>162</v>
      </c>
      <c r="C118" s="122" t="s">
        <v>66</v>
      </c>
      <c r="D118" s="123">
        <v>46118</v>
      </c>
      <c r="E118" s="123">
        <v>46118</v>
      </c>
      <c r="F118" s="122"/>
      <c r="G118" s="122">
        <v>875</v>
      </c>
      <c r="H118" s="122" t="s">
        <v>132</v>
      </c>
      <c r="I118" s="122">
        <v>3295</v>
      </c>
      <c r="J118" s="122">
        <v>36844</v>
      </c>
      <c r="K118" s="122"/>
      <c r="L118" s="122" t="s">
        <v>279</v>
      </c>
      <c r="M118" s="122" t="s">
        <v>160</v>
      </c>
      <c r="N118" s="122" t="s">
        <v>161</v>
      </c>
      <c r="O118" s="123">
        <v>46118</v>
      </c>
      <c r="P118" s="158">
        <v>1799</v>
      </c>
      <c r="Q118" s="158" t="s">
        <v>67</v>
      </c>
      <c r="R118" s="158">
        <v>51.99</v>
      </c>
      <c r="S118" s="158">
        <v>23.21</v>
      </c>
      <c r="T118" s="158">
        <v>4.18</v>
      </c>
      <c r="U118" s="158">
        <v>1742.83</v>
      </c>
      <c r="V118" s="163">
        <v>0</v>
      </c>
      <c r="W118" s="122"/>
      <c r="X118" s="162">
        <v>20260407</v>
      </c>
      <c r="Y118" s="122"/>
      <c r="Z118" s="122" t="s">
        <v>139</v>
      </c>
      <c r="AA118" s="122">
        <v>3908900</v>
      </c>
      <c r="AB118" s="122" t="s">
        <v>152</v>
      </c>
      <c r="AC118" s="122"/>
      <c r="AD118" s="122"/>
      <c r="AE118" s="129">
        <v>0.50107638888888884</v>
      </c>
      <c r="AF118" s="122" t="s">
        <v>141</v>
      </c>
      <c r="AG118" s="139" t="s">
        <v>148</v>
      </c>
    </row>
    <row r="119" spans="1:33" x14ac:dyDescent="0.3">
      <c r="A119" s="121">
        <v>1044162</v>
      </c>
      <c r="B119" s="122" t="s">
        <v>162</v>
      </c>
      <c r="C119" s="122" t="s">
        <v>66</v>
      </c>
      <c r="D119" s="123">
        <v>46118</v>
      </c>
      <c r="E119" s="123">
        <v>46118</v>
      </c>
      <c r="F119" s="122"/>
      <c r="G119" s="122">
        <v>875</v>
      </c>
      <c r="H119" s="122">
        <v>65656565</v>
      </c>
      <c r="I119" s="122">
        <v>3297</v>
      </c>
      <c r="J119" s="122">
        <v>907919</v>
      </c>
      <c r="K119" s="122"/>
      <c r="L119" s="122" t="s">
        <v>280</v>
      </c>
      <c r="M119" s="122" t="s">
        <v>160</v>
      </c>
      <c r="N119" s="122" t="s">
        <v>161</v>
      </c>
      <c r="O119" s="123">
        <v>46118</v>
      </c>
      <c r="P119" s="158">
        <v>199.9</v>
      </c>
      <c r="Q119" s="158" t="s">
        <v>67</v>
      </c>
      <c r="R119" s="158">
        <v>5.77</v>
      </c>
      <c r="S119" s="158">
        <v>2.57</v>
      </c>
      <c r="T119" s="158">
        <v>0.46</v>
      </c>
      <c r="U119" s="158">
        <v>193.67</v>
      </c>
      <c r="V119" s="163">
        <v>0</v>
      </c>
      <c r="W119" s="122"/>
      <c r="X119" s="162">
        <v>20260407</v>
      </c>
      <c r="Y119" s="122"/>
      <c r="Z119" s="122" t="s">
        <v>139</v>
      </c>
      <c r="AA119" s="122">
        <v>3908900</v>
      </c>
      <c r="AB119" s="122" t="s">
        <v>155</v>
      </c>
      <c r="AC119" s="122"/>
      <c r="AD119" s="122" t="s">
        <v>146</v>
      </c>
      <c r="AE119" s="129">
        <v>0.51729166666666659</v>
      </c>
      <c r="AF119" s="122" t="s">
        <v>141</v>
      </c>
      <c r="AG119" s="139" t="s">
        <v>148</v>
      </c>
    </row>
    <row r="120" spans="1:33" x14ac:dyDescent="0.3">
      <c r="A120" s="121">
        <v>1044162</v>
      </c>
      <c r="B120" s="122" t="s">
        <v>162</v>
      </c>
      <c r="C120" s="122" t="s">
        <v>66</v>
      </c>
      <c r="D120" s="123">
        <v>46118</v>
      </c>
      <c r="E120" s="123">
        <v>46118</v>
      </c>
      <c r="F120" s="122"/>
      <c r="G120" s="122">
        <v>875</v>
      </c>
      <c r="H120" s="122" t="s">
        <v>132</v>
      </c>
      <c r="I120" s="122">
        <v>3300</v>
      </c>
      <c r="J120" s="122">
        <v>96786</v>
      </c>
      <c r="K120" s="122"/>
      <c r="L120" s="122" t="s">
        <v>281</v>
      </c>
      <c r="M120" s="122" t="s">
        <v>160</v>
      </c>
      <c r="N120" s="122" t="s">
        <v>161</v>
      </c>
      <c r="O120" s="123">
        <v>46118</v>
      </c>
      <c r="P120" s="158">
        <v>41</v>
      </c>
      <c r="Q120" s="158" t="s">
        <v>67</v>
      </c>
      <c r="R120" s="158">
        <v>1.18</v>
      </c>
      <c r="S120" s="158">
        <v>0.52</v>
      </c>
      <c r="T120" s="158">
        <v>0.09</v>
      </c>
      <c r="U120" s="158">
        <v>39.729999999999997</v>
      </c>
      <c r="V120" s="163">
        <v>0</v>
      </c>
      <c r="W120" s="122"/>
      <c r="X120" s="162">
        <v>20260407</v>
      </c>
      <c r="Y120" s="122"/>
      <c r="Z120" s="122" t="s">
        <v>139</v>
      </c>
      <c r="AA120" s="122">
        <v>3908900</v>
      </c>
      <c r="AB120" s="122" t="s">
        <v>148</v>
      </c>
      <c r="AC120" s="122"/>
      <c r="AD120" s="122"/>
      <c r="AE120" s="129">
        <v>0.54952546296296301</v>
      </c>
      <c r="AF120" s="122" t="s">
        <v>141</v>
      </c>
      <c r="AG120" s="139" t="s">
        <v>148</v>
      </c>
    </row>
    <row r="121" spans="1:33" x14ac:dyDescent="0.3">
      <c r="A121" s="121">
        <v>1044162</v>
      </c>
      <c r="B121" s="122" t="s">
        <v>162</v>
      </c>
      <c r="C121" s="122" t="s">
        <v>66</v>
      </c>
      <c r="D121" s="123">
        <v>46118</v>
      </c>
      <c r="E121" s="123">
        <v>46118</v>
      </c>
      <c r="F121" s="122"/>
      <c r="G121" s="122">
        <v>875</v>
      </c>
      <c r="H121" s="122" t="s">
        <v>132</v>
      </c>
      <c r="I121" s="122">
        <v>3302</v>
      </c>
      <c r="J121" s="122">
        <v>131255</v>
      </c>
      <c r="K121" s="122"/>
      <c r="L121" s="122" t="s">
        <v>166</v>
      </c>
      <c r="M121" s="122" t="s">
        <v>160</v>
      </c>
      <c r="N121" s="122" t="s">
        <v>161</v>
      </c>
      <c r="O121" s="123">
        <v>46118</v>
      </c>
      <c r="P121" s="158">
        <v>298</v>
      </c>
      <c r="Q121" s="158" t="s">
        <v>67</v>
      </c>
      <c r="R121" s="158">
        <v>8.61</v>
      </c>
      <c r="S121" s="158">
        <v>2.35</v>
      </c>
      <c r="T121" s="158">
        <v>0.42</v>
      </c>
      <c r="U121" s="158">
        <v>288.97000000000003</v>
      </c>
      <c r="V121" s="163">
        <v>0</v>
      </c>
      <c r="W121" s="122"/>
      <c r="X121" s="162">
        <v>20260407</v>
      </c>
      <c r="Y121" s="122"/>
      <c r="Z121" s="122" t="s">
        <v>139</v>
      </c>
      <c r="AA121" s="122">
        <v>3908900</v>
      </c>
      <c r="AB121" s="122" t="s">
        <v>147</v>
      </c>
      <c r="AC121" s="122"/>
      <c r="AD121" s="122"/>
      <c r="AE121" s="129">
        <v>0.5499074074074074</v>
      </c>
      <c r="AF121" s="122" t="s">
        <v>141</v>
      </c>
      <c r="AG121" s="139" t="s">
        <v>148</v>
      </c>
    </row>
    <row r="122" spans="1:33" x14ac:dyDescent="0.3">
      <c r="A122" s="121">
        <v>1044162</v>
      </c>
      <c r="B122" s="122" t="s">
        <v>162</v>
      </c>
      <c r="C122" s="122" t="s">
        <v>66</v>
      </c>
      <c r="D122" s="123">
        <v>46118</v>
      </c>
      <c r="E122" s="123">
        <v>46118</v>
      </c>
      <c r="F122" s="122"/>
      <c r="G122" s="122">
        <v>875</v>
      </c>
      <c r="H122" s="122" t="s">
        <v>132</v>
      </c>
      <c r="I122" s="122">
        <v>3313</v>
      </c>
      <c r="J122" s="122">
        <v>273880</v>
      </c>
      <c r="K122" s="122"/>
      <c r="L122" s="122" t="s">
        <v>282</v>
      </c>
      <c r="M122" s="122" t="s">
        <v>160</v>
      </c>
      <c r="N122" s="122" t="s">
        <v>161</v>
      </c>
      <c r="O122" s="123">
        <v>46118</v>
      </c>
      <c r="P122" s="158">
        <v>29.9</v>
      </c>
      <c r="Q122" s="158" t="s">
        <v>67</v>
      </c>
      <c r="R122" s="158">
        <v>0.86</v>
      </c>
      <c r="S122" s="158">
        <v>0.38</v>
      </c>
      <c r="T122" s="158">
        <v>7.0000000000000007E-2</v>
      </c>
      <c r="U122" s="158">
        <v>28.97</v>
      </c>
      <c r="V122" s="163">
        <v>0</v>
      </c>
      <c r="W122" s="122"/>
      <c r="X122" s="162">
        <v>20260407</v>
      </c>
      <c r="Y122" s="122"/>
      <c r="Z122" s="122" t="s">
        <v>139</v>
      </c>
      <c r="AA122" s="122">
        <v>3908900</v>
      </c>
      <c r="AB122" s="122" t="s">
        <v>145</v>
      </c>
      <c r="AC122" s="122"/>
      <c r="AD122" s="122"/>
      <c r="AE122" s="129">
        <v>0.65866898148148145</v>
      </c>
      <c r="AF122" s="122" t="s">
        <v>141</v>
      </c>
      <c r="AG122" s="139" t="s">
        <v>148</v>
      </c>
    </row>
    <row r="123" spans="1:33" x14ac:dyDescent="0.3">
      <c r="A123" s="121">
        <v>1044162</v>
      </c>
      <c r="B123" s="122" t="s">
        <v>162</v>
      </c>
      <c r="C123" s="122" t="s">
        <v>66</v>
      </c>
      <c r="D123" s="123">
        <v>46118</v>
      </c>
      <c r="E123" s="123">
        <v>46118</v>
      </c>
      <c r="F123" s="122"/>
      <c r="G123" s="122">
        <v>875</v>
      </c>
      <c r="H123" s="122" t="s">
        <v>132</v>
      </c>
      <c r="I123" s="122">
        <v>3315</v>
      </c>
      <c r="J123" s="122">
        <v>756685</v>
      </c>
      <c r="K123" s="122"/>
      <c r="L123" s="122" t="s">
        <v>283</v>
      </c>
      <c r="M123" s="122" t="s">
        <v>160</v>
      </c>
      <c r="N123" s="122" t="s">
        <v>161</v>
      </c>
      <c r="O123" s="123">
        <v>46118</v>
      </c>
      <c r="P123" s="158">
        <v>1778</v>
      </c>
      <c r="Q123" s="158" t="s">
        <v>67</v>
      </c>
      <c r="R123" s="158">
        <v>51.38</v>
      </c>
      <c r="S123" s="158">
        <v>22.93</v>
      </c>
      <c r="T123" s="158">
        <v>4.13</v>
      </c>
      <c r="U123" s="158">
        <v>1722.49</v>
      </c>
      <c r="V123" s="163">
        <v>0</v>
      </c>
      <c r="W123" s="122"/>
      <c r="X123" s="162">
        <v>20260407</v>
      </c>
      <c r="Y123" s="122"/>
      <c r="Z123" s="122" t="s">
        <v>139</v>
      </c>
      <c r="AA123" s="122">
        <v>3908900</v>
      </c>
      <c r="AB123" s="122" t="s">
        <v>148</v>
      </c>
      <c r="AC123" s="122"/>
      <c r="AD123" s="122"/>
      <c r="AE123" s="129">
        <v>0.68600694444444443</v>
      </c>
      <c r="AF123" s="122" t="s">
        <v>141</v>
      </c>
      <c r="AG123" s="139" t="s">
        <v>148</v>
      </c>
    </row>
    <row r="124" spans="1:33" x14ac:dyDescent="0.3">
      <c r="A124" s="121">
        <v>1044162</v>
      </c>
      <c r="B124" s="122" t="s">
        <v>162</v>
      </c>
      <c r="C124" s="122" t="s">
        <v>66</v>
      </c>
      <c r="D124" s="123">
        <v>46118</v>
      </c>
      <c r="E124" s="123">
        <v>46118</v>
      </c>
      <c r="F124" s="122"/>
      <c r="G124" s="122">
        <v>875</v>
      </c>
      <c r="H124" s="122" t="s">
        <v>132</v>
      </c>
      <c r="I124" s="122">
        <v>3317</v>
      </c>
      <c r="J124" s="122">
        <v>5858</v>
      </c>
      <c r="K124" s="122"/>
      <c r="L124" s="122" t="s">
        <v>284</v>
      </c>
      <c r="M124" s="122" t="s">
        <v>160</v>
      </c>
      <c r="N124" s="122" t="s">
        <v>161</v>
      </c>
      <c r="O124" s="123">
        <v>46118</v>
      </c>
      <c r="P124" s="158">
        <v>189</v>
      </c>
      <c r="Q124" s="158" t="s">
        <v>67</v>
      </c>
      <c r="R124" s="158">
        <v>5.46</v>
      </c>
      <c r="S124" s="158">
        <v>1.49</v>
      </c>
      <c r="T124" s="158">
        <v>0.27</v>
      </c>
      <c r="U124" s="158">
        <v>183.27</v>
      </c>
      <c r="V124" s="163">
        <v>0</v>
      </c>
      <c r="W124" s="122"/>
      <c r="X124" s="162">
        <v>20260407</v>
      </c>
      <c r="Y124" s="122"/>
      <c r="Z124" s="122" t="s">
        <v>142</v>
      </c>
      <c r="AA124" s="122">
        <v>3908900</v>
      </c>
      <c r="AB124" s="122" t="s">
        <v>145</v>
      </c>
      <c r="AC124" s="122"/>
      <c r="AD124" s="122"/>
      <c r="AE124" s="129">
        <v>0.69055555555555559</v>
      </c>
      <c r="AF124" s="122" t="s">
        <v>141</v>
      </c>
      <c r="AG124" s="139" t="s">
        <v>148</v>
      </c>
    </row>
    <row r="125" spans="1:33" x14ac:dyDescent="0.3">
      <c r="A125" s="121">
        <v>1044162</v>
      </c>
      <c r="B125" s="122" t="s">
        <v>162</v>
      </c>
      <c r="C125" s="122" t="s">
        <v>66</v>
      </c>
      <c r="D125" s="123">
        <v>46118</v>
      </c>
      <c r="E125" s="123">
        <v>46118</v>
      </c>
      <c r="F125" s="122"/>
      <c r="G125" s="122">
        <v>875</v>
      </c>
      <c r="H125" s="122" t="s">
        <v>132</v>
      </c>
      <c r="I125" s="122">
        <v>3319</v>
      </c>
      <c r="J125" s="122">
        <v>87509</v>
      </c>
      <c r="K125" s="122"/>
      <c r="L125" s="122" t="s">
        <v>285</v>
      </c>
      <c r="M125" s="122" t="s">
        <v>160</v>
      </c>
      <c r="N125" s="122" t="s">
        <v>161</v>
      </c>
      <c r="O125" s="123">
        <v>46118</v>
      </c>
      <c r="P125" s="158">
        <v>629</v>
      </c>
      <c r="Q125" s="158" t="s">
        <v>67</v>
      </c>
      <c r="R125" s="158">
        <v>18.18</v>
      </c>
      <c r="S125" s="158">
        <v>8.1199999999999992</v>
      </c>
      <c r="T125" s="158">
        <v>1.46</v>
      </c>
      <c r="U125" s="158">
        <v>609.36</v>
      </c>
      <c r="V125" s="163">
        <v>0</v>
      </c>
      <c r="W125" s="122"/>
      <c r="X125" s="162">
        <v>20260407</v>
      </c>
      <c r="Y125" s="122"/>
      <c r="Z125" s="122" t="s">
        <v>139</v>
      </c>
      <c r="AA125" s="122">
        <v>3908900</v>
      </c>
      <c r="AB125" s="122" t="s">
        <v>152</v>
      </c>
      <c r="AC125" s="122"/>
      <c r="AD125" s="122"/>
      <c r="AE125" s="129">
        <v>0.75219907407407405</v>
      </c>
      <c r="AF125" s="122" t="s">
        <v>141</v>
      </c>
      <c r="AG125" s="139" t="s">
        <v>148</v>
      </c>
    </row>
    <row r="126" spans="1:33" x14ac:dyDescent="0.3">
      <c r="A126" s="121">
        <v>1044162</v>
      </c>
      <c r="B126" s="122" t="s">
        <v>162</v>
      </c>
      <c r="C126" s="122" t="s">
        <v>66</v>
      </c>
      <c r="D126" s="123">
        <v>46118</v>
      </c>
      <c r="E126" s="123">
        <v>46118</v>
      </c>
      <c r="F126" s="122"/>
      <c r="G126" s="122">
        <v>875</v>
      </c>
      <c r="H126" s="122" t="s">
        <v>132</v>
      </c>
      <c r="I126" s="122">
        <v>3321</v>
      </c>
      <c r="J126" s="122">
        <v>87941</v>
      </c>
      <c r="K126" s="122"/>
      <c r="L126" s="122" t="s">
        <v>285</v>
      </c>
      <c r="M126" s="122" t="s">
        <v>160</v>
      </c>
      <c r="N126" s="122" t="s">
        <v>161</v>
      </c>
      <c r="O126" s="123">
        <v>46118</v>
      </c>
      <c r="P126" s="158">
        <v>1149</v>
      </c>
      <c r="Q126" s="158" t="s">
        <v>67</v>
      </c>
      <c r="R126" s="158">
        <v>33.21</v>
      </c>
      <c r="S126" s="158">
        <v>14.83</v>
      </c>
      <c r="T126" s="158">
        <v>2.67</v>
      </c>
      <c r="U126" s="158">
        <v>1113.1199999999999</v>
      </c>
      <c r="V126" s="163">
        <v>0</v>
      </c>
      <c r="W126" s="122"/>
      <c r="X126" s="162">
        <v>20260407</v>
      </c>
      <c r="Y126" s="122"/>
      <c r="Z126" s="122" t="s">
        <v>139</v>
      </c>
      <c r="AA126" s="122">
        <v>3908900</v>
      </c>
      <c r="AB126" s="122" t="s">
        <v>152</v>
      </c>
      <c r="AC126" s="122"/>
      <c r="AD126" s="122"/>
      <c r="AE126" s="129">
        <v>0.75383101851851853</v>
      </c>
      <c r="AF126" s="122" t="s">
        <v>141</v>
      </c>
      <c r="AG126" s="139" t="s">
        <v>148</v>
      </c>
    </row>
    <row r="127" spans="1:33" x14ac:dyDescent="0.3">
      <c r="A127" s="121">
        <v>1044162</v>
      </c>
      <c r="B127" s="122" t="s">
        <v>162</v>
      </c>
      <c r="C127" s="122" t="s">
        <v>66</v>
      </c>
      <c r="D127" s="123">
        <v>46118</v>
      </c>
      <c r="E127" s="123">
        <v>46118</v>
      </c>
      <c r="F127" s="122"/>
      <c r="G127" s="122">
        <v>875</v>
      </c>
      <c r="H127" s="122" t="s">
        <v>132</v>
      </c>
      <c r="I127" s="122">
        <v>3325</v>
      </c>
      <c r="J127" s="122">
        <v>553307</v>
      </c>
      <c r="K127" s="122"/>
      <c r="L127" s="122" t="s">
        <v>286</v>
      </c>
      <c r="M127" s="122" t="s">
        <v>160</v>
      </c>
      <c r="N127" s="122" t="s">
        <v>161</v>
      </c>
      <c r="O127" s="123">
        <v>46118</v>
      </c>
      <c r="P127" s="158">
        <v>500</v>
      </c>
      <c r="Q127" s="158" t="s">
        <v>67</v>
      </c>
      <c r="R127" s="158">
        <v>14.45</v>
      </c>
      <c r="S127" s="158">
        <v>6.45</v>
      </c>
      <c r="T127" s="158">
        <v>1.1599999999999999</v>
      </c>
      <c r="U127" s="158">
        <v>484.39</v>
      </c>
      <c r="V127" s="163">
        <v>0</v>
      </c>
      <c r="W127" s="122"/>
      <c r="X127" s="162">
        <v>20260407</v>
      </c>
      <c r="Y127" s="122"/>
      <c r="Z127" s="122" t="s">
        <v>139</v>
      </c>
      <c r="AA127" s="122">
        <v>3908900</v>
      </c>
      <c r="AB127" s="122" t="s">
        <v>155</v>
      </c>
      <c r="AC127" s="122"/>
      <c r="AD127" s="122"/>
      <c r="AE127" s="129">
        <v>0.77894675925925927</v>
      </c>
      <c r="AF127" s="122" t="s">
        <v>141</v>
      </c>
      <c r="AG127" s="139" t="s">
        <v>148</v>
      </c>
    </row>
    <row r="128" spans="1:33" x14ac:dyDescent="0.3">
      <c r="A128" s="121">
        <v>1044162</v>
      </c>
      <c r="B128" s="122" t="s">
        <v>162</v>
      </c>
      <c r="C128" s="122" t="s">
        <v>66</v>
      </c>
      <c r="D128" s="123">
        <v>46118</v>
      </c>
      <c r="E128" s="123">
        <v>46118</v>
      </c>
      <c r="F128" s="122"/>
      <c r="G128" s="122">
        <v>875</v>
      </c>
      <c r="H128" s="122" t="s">
        <v>132</v>
      </c>
      <c r="I128" s="122">
        <v>3327</v>
      </c>
      <c r="J128" s="122">
        <v>298208</v>
      </c>
      <c r="K128" s="122"/>
      <c r="L128" s="122" t="s">
        <v>287</v>
      </c>
      <c r="M128" s="122" t="s">
        <v>160</v>
      </c>
      <c r="N128" s="122" t="s">
        <v>161</v>
      </c>
      <c r="O128" s="123">
        <v>46118</v>
      </c>
      <c r="P128" s="158">
        <v>449</v>
      </c>
      <c r="Q128" s="158" t="s">
        <v>67</v>
      </c>
      <c r="R128" s="158">
        <v>12.98</v>
      </c>
      <c r="S128" s="158">
        <v>5.8</v>
      </c>
      <c r="T128" s="158">
        <v>1.04</v>
      </c>
      <c r="U128" s="158">
        <v>434.98</v>
      </c>
      <c r="V128" s="163">
        <v>0</v>
      </c>
      <c r="W128" s="122"/>
      <c r="X128" s="162">
        <v>20260407</v>
      </c>
      <c r="Y128" s="122"/>
      <c r="Z128" s="122" t="s">
        <v>139</v>
      </c>
      <c r="AA128" s="122">
        <v>3908900</v>
      </c>
      <c r="AB128" s="122" t="s">
        <v>542</v>
      </c>
      <c r="AC128" s="122"/>
      <c r="AD128" s="122"/>
      <c r="AE128" s="129">
        <v>0.77965277777777775</v>
      </c>
      <c r="AF128" s="122" t="s">
        <v>141</v>
      </c>
      <c r="AG128" s="139" t="s">
        <v>148</v>
      </c>
    </row>
    <row r="129" spans="1:33" x14ac:dyDescent="0.3">
      <c r="A129" s="121">
        <v>1044162</v>
      </c>
      <c r="B129" s="122" t="s">
        <v>162</v>
      </c>
      <c r="C129" s="122" t="s">
        <v>66</v>
      </c>
      <c r="D129" s="123">
        <v>46118</v>
      </c>
      <c r="E129" s="123">
        <v>46118</v>
      </c>
      <c r="F129" s="122"/>
      <c r="G129" s="122">
        <v>875</v>
      </c>
      <c r="H129" s="122" t="s">
        <v>132</v>
      </c>
      <c r="I129" s="122">
        <v>3329</v>
      </c>
      <c r="J129" s="122">
        <v>591161</v>
      </c>
      <c r="K129" s="122"/>
      <c r="L129" s="122" t="s">
        <v>169</v>
      </c>
      <c r="M129" s="122" t="s">
        <v>160</v>
      </c>
      <c r="N129" s="122" t="s">
        <v>161</v>
      </c>
      <c r="O129" s="123">
        <v>46118</v>
      </c>
      <c r="P129" s="158">
        <v>95</v>
      </c>
      <c r="Q129" s="158" t="s">
        <v>67</v>
      </c>
      <c r="R129" s="158">
        <v>2.75</v>
      </c>
      <c r="S129" s="158">
        <v>1.23</v>
      </c>
      <c r="T129" s="158">
        <v>0.22</v>
      </c>
      <c r="U129" s="158">
        <v>92.03</v>
      </c>
      <c r="V129" s="163">
        <v>0</v>
      </c>
      <c r="W129" s="122"/>
      <c r="X129" s="162">
        <v>20260407</v>
      </c>
      <c r="Y129" s="122"/>
      <c r="Z129" s="122" t="s">
        <v>139</v>
      </c>
      <c r="AA129" s="122">
        <v>3908900</v>
      </c>
      <c r="AB129" s="122" t="s">
        <v>145</v>
      </c>
      <c r="AC129" s="122"/>
      <c r="AD129" s="122"/>
      <c r="AE129" s="129">
        <v>0.78328703703703706</v>
      </c>
      <c r="AF129" s="122" t="s">
        <v>141</v>
      </c>
      <c r="AG129" s="139" t="s">
        <v>148</v>
      </c>
    </row>
    <row r="130" spans="1:33" x14ac:dyDescent="0.3">
      <c r="A130" s="121">
        <v>1044162</v>
      </c>
      <c r="B130" s="122" t="s">
        <v>162</v>
      </c>
      <c r="C130" s="122" t="s">
        <v>66</v>
      </c>
      <c r="D130" s="123">
        <v>46118</v>
      </c>
      <c r="E130" s="123">
        <v>46118</v>
      </c>
      <c r="F130" s="122"/>
      <c r="G130" s="122">
        <v>875</v>
      </c>
      <c r="H130" s="122" t="s">
        <v>132</v>
      </c>
      <c r="I130" s="122">
        <v>3331</v>
      </c>
      <c r="J130" s="122">
        <v>184929</v>
      </c>
      <c r="K130" s="122"/>
      <c r="L130" s="122" t="s">
        <v>165</v>
      </c>
      <c r="M130" s="122" t="s">
        <v>160</v>
      </c>
      <c r="N130" s="122" t="s">
        <v>161</v>
      </c>
      <c r="O130" s="123">
        <v>46118</v>
      </c>
      <c r="P130" s="158">
        <v>854</v>
      </c>
      <c r="Q130" s="158" t="s">
        <v>67</v>
      </c>
      <c r="R130" s="158">
        <v>24.68</v>
      </c>
      <c r="S130" s="158">
        <v>6.75</v>
      </c>
      <c r="T130" s="158">
        <v>1.22</v>
      </c>
      <c r="U130" s="158">
        <v>828.1</v>
      </c>
      <c r="V130" s="163">
        <v>0</v>
      </c>
      <c r="W130" s="122"/>
      <c r="X130" s="162">
        <v>20260407</v>
      </c>
      <c r="Y130" s="122"/>
      <c r="Z130" s="122" t="s">
        <v>139</v>
      </c>
      <c r="AA130" s="122">
        <v>3908900</v>
      </c>
      <c r="AB130" s="122" t="s">
        <v>147</v>
      </c>
      <c r="AC130" s="122"/>
      <c r="AD130" s="122"/>
      <c r="AE130" s="129">
        <v>0.78362268518518519</v>
      </c>
      <c r="AF130" s="122" t="s">
        <v>141</v>
      </c>
      <c r="AG130" s="139" t="s">
        <v>148</v>
      </c>
    </row>
    <row r="131" spans="1:33" x14ac:dyDescent="0.3">
      <c r="A131" s="121">
        <v>1044162</v>
      </c>
      <c r="B131" s="122" t="s">
        <v>162</v>
      </c>
      <c r="C131" s="122" t="s">
        <v>66</v>
      </c>
      <c r="D131" s="123">
        <v>46118</v>
      </c>
      <c r="E131" s="123">
        <v>46118</v>
      </c>
      <c r="F131" s="122"/>
      <c r="G131" s="122">
        <v>875</v>
      </c>
      <c r="H131" s="122" t="s">
        <v>132</v>
      </c>
      <c r="I131" s="122">
        <v>3333</v>
      </c>
      <c r="J131" s="122">
        <v>791720</v>
      </c>
      <c r="K131" s="122"/>
      <c r="L131" s="122" t="s">
        <v>288</v>
      </c>
      <c r="M131" s="122" t="s">
        <v>160</v>
      </c>
      <c r="N131" s="122" t="s">
        <v>161</v>
      </c>
      <c r="O131" s="123">
        <v>46118</v>
      </c>
      <c r="P131" s="158">
        <v>629</v>
      </c>
      <c r="Q131" s="158" t="s">
        <v>67</v>
      </c>
      <c r="R131" s="158">
        <v>18.18</v>
      </c>
      <c r="S131" s="158">
        <v>8.1199999999999992</v>
      </c>
      <c r="T131" s="158">
        <v>1.46</v>
      </c>
      <c r="U131" s="158">
        <v>609.36</v>
      </c>
      <c r="V131" s="163">
        <v>0</v>
      </c>
      <c r="W131" s="122"/>
      <c r="X131" s="162">
        <v>20260407</v>
      </c>
      <c r="Y131" s="122"/>
      <c r="Z131" s="122" t="s">
        <v>139</v>
      </c>
      <c r="AA131" s="122">
        <v>3908900</v>
      </c>
      <c r="AB131" s="122" t="s">
        <v>145</v>
      </c>
      <c r="AC131" s="122"/>
      <c r="AD131" s="122"/>
      <c r="AE131" s="129">
        <v>0.78940972222222217</v>
      </c>
      <c r="AF131" s="122" t="s">
        <v>141</v>
      </c>
      <c r="AG131" s="139" t="s">
        <v>148</v>
      </c>
    </row>
    <row r="132" spans="1:33" x14ac:dyDescent="0.3">
      <c r="A132" s="121">
        <v>1044162</v>
      </c>
      <c r="B132" s="122" t="s">
        <v>162</v>
      </c>
      <c r="C132" s="122" t="s">
        <v>66</v>
      </c>
      <c r="D132" s="123">
        <v>46118</v>
      </c>
      <c r="E132" s="123">
        <v>46118</v>
      </c>
      <c r="F132" s="122"/>
      <c r="G132" s="122">
        <v>875</v>
      </c>
      <c r="H132" s="122">
        <v>65656565</v>
      </c>
      <c r="I132" s="122">
        <v>3337</v>
      </c>
      <c r="J132" s="122">
        <v>643924</v>
      </c>
      <c r="K132" s="122"/>
      <c r="L132" s="122" t="s">
        <v>289</v>
      </c>
      <c r="M132" s="122" t="s">
        <v>160</v>
      </c>
      <c r="N132" s="122" t="s">
        <v>161</v>
      </c>
      <c r="O132" s="123">
        <v>46118</v>
      </c>
      <c r="P132" s="158">
        <v>459</v>
      </c>
      <c r="Q132" s="158" t="s">
        <v>67</v>
      </c>
      <c r="R132" s="158">
        <v>13.26</v>
      </c>
      <c r="S132" s="158">
        <v>5.92</v>
      </c>
      <c r="T132" s="158">
        <v>1.07</v>
      </c>
      <c r="U132" s="158">
        <v>444.67</v>
      </c>
      <c r="V132" s="163">
        <v>0</v>
      </c>
      <c r="W132" s="122"/>
      <c r="X132" s="162">
        <v>20260407</v>
      </c>
      <c r="Y132" s="122"/>
      <c r="Z132" s="122" t="s">
        <v>139</v>
      </c>
      <c r="AA132" s="122">
        <v>3908900</v>
      </c>
      <c r="AB132" s="122" t="s">
        <v>145</v>
      </c>
      <c r="AC132" s="122"/>
      <c r="AD132" s="122" t="s">
        <v>146</v>
      </c>
      <c r="AE132" s="129">
        <v>0.80991898148148145</v>
      </c>
      <c r="AF132" s="122" t="s">
        <v>141</v>
      </c>
      <c r="AG132" s="139" t="s">
        <v>148</v>
      </c>
    </row>
    <row r="133" spans="1:33" x14ac:dyDescent="0.3">
      <c r="A133" s="121">
        <v>1044162</v>
      </c>
      <c r="B133" s="122" t="s">
        <v>162</v>
      </c>
      <c r="C133" s="122" t="s">
        <v>66</v>
      </c>
      <c r="D133" s="123">
        <v>46118</v>
      </c>
      <c r="E133" s="123">
        <v>46118</v>
      </c>
      <c r="F133" s="122"/>
      <c r="G133" s="122">
        <v>875</v>
      </c>
      <c r="H133" s="122" t="s">
        <v>132</v>
      </c>
      <c r="I133" s="122">
        <v>3346</v>
      </c>
      <c r="J133" s="122">
        <v>257781</v>
      </c>
      <c r="K133" s="122">
        <v>4</v>
      </c>
      <c r="L133" s="122" t="s">
        <v>290</v>
      </c>
      <c r="M133" s="122" t="s">
        <v>160</v>
      </c>
      <c r="N133" s="122" t="s">
        <v>161</v>
      </c>
      <c r="O133" s="123">
        <v>46118</v>
      </c>
      <c r="P133" s="158">
        <v>1149</v>
      </c>
      <c r="Q133" s="158" t="s">
        <v>67</v>
      </c>
      <c r="R133" s="158">
        <v>33.21</v>
      </c>
      <c r="S133" s="158">
        <v>9.08</v>
      </c>
      <c r="T133" s="158">
        <v>1.63</v>
      </c>
      <c r="U133" s="158">
        <v>1114.1600000000001</v>
      </c>
      <c r="V133" s="163">
        <v>0</v>
      </c>
      <c r="W133" s="122"/>
      <c r="X133" s="162">
        <v>20260407</v>
      </c>
      <c r="Y133" s="122"/>
      <c r="Z133" s="122" t="s">
        <v>142</v>
      </c>
      <c r="AA133" s="122">
        <v>3908900</v>
      </c>
      <c r="AB133" s="122" t="s">
        <v>149</v>
      </c>
      <c r="AC133" s="122" t="s">
        <v>144</v>
      </c>
      <c r="AD133" s="122"/>
      <c r="AE133" s="129">
        <v>0.81960648148148152</v>
      </c>
      <c r="AF133" s="122" t="s">
        <v>141</v>
      </c>
      <c r="AG133" s="139" t="s">
        <v>148</v>
      </c>
    </row>
    <row r="134" spans="1:33" x14ac:dyDescent="0.3">
      <c r="A134" s="121">
        <v>1044162</v>
      </c>
      <c r="B134" s="122" t="s">
        <v>162</v>
      </c>
      <c r="C134" s="122" t="s">
        <v>66</v>
      </c>
      <c r="D134" s="123">
        <v>46118</v>
      </c>
      <c r="E134" s="123">
        <v>46118</v>
      </c>
      <c r="F134" s="122"/>
      <c r="G134" s="122">
        <v>875</v>
      </c>
      <c r="H134" s="122" t="s">
        <v>132</v>
      </c>
      <c r="I134" s="122">
        <v>3350</v>
      </c>
      <c r="J134" s="122">
        <v>793565</v>
      </c>
      <c r="K134" s="122"/>
      <c r="L134" s="122" t="s">
        <v>291</v>
      </c>
      <c r="M134" s="122" t="s">
        <v>160</v>
      </c>
      <c r="N134" s="122" t="s">
        <v>161</v>
      </c>
      <c r="O134" s="123">
        <v>46118</v>
      </c>
      <c r="P134" s="158">
        <v>839</v>
      </c>
      <c r="Q134" s="158" t="s">
        <v>67</v>
      </c>
      <c r="R134" s="158">
        <v>24.25</v>
      </c>
      <c r="S134" s="158">
        <v>10.83</v>
      </c>
      <c r="T134" s="158">
        <v>1.95</v>
      </c>
      <c r="U134" s="158">
        <v>812.8</v>
      </c>
      <c r="V134" s="163">
        <v>0</v>
      </c>
      <c r="W134" s="122"/>
      <c r="X134" s="162">
        <v>20260407</v>
      </c>
      <c r="Y134" s="122"/>
      <c r="Z134" s="122" t="s">
        <v>139</v>
      </c>
      <c r="AA134" s="122">
        <v>3908900</v>
      </c>
      <c r="AB134" s="122" t="s">
        <v>145</v>
      </c>
      <c r="AC134" s="122"/>
      <c r="AD134" s="122"/>
      <c r="AE134" s="129">
        <v>0.85476851851851843</v>
      </c>
      <c r="AF134" s="122" t="s">
        <v>141</v>
      </c>
      <c r="AG134" s="139" t="s">
        <v>148</v>
      </c>
    </row>
    <row r="135" spans="1:33" x14ac:dyDescent="0.3">
      <c r="A135" s="121">
        <v>1044162</v>
      </c>
      <c r="B135" s="122" t="s">
        <v>162</v>
      </c>
      <c r="C135" s="122" t="s">
        <v>66</v>
      </c>
      <c r="D135" s="123">
        <v>46118</v>
      </c>
      <c r="E135" s="123">
        <v>46118</v>
      </c>
      <c r="F135" s="122"/>
      <c r="G135" s="122">
        <v>875</v>
      </c>
      <c r="H135" s="122" t="s">
        <v>132</v>
      </c>
      <c r="I135" s="122">
        <v>3352</v>
      </c>
      <c r="J135" s="122">
        <v>324891</v>
      </c>
      <c r="K135" s="122"/>
      <c r="L135" s="122" t="s">
        <v>292</v>
      </c>
      <c r="M135" s="122" t="s">
        <v>160</v>
      </c>
      <c r="N135" s="122" t="s">
        <v>161</v>
      </c>
      <c r="O135" s="123">
        <v>46118</v>
      </c>
      <c r="P135" s="158">
        <v>568</v>
      </c>
      <c r="Q135" s="158" t="s">
        <v>67</v>
      </c>
      <c r="R135" s="158">
        <v>16.420000000000002</v>
      </c>
      <c r="S135" s="158">
        <v>3.36</v>
      </c>
      <c r="T135" s="158">
        <v>0.6</v>
      </c>
      <c r="U135" s="158">
        <v>550.98</v>
      </c>
      <c r="V135" s="163">
        <v>0</v>
      </c>
      <c r="W135" s="122"/>
      <c r="X135" s="162">
        <v>20260407</v>
      </c>
      <c r="Y135" s="122"/>
      <c r="Z135" s="122" t="s">
        <v>142</v>
      </c>
      <c r="AA135" s="122">
        <v>3908900</v>
      </c>
      <c r="AB135" s="122" t="s">
        <v>149</v>
      </c>
      <c r="AC135" s="122"/>
      <c r="AD135" s="122"/>
      <c r="AE135" s="129">
        <v>0.86922453703703706</v>
      </c>
      <c r="AF135" s="122" t="s">
        <v>141</v>
      </c>
      <c r="AG135" s="139" t="s">
        <v>148</v>
      </c>
    </row>
    <row r="136" spans="1:33" x14ac:dyDescent="0.3">
      <c r="A136" s="121">
        <v>1044162</v>
      </c>
      <c r="B136" s="122" t="s">
        <v>162</v>
      </c>
      <c r="C136" s="122" t="s">
        <v>66</v>
      </c>
      <c r="D136" s="123">
        <v>46118</v>
      </c>
      <c r="E136" s="123">
        <v>46118</v>
      </c>
      <c r="F136" s="122"/>
      <c r="G136" s="122">
        <v>875</v>
      </c>
      <c r="H136" s="122" t="s">
        <v>132</v>
      </c>
      <c r="I136" s="122">
        <v>3354</v>
      </c>
      <c r="J136" s="122">
        <v>789479</v>
      </c>
      <c r="K136" s="122">
        <v>3</v>
      </c>
      <c r="L136" s="122" t="s">
        <v>293</v>
      </c>
      <c r="M136" s="122" t="s">
        <v>160</v>
      </c>
      <c r="N136" s="122" t="s">
        <v>161</v>
      </c>
      <c r="O136" s="123">
        <v>46118</v>
      </c>
      <c r="P136" s="158">
        <v>698</v>
      </c>
      <c r="Q136" s="158" t="s">
        <v>67</v>
      </c>
      <c r="R136" s="158">
        <v>32.39</v>
      </c>
      <c r="S136" s="158">
        <v>4.12</v>
      </c>
      <c r="T136" s="158">
        <v>0.74</v>
      </c>
      <c r="U136" s="158">
        <v>664.87</v>
      </c>
      <c r="V136" s="163">
        <v>0</v>
      </c>
      <c r="W136" s="122"/>
      <c r="X136" s="162">
        <v>20260407</v>
      </c>
      <c r="Y136" s="122"/>
      <c r="Z136" s="122" t="s">
        <v>142</v>
      </c>
      <c r="AA136" s="122">
        <v>3908900</v>
      </c>
      <c r="AB136" s="122" t="s">
        <v>148</v>
      </c>
      <c r="AC136" s="122" t="s">
        <v>151</v>
      </c>
      <c r="AD136" s="122"/>
      <c r="AE136" s="129">
        <v>0.87422453703703706</v>
      </c>
      <c r="AF136" s="122" t="s">
        <v>141</v>
      </c>
      <c r="AG136" s="139" t="s">
        <v>148</v>
      </c>
    </row>
    <row r="137" spans="1:33" x14ac:dyDescent="0.3">
      <c r="A137" s="121">
        <v>1044162</v>
      </c>
      <c r="B137" s="122" t="s">
        <v>162</v>
      </c>
      <c r="C137" s="122" t="s">
        <v>66</v>
      </c>
      <c r="D137" s="123">
        <v>46118</v>
      </c>
      <c r="E137" s="123">
        <v>46118</v>
      </c>
      <c r="F137" s="122"/>
      <c r="G137" s="122">
        <v>875</v>
      </c>
      <c r="H137" s="122" t="s">
        <v>132</v>
      </c>
      <c r="I137" s="122">
        <v>3356</v>
      </c>
      <c r="J137" s="122">
        <v>851836</v>
      </c>
      <c r="K137" s="122"/>
      <c r="L137" s="122" t="s">
        <v>294</v>
      </c>
      <c r="M137" s="122" t="s">
        <v>160</v>
      </c>
      <c r="N137" s="122" t="s">
        <v>161</v>
      </c>
      <c r="O137" s="123">
        <v>46118</v>
      </c>
      <c r="P137" s="158">
        <v>299</v>
      </c>
      <c r="Q137" s="158" t="s">
        <v>67</v>
      </c>
      <c r="R137" s="158">
        <v>8.64</v>
      </c>
      <c r="S137" s="158">
        <v>2.36</v>
      </c>
      <c r="T137" s="158">
        <v>0.42</v>
      </c>
      <c r="U137" s="158">
        <v>289.94</v>
      </c>
      <c r="V137" s="163">
        <v>0</v>
      </c>
      <c r="W137" s="122"/>
      <c r="X137" s="162">
        <v>20260407</v>
      </c>
      <c r="Y137" s="122"/>
      <c r="Z137" s="122" t="s">
        <v>139</v>
      </c>
      <c r="AA137" s="122">
        <v>3908900</v>
      </c>
      <c r="AB137" s="122" t="s">
        <v>145</v>
      </c>
      <c r="AC137" s="122"/>
      <c r="AD137" s="122"/>
      <c r="AE137" s="129">
        <v>0.88171296296296298</v>
      </c>
      <c r="AF137" s="122" t="s">
        <v>141</v>
      </c>
      <c r="AG137" s="139" t="s">
        <v>148</v>
      </c>
    </row>
    <row r="138" spans="1:33" x14ac:dyDescent="0.3">
      <c r="A138" s="121">
        <v>1044162</v>
      </c>
      <c r="B138" s="122" t="s">
        <v>162</v>
      </c>
      <c r="C138" s="122" t="s">
        <v>66</v>
      </c>
      <c r="D138" s="123">
        <v>46118</v>
      </c>
      <c r="E138" s="123">
        <v>46118</v>
      </c>
      <c r="F138" s="122"/>
      <c r="G138" s="122">
        <v>875</v>
      </c>
      <c r="H138" s="122" t="s">
        <v>132</v>
      </c>
      <c r="I138" s="122">
        <v>3358</v>
      </c>
      <c r="J138" s="122">
        <v>43078</v>
      </c>
      <c r="K138" s="122"/>
      <c r="L138" s="122" t="s">
        <v>295</v>
      </c>
      <c r="M138" s="122" t="s">
        <v>160</v>
      </c>
      <c r="N138" s="122" t="s">
        <v>161</v>
      </c>
      <c r="O138" s="123">
        <v>46118</v>
      </c>
      <c r="P138" s="158">
        <v>3228.9</v>
      </c>
      <c r="Q138" s="158" t="s">
        <v>67</v>
      </c>
      <c r="R138" s="158">
        <v>93.32</v>
      </c>
      <c r="S138" s="158">
        <v>41.66</v>
      </c>
      <c r="T138" s="158">
        <v>7.5</v>
      </c>
      <c r="U138" s="158">
        <v>3128.08</v>
      </c>
      <c r="V138" s="163">
        <v>0</v>
      </c>
      <c r="W138" s="122"/>
      <c r="X138" s="162">
        <v>20260407</v>
      </c>
      <c r="Y138" s="122"/>
      <c r="Z138" s="122" t="s">
        <v>139</v>
      </c>
      <c r="AA138" s="122">
        <v>3908900</v>
      </c>
      <c r="AB138" s="122" t="s">
        <v>145</v>
      </c>
      <c r="AC138" s="122"/>
      <c r="AD138" s="122"/>
      <c r="AE138" s="129">
        <v>0.8835763888888889</v>
      </c>
      <c r="AF138" s="122" t="s">
        <v>141</v>
      </c>
      <c r="AG138" s="139" t="s">
        <v>148</v>
      </c>
    </row>
    <row r="139" spans="1:33" x14ac:dyDescent="0.3">
      <c r="A139" s="121">
        <v>1044162</v>
      </c>
      <c r="B139" s="122" t="s">
        <v>162</v>
      </c>
      <c r="C139" s="122" t="s">
        <v>66</v>
      </c>
      <c r="D139" s="123">
        <v>46118</v>
      </c>
      <c r="E139" s="123">
        <v>46118</v>
      </c>
      <c r="F139" s="122"/>
      <c r="G139" s="122">
        <v>875</v>
      </c>
      <c r="H139" s="122" t="s">
        <v>132</v>
      </c>
      <c r="I139" s="122">
        <v>3360</v>
      </c>
      <c r="J139" s="122">
        <v>887308</v>
      </c>
      <c r="K139" s="122"/>
      <c r="L139" s="122" t="s">
        <v>296</v>
      </c>
      <c r="M139" s="122" t="s">
        <v>160</v>
      </c>
      <c r="N139" s="122" t="s">
        <v>161</v>
      </c>
      <c r="O139" s="123">
        <v>46118</v>
      </c>
      <c r="P139" s="158">
        <v>62.9</v>
      </c>
      <c r="Q139" s="158" t="s">
        <v>67</v>
      </c>
      <c r="R139" s="158">
        <v>1.82</v>
      </c>
      <c r="S139" s="158">
        <v>0.81</v>
      </c>
      <c r="T139" s="158">
        <v>0.15</v>
      </c>
      <c r="U139" s="158">
        <v>60.93</v>
      </c>
      <c r="V139" s="163">
        <v>0</v>
      </c>
      <c r="W139" s="122"/>
      <c r="X139" s="162">
        <v>20260407</v>
      </c>
      <c r="Y139" s="122"/>
      <c r="Z139" s="122" t="s">
        <v>139</v>
      </c>
      <c r="AA139" s="122">
        <v>3908900</v>
      </c>
      <c r="AB139" s="122" t="s">
        <v>145</v>
      </c>
      <c r="AC139" s="122"/>
      <c r="AD139" s="122"/>
      <c r="AE139" s="129">
        <v>0.89001157407407405</v>
      </c>
      <c r="AF139" s="122" t="s">
        <v>141</v>
      </c>
      <c r="AG139" s="139" t="s">
        <v>148</v>
      </c>
    </row>
    <row r="140" spans="1:33" x14ac:dyDescent="0.3">
      <c r="A140" s="121">
        <v>1044162</v>
      </c>
      <c r="B140" s="122" t="s">
        <v>162</v>
      </c>
      <c r="C140" s="122" t="s">
        <v>66</v>
      </c>
      <c r="D140" s="123">
        <v>46118</v>
      </c>
      <c r="E140" s="123">
        <v>46118</v>
      </c>
      <c r="F140" s="122"/>
      <c r="G140" s="122">
        <v>875</v>
      </c>
      <c r="H140" s="122" t="s">
        <v>132</v>
      </c>
      <c r="I140" s="122">
        <v>3362</v>
      </c>
      <c r="J140" s="122">
        <v>897583</v>
      </c>
      <c r="K140" s="122"/>
      <c r="L140" s="122" t="s">
        <v>297</v>
      </c>
      <c r="M140" s="122" t="s">
        <v>160</v>
      </c>
      <c r="N140" s="122" t="s">
        <v>161</v>
      </c>
      <c r="O140" s="123">
        <v>46118</v>
      </c>
      <c r="P140" s="158">
        <v>189</v>
      </c>
      <c r="Q140" s="158" t="s">
        <v>67</v>
      </c>
      <c r="R140" s="158">
        <v>5.46</v>
      </c>
      <c r="S140" s="158">
        <v>2.44</v>
      </c>
      <c r="T140" s="158">
        <v>0.44</v>
      </c>
      <c r="U140" s="158">
        <v>183.1</v>
      </c>
      <c r="V140" s="163">
        <v>0</v>
      </c>
      <c r="W140" s="122"/>
      <c r="X140" s="162">
        <v>20260407</v>
      </c>
      <c r="Y140" s="122"/>
      <c r="Z140" s="122" t="s">
        <v>139</v>
      </c>
      <c r="AA140" s="122">
        <v>3908900</v>
      </c>
      <c r="AB140" s="122" t="s">
        <v>145</v>
      </c>
      <c r="AC140" s="122"/>
      <c r="AD140" s="122"/>
      <c r="AE140" s="129">
        <v>0.89471064814814805</v>
      </c>
      <c r="AF140" s="122" t="s">
        <v>141</v>
      </c>
      <c r="AG140" s="139" t="s">
        <v>148</v>
      </c>
    </row>
    <row r="141" spans="1:33" x14ac:dyDescent="0.3">
      <c r="A141" s="121">
        <v>1044162</v>
      </c>
      <c r="B141" s="122" t="s">
        <v>162</v>
      </c>
      <c r="C141" s="122" t="s">
        <v>66</v>
      </c>
      <c r="D141" s="123">
        <v>46118</v>
      </c>
      <c r="E141" s="123">
        <v>46118</v>
      </c>
      <c r="F141" s="122"/>
      <c r="G141" s="122">
        <v>875</v>
      </c>
      <c r="H141" s="122" t="s">
        <v>132</v>
      </c>
      <c r="I141" s="122">
        <v>3364</v>
      </c>
      <c r="J141" s="122">
        <v>903827</v>
      </c>
      <c r="K141" s="122"/>
      <c r="L141" s="122" t="s">
        <v>298</v>
      </c>
      <c r="M141" s="122" t="s">
        <v>160</v>
      </c>
      <c r="N141" s="122" t="s">
        <v>161</v>
      </c>
      <c r="O141" s="123">
        <v>46118</v>
      </c>
      <c r="P141" s="158">
        <v>688</v>
      </c>
      <c r="Q141" s="158" t="s">
        <v>67</v>
      </c>
      <c r="R141" s="158">
        <v>19.88</v>
      </c>
      <c r="S141" s="158">
        <v>4.0599999999999996</v>
      </c>
      <c r="T141" s="158">
        <v>0.73</v>
      </c>
      <c r="U141" s="158">
        <v>667.39</v>
      </c>
      <c r="V141" s="163">
        <v>0</v>
      </c>
      <c r="W141" s="122"/>
      <c r="X141" s="162">
        <v>20260407</v>
      </c>
      <c r="Y141" s="122"/>
      <c r="Z141" s="122" t="s">
        <v>142</v>
      </c>
      <c r="AA141" s="122">
        <v>3908900</v>
      </c>
      <c r="AB141" s="122" t="s">
        <v>148</v>
      </c>
      <c r="AC141" s="122"/>
      <c r="AD141" s="122"/>
      <c r="AE141" s="129">
        <v>0.90136574074074083</v>
      </c>
      <c r="AF141" s="122" t="s">
        <v>141</v>
      </c>
      <c r="AG141" s="139" t="s">
        <v>148</v>
      </c>
    </row>
    <row r="142" spans="1:33" x14ac:dyDescent="0.3">
      <c r="A142" s="121">
        <v>1044162</v>
      </c>
      <c r="B142" s="122" t="s">
        <v>162</v>
      </c>
      <c r="C142" s="122" t="s">
        <v>66</v>
      </c>
      <c r="D142" s="123">
        <v>46118</v>
      </c>
      <c r="E142" s="123">
        <v>46118</v>
      </c>
      <c r="F142" s="122"/>
      <c r="G142" s="122">
        <v>875</v>
      </c>
      <c r="H142" s="122" t="s">
        <v>132</v>
      </c>
      <c r="I142" s="122">
        <v>3366</v>
      </c>
      <c r="J142" s="122">
        <v>545363</v>
      </c>
      <c r="K142" s="122"/>
      <c r="L142" s="122" t="s">
        <v>299</v>
      </c>
      <c r="M142" s="122" t="s">
        <v>160</v>
      </c>
      <c r="N142" s="122" t="s">
        <v>161</v>
      </c>
      <c r="O142" s="123">
        <v>46118</v>
      </c>
      <c r="P142" s="158">
        <v>94.9</v>
      </c>
      <c r="Q142" s="158" t="s">
        <v>67</v>
      </c>
      <c r="R142" s="158">
        <v>2.74</v>
      </c>
      <c r="S142" s="158">
        <v>1.22</v>
      </c>
      <c r="T142" s="158">
        <v>0.22</v>
      </c>
      <c r="U142" s="158">
        <v>91.94</v>
      </c>
      <c r="V142" s="161">
        <v>17691.23</v>
      </c>
      <c r="W142" s="123">
        <v>46119</v>
      </c>
      <c r="X142" s="162">
        <v>20260407</v>
      </c>
      <c r="Y142" s="122">
        <v>104101</v>
      </c>
      <c r="Z142" s="122" t="s">
        <v>139</v>
      </c>
      <c r="AA142" s="122">
        <v>3908900</v>
      </c>
      <c r="AB142" s="122" t="s">
        <v>147</v>
      </c>
      <c r="AC142" s="122"/>
      <c r="AD142" s="122"/>
      <c r="AE142" s="129">
        <v>0.90337962962962959</v>
      </c>
      <c r="AF142" s="122" t="s">
        <v>141</v>
      </c>
      <c r="AG142" s="139" t="s">
        <v>148</v>
      </c>
    </row>
    <row r="143" spans="1:33" x14ac:dyDescent="0.3">
      <c r="A143" s="121">
        <v>1044162</v>
      </c>
      <c r="B143" s="122" t="s">
        <v>159</v>
      </c>
      <c r="C143" s="122" t="s">
        <v>66</v>
      </c>
      <c r="D143" s="123">
        <v>46119</v>
      </c>
      <c r="E143" s="123">
        <v>46119</v>
      </c>
      <c r="F143" s="122"/>
      <c r="G143" s="122">
        <v>876</v>
      </c>
      <c r="H143" s="122" t="s">
        <v>132</v>
      </c>
      <c r="I143" s="122">
        <v>3418</v>
      </c>
      <c r="J143" s="122">
        <v>114455</v>
      </c>
      <c r="K143" s="122"/>
      <c r="L143" s="122" t="s">
        <v>300</v>
      </c>
      <c r="M143" s="122" t="s">
        <v>160</v>
      </c>
      <c r="N143" s="122" t="s">
        <v>161</v>
      </c>
      <c r="O143" s="123">
        <v>46119</v>
      </c>
      <c r="P143" s="158">
        <v>179</v>
      </c>
      <c r="Q143" s="158" t="s">
        <v>67</v>
      </c>
      <c r="R143" s="158">
        <v>5.17</v>
      </c>
      <c r="S143" s="158">
        <v>2.04</v>
      </c>
      <c r="T143" s="158">
        <v>0.37</v>
      </c>
      <c r="U143" s="158">
        <v>173.46</v>
      </c>
      <c r="V143" s="161">
        <v>173.46</v>
      </c>
      <c r="W143" s="123">
        <v>46120</v>
      </c>
      <c r="X143" s="162">
        <v>20260408</v>
      </c>
      <c r="Y143" s="122">
        <v>104101</v>
      </c>
      <c r="Z143" s="122" t="s">
        <v>139</v>
      </c>
      <c r="AA143" s="122">
        <v>3908900</v>
      </c>
      <c r="AB143" s="122" t="s">
        <v>140</v>
      </c>
      <c r="AC143" s="122"/>
      <c r="AD143" s="122"/>
      <c r="AE143" s="129">
        <v>0.83762731481481489</v>
      </c>
      <c r="AF143" s="122" t="s">
        <v>141</v>
      </c>
      <c r="AG143" s="139" t="s">
        <v>148</v>
      </c>
    </row>
    <row r="144" spans="1:33" x14ac:dyDescent="0.3">
      <c r="A144" s="121">
        <v>1044162</v>
      </c>
      <c r="B144" s="122" t="s">
        <v>162</v>
      </c>
      <c r="C144" s="122" t="s">
        <v>66</v>
      </c>
      <c r="D144" s="123">
        <v>46119</v>
      </c>
      <c r="E144" s="123">
        <v>46119</v>
      </c>
      <c r="F144" s="122"/>
      <c r="G144" s="122">
        <v>876</v>
      </c>
      <c r="H144" s="122" t="s">
        <v>132</v>
      </c>
      <c r="I144" s="122">
        <v>3372</v>
      </c>
      <c r="J144" s="122">
        <v>872552</v>
      </c>
      <c r="K144" s="122"/>
      <c r="L144" s="122" t="s">
        <v>301</v>
      </c>
      <c r="M144" s="122" t="s">
        <v>160</v>
      </c>
      <c r="N144" s="122" t="s">
        <v>161</v>
      </c>
      <c r="O144" s="123">
        <v>46119</v>
      </c>
      <c r="P144" s="158">
        <v>1799</v>
      </c>
      <c r="Q144" s="158" t="s">
        <v>67</v>
      </c>
      <c r="R144" s="158">
        <v>51.99</v>
      </c>
      <c r="S144" s="158">
        <v>23.21</v>
      </c>
      <c r="T144" s="158">
        <v>4.18</v>
      </c>
      <c r="U144" s="158">
        <v>1742.83</v>
      </c>
      <c r="V144" s="163">
        <v>0</v>
      </c>
      <c r="W144" s="122"/>
      <c r="X144" s="162">
        <v>20260408</v>
      </c>
      <c r="Y144" s="122"/>
      <c r="Z144" s="122" t="s">
        <v>139</v>
      </c>
      <c r="AA144" s="122">
        <v>3908900</v>
      </c>
      <c r="AB144" s="122" t="s">
        <v>148</v>
      </c>
      <c r="AC144" s="122"/>
      <c r="AD144" s="122"/>
      <c r="AE144" s="129">
        <v>0.44515046296296296</v>
      </c>
      <c r="AF144" s="122" t="s">
        <v>141</v>
      </c>
      <c r="AG144" s="139" t="s">
        <v>148</v>
      </c>
    </row>
    <row r="145" spans="1:33" x14ac:dyDescent="0.3">
      <c r="A145" s="121">
        <v>1044162</v>
      </c>
      <c r="B145" s="122" t="s">
        <v>162</v>
      </c>
      <c r="C145" s="122" t="s">
        <v>66</v>
      </c>
      <c r="D145" s="123">
        <v>46119</v>
      </c>
      <c r="E145" s="123">
        <v>46119</v>
      </c>
      <c r="F145" s="122"/>
      <c r="G145" s="122">
        <v>876</v>
      </c>
      <c r="H145" s="122">
        <v>65656565</v>
      </c>
      <c r="I145" s="122">
        <v>3374</v>
      </c>
      <c r="J145" s="122">
        <v>444178</v>
      </c>
      <c r="K145" s="122"/>
      <c r="L145" s="122" t="s">
        <v>302</v>
      </c>
      <c r="M145" s="122" t="s">
        <v>160</v>
      </c>
      <c r="N145" s="122" t="s">
        <v>161</v>
      </c>
      <c r="O145" s="123">
        <v>46119</v>
      </c>
      <c r="P145" s="158">
        <v>89</v>
      </c>
      <c r="Q145" s="158" t="s">
        <v>67</v>
      </c>
      <c r="R145" s="158">
        <v>2.57</v>
      </c>
      <c r="S145" s="158">
        <v>1.1499999999999999</v>
      </c>
      <c r="T145" s="158">
        <v>0.21</v>
      </c>
      <c r="U145" s="158">
        <v>86.22</v>
      </c>
      <c r="V145" s="163">
        <v>0</v>
      </c>
      <c r="W145" s="122"/>
      <c r="X145" s="162">
        <v>20260408</v>
      </c>
      <c r="Y145" s="122"/>
      <c r="Z145" s="122" t="s">
        <v>139</v>
      </c>
      <c r="AA145" s="122">
        <v>3908900</v>
      </c>
      <c r="AB145" s="122" t="s">
        <v>145</v>
      </c>
      <c r="AC145" s="122"/>
      <c r="AD145" s="122" t="s">
        <v>146</v>
      </c>
      <c r="AE145" s="129">
        <v>0.48182870370370368</v>
      </c>
      <c r="AF145" s="122" t="s">
        <v>141</v>
      </c>
      <c r="AG145" s="139" t="s">
        <v>148</v>
      </c>
    </row>
    <row r="146" spans="1:33" x14ac:dyDescent="0.3">
      <c r="A146" s="121">
        <v>1044162</v>
      </c>
      <c r="B146" s="122" t="s">
        <v>162</v>
      </c>
      <c r="C146" s="122" t="s">
        <v>66</v>
      </c>
      <c r="D146" s="123">
        <v>46119</v>
      </c>
      <c r="E146" s="123">
        <v>46119</v>
      </c>
      <c r="F146" s="122"/>
      <c r="G146" s="122">
        <v>876</v>
      </c>
      <c r="H146" s="122" t="s">
        <v>132</v>
      </c>
      <c r="I146" s="122">
        <v>3377</v>
      </c>
      <c r="J146" s="122">
        <v>494197</v>
      </c>
      <c r="K146" s="122"/>
      <c r="L146" s="122" t="s">
        <v>303</v>
      </c>
      <c r="M146" s="122" t="s">
        <v>160</v>
      </c>
      <c r="N146" s="122" t="s">
        <v>161</v>
      </c>
      <c r="O146" s="123">
        <v>46119</v>
      </c>
      <c r="P146" s="158">
        <v>1149</v>
      </c>
      <c r="Q146" s="158" t="s">
        <v>67</v>
      </c>
      <c r="R146" s="158">
        <v>33.21</v>
      </c>
      <c r="S146" s="158">
        <v>14.83</v>
      </c>
      <c r="T146" s="158">
        <v>2.67</v>
      </c>
      <c r="U146" s="158">
        <v>1113.1199999999999</v>
      </c>
      <c r="V146" s="163">
        <v>0</v>
      </c>
      <c r="W146" s="122"/>
      <c r="X146" s="162">
        <v>20260408</v>
      </c>
      <c r="Y146" s="122"/>
      <c r="Z146" s="122" t="s">
        <v>139</v>
      </c>
      <c r="AA146" s="122">
        <v>3908900</v>
      </c>
      <c r="AB146" s="122" t="s">
        <v>145</v>
      </c>
      <c r="AC146" s="122"/>
      <c r="AD146" s="122"/>
      <c r="AE146" s="129">
        <v>0.50388888888888894</v>
      </c>
      <c r="AF146" s="122" t="s">
        <v>141</v>
      </c>
      <c r="AG146" s="139" t="s">
        <v>148</v>
      </c>
    </row>
    <row r="147" spans="1:33" x14ac:dyDescent="0.3">
      <c r="A147" s="121">
        <v>1044162</v>
      </c>
      <c r="B147" s="122" t="s">
        <v>162</v>
      </c>
      <c r="C147" s="122" t="s">
        <v>66</v>
      </c>
      <c r="D147" s="123">
        <v>46119</v>
      </c>
      <c r="E147" s="123">
        <v>46119</v>
      </c>
      <c r="F147" s="122"/>
      <c r="G147" s="122">
        <v>876</v>
      </c>
      <c r="H147" s="122" t="s">
        <v>132</v>
      </c>
      <c r="I147" s="122">
        <v>3379</v>
      </c>
      <c r="J147" s="122">
        <v>651373</v>
      </c>
      <c r="K147" s="122"/>
      <c r="L147" s="122" t="s">
        <v>304</v>
      </c>
      <c r="M147" s="122" t="s">
        <v>160</v>
      </c>
      <c r="N147" s="122" t="s">
        <v>161</v>
      </c>
      <c r="O147" s="123">
        <v>46119</v>
      </c>
      <c r="P147" s="158">
        <v>170</v>
      </c>
      <c r="Q147" s="158" t="s">
        <v>67</v>
      </c>
      <c r="R147" s="158">
        <v>4.91</v>
      </c>
      <c r="S147" s="158">
        <v>2.19</v>
      </c>
      <c r="T147" s="158">
        <v>0.39</v>
      </c>
      <c r="U147" s="158">
        <v>164.7</v>
      </c>
      <c r="V147" s="163">
        <v>0</v>
      </c>
      <c r="W147" s="122"/>
      <c r="X147" s="162">
        <v>20260408</v>
      </c>
      <c r="Y147" s="122"/>
      <c r="Z147" s="122" t="s">
        <v>139</v>
      </c>
      <c r="AA147" s="122">
        <v>3908900</v>
      </c>
      <c r="AB147" s="122" t="s">
        <v>145</v>
      </c>
      <c r="AC147" s="122"/>
      <c r="AD147" s="122"/>
      <c r="AE147" s="129">
        <v>0.5661342592592592</v>
      </c>
      <c r="AF147" s="122" t="s">
        <v>141</v>
      </c>
      <c r="AG147" s="139" t="s">
        <v>148</v>
      </c>
    </row>
    <row r="148" spans="1:33" x14ac:dyDescent="0.3">
      <c r="A148" s="121">
        <v>1044162</v>
      </c>
      <c r="B148" s="122" t="s">
        <v>162</v>
      </c>
      <c r="C148" s="122" t="s">
        <v>66</v>
      </c>
      <c r="D148" s="123">
        <v>46119</v>
      </c>
      <c r="E148" s="123">
        <v>46119</v>
      </c>
      <c r="F148" s="122"/>
      <c r="G148" s="122">
        <v>876</v>
      </c>
      <c r="H148" s="122" t="s">
        <v>132</v>
      </c>
      <c r="I148" s="122">
        <v>3381</v>
      </c>
      <c r="J148" s="122">
        <v>678996</v>
      </c>
      <c r="K148" s="122"/>
      <c r="L148" s="122" t="s">
        <v>305</v>
      </c>
      <c r="M148" s="122" t="s">
        <v>160</v>
      </c>
      <c r="N148" s="122" t="s">
        <v>161</v>
      </c>
      <c r="O148" s="123">
        <v>46119</v>
      </c>
      <c r="P148" s="158">
        <v>22.5</v>
      </c>
      <c r="Q148" s="158" t="s">
        <v>67</v>
      </c>
      <c r="R148" s="158">
        <v>0.65</v>
      </c>
      <c r="S148" s="158">
        <v>0.28999999999999998</v>
      </c>
      <c r="T148" s="158">
        <v>0.05</v>
      </c>
      <c r="U148" s="158">
        <v>21.8</v>
      </c>
      <c r="V148" s="163">
        <v>0</v>
      </c>
      <c r="W148" s="122"/>
      <c r="X148" s="162">
        <v>20260408</v>
      </c>
      <c r="Y148" s="122"/>
      <c r="Z148" s="122" t="s">
        <v>139</v>
      </c>
      <c r="AA148" s="122">
        <v>3908900</v>
      </c>
      <c r="AB148" s="122" t="s">
        <v>145</v>
      </c>
      <c r="AC148" s="122"/>
      <c r="AD148" s="122"/>
      <c r="AE148" s="129">
        <v>0.56649305555555551</v>
      </c>
      <c r="AF148" s="122" t="s">
        <v>141</v>
      </c>
      <c r="AG148" s="139" t="s">
        <v>148</v>
      </c>
    </row>
    <row r="149" spans="1:33" x14ac:dyDescent="0.3">
      <c r="A149" s="121">
        <v>1044162</v>
      </c>
      <c r="B149" s="122" t="s">
        <v>162</v>
      </c>
      <c r="C149" s="122" t="s">
        <v>66</v>
      </c>
      <c r="D149" s="123">
        <v>46119</v>
      </c>
      <c r="E149" s="123">
        <v>46119</v>
      </c>
      <c r="F149" s="122"/>
      <c r="G149" s="122">
        <v>876</v>
      </c>
      <c r="H149" s="122" t="s">
        <v>132</v>
      </c>
      <c r="I149" s="122">
        <v>3386</v>
      </c>
      <c r="J149" s="122">
        <v>75343</v>
      </c>
      <c r="K149" s="122"/>
      <c r="L149" s="122" t="s">
        <v>306</v>
      </c>
      <c r="M149" s="122" t="s">
        <v>160</v>
      </c>
      <c r="N149" s="122" t="s">
        <v>161</v>
      </c>
      <c r="O149" s="123">
        <v>46119</v>
      </c>
      <c r="P149" s="158">
        <v>659</v>
      </c>
      <c r="Q149" s="158" t="s">
        <v>67</v>
      </c>
      <c r="R149" s="158">
        <v>19.05</v>
      </c>
      <c r="S149" s="158">
        <v>8.51</v>
      </c>
      <c r="T149" s="158">
        <v>1.53</v>
      </c>
      <c r="U149" s="158">
        <v>638.41999999999996</v>
      </c>
      <c r="V149" s="163">
        <v>0</v>
      </c>
      <c r="W149" s="122"/>
      <c r="X149" s="162">
        <v>20260408</v>
      </c>
      <c r="Y149" s="122"/>
      <c r="Z149" s="122" t="s">
        <v>139</v>
      </c>
      <c r="AA149" s="122">
        <v>3908900</v>
      </c>
      <c r="AB149" s="122" t="s">
        <v>145</v>
      </c>
      <c r="AC149" s="122"/>
      <c r="AD149" s="122"/>
      <c r="AE149" s="129">
        <v>0.64055555555555554</v>
      </c>
      <c r="AF149" s="122" t="s">
        <v>141</v>
      </c>
      <c r="AG149" s="139" t="s">
        <v>148</v>
      </c>
    </row>
    <row r="150" spans="1:33" x14ac:dyDescent="0.3">
      <c r="A150" s="121">
        <v>1044162</v>
      </c>
      <c r="B150" s="122" t="s">
        <v>162</v>
      </c>
      <c r="C150" s="122" t="s">
        <v>66</v>
      </c>
      <c r="D150" s="123">
        <v>46119</v>
      </c>
      <c r="E150" s="123">
        <v>46119</v>
      </c>
      <c r="F150" s="122"/>
      <c r="G150" s="122">
        <v>876</v>
      </c>
      <c r="H150" s="122" t="s">
        <v>132</v>
      </c>
      <c r="I150" s="122">
        <v>3397</v>
      </c>
      <c r="J150" s="122">
        <v>154806</v>
      </c>
      <c r="K150" s="122"/>
      <c r="L150" s="122" t="s">
        <v>168</v>
      </c>
      <c r="M150" s="122" t="s">
        <v>160</v>
      </c>
      <c r="N150" s="122" t="s">
        <v>161</v>
      </c>
      <c r="O150" s="123">
        <v>46119</v>
      </c>
      <c r="P150" s="158">
        <v>566</v>
      </c>
      <c r="Q150" s="158" t="s">
        <v>67</v>
      </c>
      <c r="R150" s="158">
        <v>16.36</v>
      </c>
      <c r="S150" s="158">
        <v>4.47</v>
      </c>
      <c r="T150" s="158">
        <v>0.8</v>
      </c>
      <c r="U150" s="158">
        <v>548.84</v>
      </c>
      <c r="V150" s="163">
        <v>0</v>
      </c>
      <c r="W150" s="122"/>
      <c r="X150" s="162">
        <v>20260408</v>
      </c>
      <c r="Y150" s="122"/>
      <c r="Z150" s="122" t="s">
        <v>139</v>
      </c>
      <c r="AA150" s="122">
        <v>3908900</v>
      </c>
      <c r="AB150" s="122" t="s">
        <v>147</v>
      </c>
      <c r="AC150" s="122"/>
      <c r="AD150" s="122"/>
      <c r="AE150" s="129">
        <v>0.65766203703703707</v>
      </c>
      <c r="AF150" s="122" t="s">
        <v>141</v>
      </c>
      <c r="AG150" s="139" t="s">
        <v>148</v>
      </c>
    </row>
    <row r="151" spans="1:33" x14ac:dyDescent="0.3">
      <c r="A151" s="121">
        <v>1044162</v>
      </c>
      <c r="B151" s="122" t="s">
        <v>162</v>
      </c>
      <c r="C151" s="122" t="s">
        <v>66</v>
      </c>
      <c r="D151" s="123">
        <v>46119</v>
      </c>
      <c r="E151" s="123">
        <v>46119</v>
      </c>
      <c r="F151" s="122"/>
      <c r="G151" s="122">
        <v>876</v>
      </c>
      <c r="H151" s="122" t="s">
        <v>132</v>
      </c>
      <c r="I151" s="122">
        <v>3400</v>
      </c>
      <c r="J151" s="122">
        <v>163920</v>
      </c>
      <c r="K151" s="122"/>
      <c r="L151" s="122" t="s">
        <v>307</v>
      </c>
      <c r="M151" s="122" t="s">
        <v>160</v>
      </c>
      <c r="N151" s="122" t="s">
        <v>161</v>
      </c>
      <c r="O151" s="123">
        <v>46119</v>
      </c>
      <c r="P151" s="158">
        <v>1149</v>
      </c>
      <c r="Q151" s="158" t="s">
        <v>67</v>
      </c>
      <c r="R151" s="158">
        <v>33.21</v>
      </c>
      <c r="S151" s="158">
        <v>14.83</v>
      </c>
      <c r="T151" s="158">
        <v>2.67</v>
      </c>
      <c r="U151" s="158">
        <v>1113.1199999999999</v>
      </c>
      <c r="V151" s="163">
        <v>0</v>
      </c>
      <c r="W151" s="122"/>
      <c r="X151" s="162">
        <v>20260408</v>
      </c>
      <c r="Y151" s="122"/>
      <c r="Z151" s="122" t="s">
        <v>139</v>
      </c>
      <c r="AA151" s="122">
        <v>3908900</v>
      </c>
      <c r="AB151" s="122" t="s">
        <v>145</v>
      </c>
      <c r="AC151" s="122"/>
      <c r="AD151" s="122"/>
      <c r="AE151" s="129">
        <v>0.67773148148148143</v>
      </c>
      <c r="AF151" s="122" t="s">
        <v>141</v>
      </c>
      <c r="AG151" s="139" t="s">
        <v>148</v>
      </c>
    </row>
    <row r="152" spans="1:33" x14ac:dyDescent="0.3">
      <c r="A152" s="121">
        <v>1044162</v>
      </c>
      <c r="B152" s="122" t="s">
        <v>162</v>
      </c>
      <c r="C152" s="122" t="s">
        <v>66</v>
      </c>
      <c r="D152" s="123">
        <v>46119</v>
      </c>
      <c r="E152" s="123">
        <v>46119</v>
      </c>
      <c r="F152" s="122"/>
      <c r="G152" s="122">
        <v>876</v>
      </c>
      <c r="H152" s="122" t="s">
        <v>132</v>
      </c>
      <c r="I152" s="122">
        <v>3402</v>
      </c>
      <c r="J152" s="122">
        <v>80750</v>
      </c>
      <c r="K152" s="122">
        <v>3</v>
      </c>
      <c r="L152" s="122" t="s">
        <v>308</v>
      </c>
      <c r="M152" s="122" t="s">
        <v>160</v>
      </c>
      <c r="N152" s="122" t="s">
        <v>161</v>
      </c>
      <c r="O152" s="123">
        <v>46119</v>
      </c>
      <c r="P152" s="158">
        <v>1799</v>
      </c>
      <c r="Q152" s="158" t="s">
        <v>67</v>
      </c>
      <c r="R152" s="158">
        <v>83.47</v>
      </c>
      <c r="S152" s="158">
        <v>14.21</v>
      </c>
      <c r="T152" s="158">
        <v>2.56</v>
      </c>
      <c r="U152" s="158">
        <v>1712.97</v>
      </c>
      <c r="V152" s="163">
        <v>0</v>
      </c>
      <c r="W152" s="122"/>
      <c r="X152" s="162">
        <v>20260408</v>
      </c>
      <c r="Y152" s="122"/>
      <c r="Z152" s="122" t="s">
        <v>142</v>
      </c>
      <c r="AA152" s="122">
        <v>3908900</v>
      </c>
      <c r="AB152" s="122" t="s">
        <v>148</v>
      </c>
      <c r="AC152" s="122" t="s">
        <v>151</v>
      </c>
      <c r="AD152" s="122"/>
      <c r="AE152" s="129">
        <v>0.70800925925925917</v>
      </c>
      <c r="AF152" s="122" t="s">
        <v>141</v>
      </c>
      <c r="AG152" s="139" t="s">
        <v>148</v>
      </c>
    </row>
    <row r="153" spans="1:33" x14ac:dyDescent="0.3">
      <c r="A153" s="121">
        <v>1044162</v>
      </c>
      <c r="B153" s="122" t="s">
        <v>162</v>
      </c>
      <c r="C153" s="122" t="s">
        <v>66</v>
      </c>
      <c r="D153" s="123">
        <v>46119</v>
      </c>
      <c r="E153" s="123">
        <v>46119</v>
      </c>
      <c r="F153" s="122"/>
      <c r="G153" s="122">
        <v>876</v>
      </c>
      <c r="H153" s="122" t="s">
        <v>132</v>
      </c>
      <c r="I153" s="122">
        <v>3404</v>
      </c>
      <c r="J153" s="122">
        <v>73286</v>
      </c>
      <c r="K153" s="122"/>
      <c r="L153" s="122" t="s">
        <v>309</v>
      </c>
      <c r="M153" s="122" t="s">
        <v>160</v>
      </c>
      <c r="N153" s="122" t="s">
        <v>161</v>
      </c>
      <c r="O153" s="123">
        <v>46119</v>
      </c>
      <c r="P153" s="158">
        <v>1799</v>
      </c>
      <c r="Q153" s="158" t="s">
        <v>67</v>
      </c>
      <c r="R153" s="158">
        <v>51.99</v>
      </c>
      <c r="S153" s="158">
        <v>23.21</v>
      </c>
      <c r="T153" s="158">
        <v>4.18</v>
      </c>
      <c r="U153" s="158">
        <v>1742.83</v>
      </c>
      <c r="V153" s="163">
        <v>0</v>
      </c>
      <c r="W153" s="122"/>
      <c r="X153" s="162">
        <v>20260408</v>
      </c>
      <c r="Y153" s="122"/>
      <c r="Z153" s="122" t="s">
        <v>139</v>
      </c>
      <c r="AA153" s="122">
        <v>3908900</v>
      </c>
      <c r="AB153" s="122" t="s">
        <v>152</v>
      </c>
      <c r="AC153" s="122"/>
      <c r="AD153" s="122"/>
      <c r="AE153" s="129">
        <v>0.71258101851851852</v>
      </c>
      <c r="AF153" s="122" t="s">
        <v>141</v>
      </c>
      <c r="AG153" s="139" t="s">
        <v>148</v>
      </c>
    </row>
    <row r="154" spans="1:33" x14ac:dyDescent="0.3">
      <c r="A154" s="121">
        <v>1044162</v>
      </c>
      <c r="B154" s="122" t="s">
        <v>162</v>
      </c>
      <c r="C154" s="122" t="s">
        <v>66</v>
      </c>
      <c r="D154" s="123">
        <v>46119</v>
      </c>
      <c r="E154" s="123">
        <v>46119</v>
      </c>
      <c r="F154" s="122"/>
      <c r="G154" s="122">
        <v>876</v>
      </c>
      <c r="H154" s="122" t="s">
        <v>132</v>
      </c>
      <c r="I154" s="122">
        <v>3406</v>
      </c>
      <c r="J154" s="122">
        <v>75299</v>
      </c>
      <c r="K154" s="122"/>
      <c r="L154" s="122" t="s">
        <v>310</v>
      </c>
      <c r="M154" s="122" t="s">
        <v>160</v>
      </c>
      <c r="N154" s="122" t="s">
        <v>161</v>
      </c>
      <c r="O154" s="123">
        <v>46119</v>
      </c>
      <c r="P154" s="158">
        <v>659</v>
      </c>
      <c r="Q154" s="158" t="s">
        <v>67</v>
      </c>
      <c r="R154" s="158">
        <v>19.05</v>
      </c>
      <c r="S154" s="158">
        <v>8.51</v>
      </c>
      <c r="T154" s="158">
        <v>1.53</v>
      </c>
      <c r="U154" s="158">
        <v>638.41999999999996</v>
      </c>
      <c r="V154" s="163">
        <v>0</v>
      </c>
      <c r="W154" s="122"/>
      <c r="X154" s="162">
        <v>20260408</v>
      </c>
      <c r="Y154" s="122"/>
      <c r="Z154" s="122" t="s">
        <v>139</v>
      </c>
      <c r="AA154" s="122">
        <v>3908900</v>
      </c>
      <c r="AB154" s="122" t="s">
        <v>152</v>
      </c>
      <c r="AC154" s="122"/>
      <c r="AD154" s="122"/>
      <c r="AE154" s="129">
        <v>0.72081018518518514</v>
      </c>
      <c r="AF154" s="122" t="s">
        <v>141</v>
      </c>
      <c r="AG154" s="139" t="s">
        <v>148</v>
      </c>
    </row>
    <row r="155" spans="1:33" x14ac:dyDescent="0.3">
      <c r="A155" s="121">
        <v>1044162</v>
      </c>
      <c r="B155" s="122" t="s">
        <v>162</v>
      </c>
      <c r="C155" s="122" t="s">
        <v>66</v>
      </c>
      <c r="D155" s="123">
        <v>46119</v>
      </c>
      <c r="E155" s="123">
        <v>46119</v>
      </c>
      <c r="F155" s="122"/>
      <c r="G155" s="122">
        <v>876</v>
      </c>
      <c r="H155" s="122" t="s">
        <v>132</v>
      </c>
      <c r="I155" s="122">
        <v>3410</v>
      </c>
      <c r="J155" s="122">
        <v>82905</v>
      </c>
      <c r="K155" s="122"/>
      <c r="L155" s="122" t="s">
        <v>311</v>
      </c>
      <c r="M155" s="122" t="s">
        <v>160</v>
      </c>
      <c r="N155" s="122" t="s">
        <v>161</v>
      </c>
      <c r="O155" s="123">
        <v>46119</v>
      </c>
      <c r="P155" s="158">
        <v>529</v>
      </c>
      <c r="Q155" s="158" t="s">
        <v>67</v>
      </c>
      <c r="R155" s="158">
        <v>15.29</v>
      </c>
      <c r="S155" s="158">
        <v>6.83</v>
      </c>
      <c r="T155" s="158">
        <v>1.23</v>
      </c>
      <c r="U155" s="158">
        <v>512.48</v>
      </c>
      <c r="V155" s="163">
        <v>0</v>
      </c>
      <c r="W155" s="122"/>
      <c r="X155" s="162">
        <v>20260408</v>
      </c>
      <c r="Y155" s="122"/>
      <c r="Z155" s="122" t="s">
        <v>139</v>
      </c>
      <c r="AA155" s="122">
        <v>3908900</v>
      </c>
      <c r="AB155" s="122" t="s">
        <v>152</v>
      </c>
      <c r="AC155" s="122"/>
      <c r="AD155" s="122"/>
      <c r="AE155" s="129">
        <v>0.75038194444444439</v>
      </c>
      <c r="AF155" s="122" t="s">
        <v>141</v>
      </c>
      <c r="AG155" s="139" t="s">
        <v>148</v>
      </c>
    </row>
    <row r="156" spans="1:33" x14ac:dyDescent="0.3">
      <c r="A156" s="121">
        <v>1044162</v>
      </c>
      <c r="B156" s="122" t="s">
        <v>162</v>
      </c>
      <c r="C156" s="122" t="s">
        <v>66</v>
      </c>
      <c r="D156" s="123">
        <v>46119</v>
      </c>
      <c r="E156" s="123">
        <v>46119</v>
      </c>
      <c r="F156" s="122"/>
      <c r="G156" s="122">
        <v>876</v>
      </c>
      <c r="H156" s="122" t="s">
        <v>132</v>
      </c>
      <c r="I156" s="122">
        <v>3412</v>
      </c>
      <c r="J156" s="122">
        <v>192220</v>
      </c>
      <c r="K156" s="122"/>
      <c r="L156" s="122" t="s">
        <v>168</v>
      </c>
      <c r="M156" s="122" t="s">
        <v>160</v>
      </c>
      <c r="N156" s="122" t="s">
        <v>161</v>
      </c>
      <c r="O156" s="123">
        <v>46119</v>
      </c>
      <c r="P156" s="158">
        <v>1057</v>
      </c>
      <c r="Q156" s="158" t="s">
        <v>67</v>
      </c>
      <c r="R156" s="158">
        <v>30.55</v>
      </c>
      <c r="S156" s="158">
        <v>8.35</v>
      </c>
      <c r="T156" s="158">
        <v>1.5</v>
      </c>
      <c r="U156" s="158">
        <v>1024.95</v>
      </c>
      <c r="V156" s="163">
        <v>0</v>
      </c>
      <c r="W156" s="122"/>
      <c r="X156" s="162">
        <v>20260408</v>
      </c>
      <c r="Y156" s="122"/>
      <c r="Z156" s="122" t="s">
        <v>139</v>
      </c>
      <c r="AA156" s="122">
        <v>3908900</v>
      </c>
      <c r="AB156" s="122" t="s">
        <v>147</v>
      </c>
      <c r="AC156" s="122"/>
      <c r="AD156" s="122"/>
      <c r="AE156" s="129">
        <v>0.80644675925925924</v>
      </c>
      <c r="AF156" s="122" t="s">
        <v>141</v>
      </c>
      <c r="AG156" s="139" t="s">
        <v>148</v>
      </c>
    </row>
    <row r="157" spans="1:33" x14ac:dyDescent="0.3">
      <c r="A157" s="121">
        <v>1044162</v>
      </c>
      <c r="B157" s="122" t="s">
        <v>162</v>
      </c>
      <c r="C157" s="122" t="s">
        <v>66</v>
      </c>
      <c r="D157" s="123">
        <v>46119</v>
      </c>
      <c r="E157" s="123">
        <v>46119</v>
      </c>
      <c r="F157" s="122"/>
      <c r="G157" s="122">
        <v>876</v>
      </c>
      <c r="H157" s="122" t="s">
        <v>132</v>
      </c>
      <c r="I157" s="122">
        <v>3414</v>
      </c>
      <c r="J157" s="122">
        <v>675497</v>
      </c>
      <c r="K157" s="122"/>
      <c r="L157" s="122" t="s">
        <v>312</v>
      </c>
      <c r="M157" s="122" t="s">
        <v>160</v>
      </c>
      <c r="N157" s="122" t="s">
        <v>161</v>
      </c>
      <c r="O157" s="123">
        <v>46119</v>
      </c>
      <c r="P157" s="158">
        <v>568</v>
      </c>
      <c r="Q157" s="158" t="s">
        <v>67</v>
      </c>
      <c r="R157" s="158">
        <v>16.420000000000002</v>
      </c>
      <c r="S157" s="158">
        <v>7.33</v>
      </c>
      <c r="T157" s="158">
        <v>1.32</v>
      </c>
      <c r="U157" s="158">
        <v>550.26</v>
      </c>
      <c r="V157" s="163">
        <v>0</v>
      </c>
      <c r="W157" s="122"/>
      <c r="X157" s="162">
        <v>20260408</v>
      </c>
      <c r="Y157" s="122"/>
      <c r="Z157" s="122" t="s">
        <v>139</v>
      </c>
      <c r="AA157" s="122">
        <v>3908900</v>
      </c>
      <c r="AB157" s="122" t="s">
        <v>148</v>
      </c>
      <c r="AC157" s="122"/>
      <c r="AD157" s="122"/>
      <c r="AE157" s="129">
        <v>0.81923611111111105</v>
      </c>
      <c r="AF157" s="122" t="s">
        <v>141</v>
      </c>
      <c r="AG157" s="139" t="s">
        <v>148</v>
      </c>
    </row>
    <row r="158" spans="1:33" x14ac:dyDescent="0.3">
      <c r="A158" s="121">
        <v>1044162</v>
      </c>
      <c r="B158" s="122" t="s">
        <v>162</v>
      </c>
      <c r="C158" s="122" t="s">
        <v>66</v>
      </c>
      <c r="D158" s="123">
        <v>46119</v>
      </c>
      <c r="E158" s="123">
        <v>46119</v>
      </c>
      <c r="F158" s="122"/>
      <c r="G158" s="122">
        <v>876</v>
      </c>
      <c r="H158" s="122" t="s">
        <v>132</v>
      </c>
      <c r="I158" s="122">
        <v>3416</v>
      </c>
      <c r="J158" s="122">
        <v>691503</v>
      </c>
      <c r="K158" s="122"/>
      <c r="L158" s="122" t="s">
        <v>313</v>
      </c>
      <c r="M158" s="122" t="s">
        <v>160</v>
      </c>
      <c r="N158" s="122" t="s">
        <v>161</v>
      </c>
      <c r="O158" s="123">
        <v>46119</v>
      </c>
      <c r="P158" s="158">
        <v>69</v>
      </c>
      <c r="Q158" s="158" t="s">
        <v>67</v>
      </c>
      <c r="R158" s="158">
        <v>1.99</v>
      </c>
      <c r="S158" s="158">
        <v>0.89</v>
      </c>
      <c r="T158" s="158">
        <v>0.16</v>
      </c>
      <c r="U158" s="158">
        <v>66.849999999999994</v>
      </c>
      <c r="V158" s="163">
        <v>0</v>
      </c>
      <c r="W158" s="122"/>
      <c r="X158" s="162">
        <v>20260408</v>
      </c>
      <c r="Y158" s="122"/>
      <c r="Z158" s="122" t="s">
        <v>139</v>
      </c>
      <c r="AA158" s="122">
        <v>3908900</v>
      </c>
      <c r="AB158" s="122" t="s">
        <v>148</v>
      </c>
      <c r="AC158" s="122"/>
      <c r="AD158" s="122"/>
      <c r="AE158" s="129">
        <v>0.8221412037037038</v>
      </c>
      <c r="AF158" s="122" t="s">
        <v>141</v>
      </c>
      <c r="AG158" s="139" t="s">
        <v>148</v>
      </c>
    </row>
    <row r="159" spans="1:33" x14ac:dyDescent="0.3">
      <c r="A159" s="121">
        <v>1044162</v>
      </c>
      <c r="B159" s="122" t="s">
        <v>162</v>
      </c>
      <c r="C159" s="122" t="s">
        <v>66</v>
      </c>
      <c r="D159" s="123">
        <v>46119</v>
      </c>
      <c r="E159" s="123">
        <v>46119</v>
      </c>
      <c r="F159" s="122"/>
      <c r="G159" s="122">
        <v>876</v>
      </c>
      <c r="H159" s="122" t="s">
        <v>132</v>
      </c>
      <c r="I159" s="122">
        <v>3420</v>
      </c>
      <c r="J159" s="122">
        <v>3749</v>
      </c>
      <c r="K159" s="122"/>
      <c r="L159" s="122" t="s">
        <v>314</v>
      </c>
      <c r="M159" s="122" t="s">
        <v>160</v>
      </c>
      <c r="N159" s="122" t="s">
        <v>161</v>
      </c>
      <c r="O159" s="123">
        <v>46119</v>
      </c>
      <c r="P159" s="158">
        <v>1300</v>
      </c>
      <c r="Q159" s="158" t="s">
        <v>67</v>
      </c>
      <c r="R159" s="158">
        <v>37.57</v>
      </c>
      <c r="S159" s="158">
        <v>16.77</v>
      </c>
      <c r="T159" s="158">
        <v>3.02</v>
      </c>
      <c r="U159" s="158">
        <v>1259.4100000000001</v>
      </c>
      <c r="V159" s="163">
        <v>0</v>
      </c>
      <c r="W159" s="122"/>
      <c r="X159" s="162">
        <v>20260408</v>
      </c>
      <c r="Y159" s="122"/>
      <c r="Z159" s="122" t="s">
        <v>139</v>
      </c>
      <c r="AA159" s="122">
        <v>3908900</v>
      </c>
      <c r="AB159" s="122" t="s">
        <v>148</v>
      </c>
      <c r="AC159" s="122"/>
      <c r="AD159" s="122"/>
      <c r="AE159" s="129">
        <v>0.88824074074074078</v>
      </c>
      <c r="AF159" s="122" t="s">
        <v>141</v>
      </c>
      <c r="AG159" s="139" t="s">
        <v>148</v>
      </c>
    </row>
    <row r="160" spans="1:33" x14ac:dyDescent="0.3">
      <c r="A160" s="121">
        <v>1044162</v>
      </c>
      <c r="B160" s="122" t="s">
        <v>162</v>
      </c>
      <c r="C160" s="122" t="s">
        <v>66</v>
      </c>
      <c r="D160" s="123">
        <v>46119</v>
      </c>
      <c r="E160" s="123">
        <v>46119</v>
      </c>
      <c r="F160" s="122"/>
      <c r="G160" s="122">
        <v>876</v>
      </c>
      <c r="H160" s="122" t="s">
        <v>132</v>
      </c>
      <c r="I160" s="122">
        <v>3422</v>
      </c>
      <c r="J160" s="122">
        <v>5362</v>
      </c>
      <c r="K160" s="122">
        <v>3</v>
      </c>
      <c r="L160" s="122" t="s">
        <v>315</v>
      </c>
      <c r="M160" s="122" t="s">
        <v>160</v>
      </c>
      <c r="N160" s="122" t="s">
        <v>161</v>
      </c>
      <c r="O160" s="123">
        <v>46119</v>
      </c>
      <c r="P160" s="158">
        <v>699</v>
      </c>
      <c r="Q160" s="158" t="s">
        <v>67</v>
      </c>
      <c r="R160" s="158">
        <v>32.43</v>
      </c>
      <c r="S160" s="158">
        <v>4.12</v>
      </c>
      <c r="T160" s="158">
        <v>0.74</v>
      </c>
      <c r="U160" s="158">
        <v>665.83</v>
      </c>
      <c r="V160" s="161">
        <v>13603.05</v>
      </c>
      <c r="W160" s="123">
        <v>46120</v>
      </c>
      <c r="X160" s="162">
        <v>20260408</v>
      </c>
      <c r="Y160" s="122">
        <v>104101</v>
      </c>
      <c r="Z160" s="122" t="s">
        <v>142</v>
      </c>
      <c r="AA160" s="122">
        <v>3908900</v>
      </c>
      <c r="AB160" s="122" t="s">
        <v>148</v>
      </c>
      <c r="AC160" s="122" t="s">
        <v>151</v>
      </c>
      <c r="AD160" s="122"/>
      <c r="AE160" s="129">
        <v>0.88868055555555558</v>
      </c>
      <c r="AF160" s="122" t="s">
        <v>141</v>
      </c>
      <c r="AG160" s="139" t="s">
        <v>148</v>
      </c>
    </row>
    <row r="161" spans="1:33" x14ac:dyDescent="0.3">
      <c r="A161" s="121">
        <v>1044162</v>
      </c>
      <c r="B161" s="122" t="s">
        <v>159</v>
      </c>
      <c r="C161" s="122" t="s">
        <v>66</v>
      </c>
      <c r="D161" s="123">
        <v>46120</v>
      </c>
      <c r="E161" s="123">
        <v>46120</v>
      </c>
      <c r="F161" s="122"/>
      <c r="G161" s="122">
        <v>877</v>
      </c>
      <c r="H161" s="122" t="s">
        <v>132</v>
      </c>
      <c r="I161" s="122">
        <v>3432</v>
      </c>
      <c r="J161" s="122">
        <v>39760</v>
      </c>
      <c r="K161" s="122"/>
      <c r="L161" s="122" t="s">
        <v>316</v>
      </c>
      <c r="M161" s="122" t="s">
        <v>160</v>
      </c>
      <c r="N161" s="122" t="s">
        <v>161</v>
      </c>
      <c r="O161" s="123">
        <v>46120</v>
      </c>
      <c r="P161" s="158">
        <v>99</v>
      </c>
      <c r="Q161" s="158" t="s">
        <v>67</v>
      </c>
      <c r="R161" s="158">
        <v>2.86</v>
      </c>
      <c r="S161" s="158">
        <v>1.1299999999999999</v>
      </c>
      <c r="T161" s="158">
        <v>0.2</v>
      </c>
      <c r="U161" s="158">
        <v>95.94</v>
      </c>
      <c r="V161" s="161">
        <v>95.94</v>
      </c>
      <c r="W161" s="123">
        <v>46121</v>
      </c>
      <c r="X161" s="162">
        <v>20260409</v>
      </c>
      <c r="Y161" s="122">
        <v>104101</v>
      </c>
      <c r="Z161" s="122" t="s">
        <v>139</v>
      </c>
      <c r="AA161" s="122">
        <v>3908900</v>
      </c>
      <c r="AB161" s="122" t="s">
        <v>140</v>
      </c>
      <c r="AC161" s="122"/>
      <c r="AD161" s="122"/>
      <c r="AE161" s="129">
        <v>0.51916666666666667</v>
      </c>
      <c r="AF161" s="122" t="s">
        <v>141</v>
      </c>
      <c r="AG161" s="139" t="s">
        <v>148</v>
      </c>
    </row>
    <row r="162" spans="1:33" x14ac:dyDescent="0.3">
      <c r="A162" s="121">
        <v>1044162</v>
      </c>
      <c r="B162" s="122" t="s">
        <v>162</v>
      </c>
      <c r="C162" s="122" t="s">
        <v>66</v>
      </c>
      <c r="D162" s="123">
        <v>46120</v>
      </c>
      <c r="E162" s="123">
        <v>46120</v>
      </c>
      <c r="F162" s="122"/>
      <c r="G162" s="122">
        <v>877</v>
      </c>
      <c r="H162" s="122" t="s">
        <v>132</v>
      </c>
      <c r="I162" s="122">
        <v>3430</v>
      </c>
      <c r="J162" s="122">
        <v>187203</v>
      </c>
      <c r="K162" s="122"/>
      <c r="L162" s="122" t="s">
        <v>317</v>
      </c>
      <c r="M162" s="122" t="s">
        <v>160</v>
      </c>
      <c r="N162" s="122" t="s">
        <v>161</v>
      </c>
      <c r="O162" s="123">
        <v>46120</v>
      </c>
      <c r="P162" s="158">
        <v>498</v>
      </c>
      <c r="Q162" s="158" t="s">
        <v>67</v>
      </c>
      <c r="R162" s="158">
        <v>14.39</v>
      </c>
      <c r="S162" s="158">
        <v>6.42</v>
      </c>
      <c r="T162" s="158">
        <v>1.1599999999999999</v>
      </c>
      <c r="U162" s="158">
        <v>482.45</v>
      </c>
      <c r="V162" s="163">
        <v>0</v>
      </c>
      <c r="W162" s="122"/>
      <c r="X162" s="162">
        <v>20260409</v>
      </c>
      <c r="Y162" s="122"/>
      <c r="Z162" s="122" t="s">
        <v>139</v>
      </c>
      <c r="AA162" s="122">
        <v>3908900</v>
      </c>
      <c r="AB162" s="122" t="s">
        <v>148</v>
      </c>
      <c r="AC162" s="122"/>
      <c r="AD162" s="122"/>
      <c r="AE162" s="129">
        <v>0.49008101851851849</v>
      </c>
      <c r="AF162" s="122" t="s">
        <v>141</v>
      </c>
      <c r="AG162" s="139" t="s">
        <v>148</v>
      </c>
    </row>
    <row r="163" spans="1:33" x14ac:dyDescent="0.3">
      <c r="A163" s="121">
        <v>1044162</v>
      </c>
      <c r="B163" s="122" t="s">
        <v>162</v>
      </c>
      <c r="C163" s="122" t="s">
        <v>66</v>
      </c>
      <c r="D163" s="123">
        <v>46120</v>
      </c>
      <c r="E163" s="123">
        <v>46120</v>
      </c>
      <c r="F163" s="122"/>
      <c r="G163" s="122">
        <v>877</v>
      </c>
      <c r="H163" s="122" t="s">
        <v>132</v>
      </c>
      <c r="I163" s="122">
        <v>3434</v>
      </c>
      <c r="J163" s="122">
        <v>90369</v>
      </c>
      <c r="K163" s="122">
        <v>6</v>
      </c>
      <c r="L163" s="122" t="s">
        <v>318</v>
      </c>
      <c r="M163" s="122" t="s">
        <v>160</v>
      </c>
      <c r="N163" s="122" t="s">
        <v>161</v>
      </c>
      <c r="O163" s="123">
        <v>46120</v>
      </c>
      <c r="P163" s="158">
        <v>179.9</v>
      </c>
      <c r="Q163" s="158" t="s">
        <v>67</v>
      </c>
      <c r="R163" s="158">
        <v>5.2</v>
      </c>
      <c r="S163" s="158">
        <v>1.42</v>
      </c>
      <c r="T163" s="158">
        <v>0.26</v>
      </c>
      <c r="U163" s="158">
        <v>174.44</v>
      </c>
      <c r="V163" s="163">
        <v>0</v>
      </c>
      <c r="W163" s="122"/>
      <c r="X163" s="162">
        <v>20260409</v>
      </c>
      <c r="Y163" s="122"/>
      <c r="Z163" s="122" t="s">
        <v>142</v>
      </c>
      <c r="AA163" s="122">
        <v>3908900</v>
      </c>
      <c r="AB163" s="122" t="s">
        <v>147</v>
      </c>
      <c r="AC163" s="122" t="s">
        <v>144</v>
      </c>
      <c r="AD163" s="122"/>
      <c r="AE163" s="129">
        <v>0.5478587962962963</v>
      </c>
      <c r="AF163" s="122" t="s">
        <v>141</v>
      </c>
      <c r="AG163" s="139" t="s">
        <v>148</v>
      </c>
    </row>
    <row r="164" spans="1:33" x14ac:dyDescent="0.3">
      <c r="A164" s="121">
        <v>1044162</v>
      </c>
      <c r="B164" s="122" t="s">
        <v>162</v>
      </c>
      <c r="C164" s="122" t="s">
        <v>66</v>
      </c>
      <c r="D164" s="123">
        <v>46120</v>
      </c>
      <c r="E164" s="123">
        <v>46120</v>
      </c>
      <c r="F164" s="122"/>
      <c r="G164" s="122">
        <v>877</v>
      </c>
      <c r="H164" s="122" t="s">
        <v>132</v>
      </c>
      <c r="I164" s="122">
        <v>3436</v>
      </c>
      <c r="J164" s="122">
        <v>132656</v>
      </c>
      <c r="K164" s="122"/>
      <c r="L164" s="122" t="s">
        <v>168</v>
      </c>
      <c r="M164" s="122" t="s">
        <v>160</v>
      </c>
      <c r="N164" s="122" t="s">
        <v>161</v>
      </c>
      <c r="O164" s="123">
        <v>46120</v>
      </c>
      <c r="P164" s="158">
        <v>449</v>
      </c>
      <c r="Q164" s="158" t="s">
        <v>67</v>
      </c>
      <c r="R164" s="158">
        <v>12.98</v>
      </c>
      <c r="S164" s="158">
        <v>3.55</v>
      </c>
      <c r="T164" s="158">
        <v>0.64</v>
      </c>
      <c r="U164" s="158">
        <v>435.38</v>
      </c>
      <c r="V164" s="163">
        <v>0</v>
      </c>
      <c r="W164" s="122"/>
      <c r="X164" s="162">
        <v>20260409</v>
      </c>
      <c r="Y164" s="122"/>
      <c r="Z164" s="122" t="s">
        <v>139</v>
      </c>
      <c r="AA164" s="122">
        <v>3908900</v>
      </c>
      <c r="AB164" s="122" t="s">
        <v>147</v>
      </c>
      <c r="AC164" s="122"/>
      <c r="AD164" s="122"/>
      <c r="AE164" s="129">
        <v>0.55964120370370374</v>
      </c>
      <c r="AF164" s="122" t="s">
        <v>141</v>
      </c>
      <c r="AG164" s="139" t="s">
        <v>148</v>
      </c>
    </row>
    <row r="165" spans="1:33" x14ac:dyDescent="0.3">
      <c r="A165" s="121">
        <v>1044162</v>
      </c>
      <c r="B165" s="122" t="s">
        <v>162</v>
      </c>
      <c r="C165" s="122" t="s">
        <v>66</v>
      </c>
      <c r="D165" s="123">
        <v>46120</v>
      </c>
      <c r="E165" s="123">
        <v>46120</v>
      </c>
      <c r="F165" s="122"/>
      <c r="G165" s="122">
        <v>877</v>
      </c>
      <c r="H165" s="122" t="s">
        <v>132</v>
      </c>
      <c r="I165" s="122">
        <v>3438</v>
      </c>
      <c r="J165" s="122">
        <v>803834</v>
      </c>
      <c r="K165" s="122"/>
      <c r="L165" s="122" t="s">
        <v>319</v>
      </c>
      <c r="M165" s="122" t="s">
        <v>160</v>
      </c>
      <c r="N165" s="122" t="s">
        <v>161</v>
      </c>
      <c r="O165" s="123">
        <v>46120</v>
      </c>
      <c r="P165" s="158">
        <v>688</v>
      </c>
      <c r="Q165" s="158" t="s">
        <v>67</v>
      </c>
      <c r="R165" s="158">
        <v>19.88</v>
      </c>
      <c r="S165" s="158">
        <v>8.8699999999999992</v>
      </c>
      <c r="T165" s="158">
        <v>1.6</v>
      </c>
      <c r="U165" s="158">
        <v>666.52</v>
      </c>
      <c r="V165" s="163">
        <v>0</v>
      </c>
      <c r="W165" s="122"/>
      <c r="X165" s="162">
        <v>20260409</v>
      </c>
      <c r="Y165" s="122"/>
      <c r="Z165" s="122" t="s">
        <v>139</v>
      </c>
      <c r="AA165" s="122">
        <v>3908900</v>
      </c>
      <c r="AB165" s="122" t="s">
        <v>148</v>
      </c>
      <c r="AC165" s="122"/>
      <c r="AD165" s="122"/>
      <c r="AE165" s="129">
        <v>0.61851851851851858</v>
      </c>
      <c r="AF165" s="122" t="s">
        <v>141</v>
      </c>
      <c r="AG165" s="139" t="s">
        <v>148</v>
      </c>
    </row>
    <row r="166" spans="1:33" x14ac:dyDescent="0.3">
      <c r="A166" s="121">
        <v>1044162</v>
      </c>
      <c r="B166" s="122" t="s">
        <v>162</v>
      </c>
      <c r="C166" s="122" t="s">
        <v>66</v>
      </c>
      <c r="D166" s="123">
        <v>46120</v>
      </c>
      <c r="E166" s="123">
        <v>46120</v>
      </c>
      <c r="F166" s="122"/>
      <c r="G166" s="122">
        <v>877</v>
      </c>
      <c r="H166" s="122">
        <v>65656565</v>
      </c>
      <c r="I166" s="122">
        <v>3449</v>
      </c>
      <c r="J166" s="122">
        <v>666156</v>
      </c>
      <c r="K166" s="122"/>
      <c r="L166" s="122" t="s">
        <v>320</v>
      </c>
      <c r="M166" s="122" t="s">
        <v>160</v>
      </c>
      <c r="N166" s="122" t="s">
        <v>161</v>
      </c>
      <c r="O166" s="123">
        <v>46120</v>
      </c>
      <c r="P166" s="158">
        <v>194.8</v>
      </c>
      <c r="Q166" s="158" t="s">
        <v>67</v>
      </c>
      <c r="R166" s="158">
        <v>5.62</v>
      </c>
      <c r="S166" s="158">
        <v>2.5</v>
      </c>
      <c r="T166" s="158">
        <v>0.45</v>
      </c>
      <c r="U166" s="158">
        <v>188.73</v>
      </c>
      <c r="V166" s="163">
        <v>0</v>
      </c>
      <c r="W166" s="122"/>
      <c r="X166" s="162">
        <v>20260409</v>
      </c>
      <c r="Y166" s="122"/>
      <c r="Z166" s="122" t="s">
        <v>139</v>
      </c>
      <c r="AA166" s="122">
        <v>3908900</v>
      </c>
      <c r="AB166" s="122" t="s">
        <v>145</v>
      </c>
      <c r="AC166" s="122"/>
      <c r="AD166" s="122" t="s">
        <v>146</v>
      </c>
      <c r="AE166" s="129">
        <v>0.74187499999999995</v>
      </c>
      <c r="AF166" s="122" t="s">
        <v>141</v>
      </c>
      <c r="AG166" s="139" t="s">
        <v>148</v>
      </c>
    </row>
    <row r="167" spans="1:33" x14ac:dyDescent="0.3">
      <c r="A167" s="121">
        <v>1044162</v>
      </c>
      <c r="B167" s="122" t="s">
        <v>162</v>
      </c>
      <c r="C167" s="122" t="s">
        <v>66</v>
      </c>
      <c r="D167" s="123">
        <v>46120</v>
      </c>
      <c r="E167" s="123">
        <v>46120</v>
      </c>
      <c r="F167" s="122"/>
      <c r="G167" s="122">
        <v>877</v>
      </c>
      <c r="H167" s="122" t="s">
        <v>132</v>
      </c>
      <c r="I167" s="122">
        <v>3452</v>
      </c>
      <c r="J167" s="122">
        <v>1692</v>
      </c>
      <c r="K167" s="122">
        <v>5</v>
      </c>
      <c r="L167" s="122" t="s">
        <v>321</v>
      </c>
      <c r="M167" s="122" t="s">
        <v>160</v>
      </c>
      <c r="N167" s="122" t="s">
        <v>161</v>
      </c>
      <c r="O167" s="123">
        <v>46120</v>
      </c>
      <c r="P167" s="158">
        <v>1799</v>
      </c>
      <c r="Q167" s="158" t="s">
        <v>67</v>
      </c>
      <c r="R167" s="158">
        <v>51.99</v>
      </c>
      <c r="S167" s="158">
        <v>14.21</v>
      </c>
      <c r="T167" s="158">
        <v>2.56</v>
      </c>
      <c r="U167" s="158">
        <v>1744.45</v>
      </c>
      <c r="V167" s="163">
        <v>0</v>
      </c>
      <c r="W167" s="122"/>
      <c r="X167" s="162">
        <v>20260409</v>
      </c>
      <c r="Y167" s="122"/>
      <c r="Z167" s="122" t="s">
        <v>142</v>
      </c>
      <c r="AA167" s="122">
        <v>3908900</v>
      </c>
      <c r="AB167" s="122" t="s">
        <v>145</v>
      </c>
      <c r="AC167" s="122" t="s">
        <v>144</v>
      </c>
      <c r="AD167" s="122"/>
      <c r="AE167" s="129">
        <v>0.74972222222222218</v>
      </c>
      <c r="AF167" s="122" t="s">
        <v>141</v>
      </c>
      <c r="AG167" s="139" t="s">
        <v>148</v>
      </c>
    </row>
    <row r="168" spans="1:33" x14ac:dyDescent="0.3">
      <c r="A168" s="121">
        <v>1044162</v>
      </c>
      <c r="B168" s="122" t="s">
        <v>162</v>
      </c>
      <c r="C168" s="122" t="s">
        <v>66</v>
      </c>
      <c r="D168" s="123">
        <v>46120</v>
      </c>
      <c r="E168" s="123">
        <v>46120</v>
      </c>
      <c r="F168" s="122"/>
      <c r="G168" s="122">
        <v>877</v>
      </c>
      <c r="H168" s="122" t="s">
        <v>132</v>
      </c>
      <c r="I168" s="122">
        <v>3454</v>
      </c>
      <c r="J168" s="122">
        <v>814881</v>
      </c>
      <c r="K168" s="122"/>
      <c r="L168" s="122" t="s">
        <v>322</v>
      </c>
      <c r="M168" s="122" t="s">
        <v>160</v>
      </c>
      <c r="N168" s="122" t="s">
        <v>161</v>
      </c>
      <c r="O168" s="123">
        <v>46120</v>
      </c>
      <c r="P168" s="158">
        <v>1399</v>
      </c>
      <c r="Q168" s="158" t="s">
        <v>67</v>
      </c>
      <c r="R168" s="158">
        <v>40.43</v>
      </c>
      <c r="S168" s="158">
        <v>18.05</v>
      </c>
      <c r="T168" s="158">
        <v>3.25</v>
      </c>
      <c r="U168" s="158">
        <v>1355.32</v>
      </c>
      <c r="V168" s="163">
        <v>0</v>
      </c>
      <c r="W168" s="122"/>
      <c r="X168" s="162">
        <v>20260409</v>
      </c>
      <c r="Y168" s="122"/>
      <c r="Z168" s="122" t="s">
        <v>139</v>
      </c>
      <c r="AA168" s="122">
        <v>3908900</v>
      </c>
      <c r="AB168" s="122" t="s">
        <v>145</v>
      </c>
      <c r="AC168" s="122"/>
      <c r="AD168" s="122"/>
      <c r="AE168" s="129">
        <v>0.78329861111111121</v>
      </c>
      <c r="AF168" s="122" t="s">
        <v>141</v>
      </c>
      <c r="AG168" s="139" t="s">
        <v>148</v>
      </c>
    </row>
    <row r="169" spans="1:33" x14ac:dyDescent="0.3">
      <c r="A169" s="121">
        <v>1044162</v>
      </c>
      <c r="B169" s="122" t="s">
        <v>162</v>
      </c>
      <c r="C169" s="122" t="s">
        <v>66</v>
      </c>
      <c r="D169" s="123">
        <v>46120</v>
      </c>
      <c r="E169" s="123">
        <v>46120</v>
      </c>
      <c r="F169" s="122"/>
      <c r="G169" s="122">
        <v>877</v>
      </c>
      <c r="H169" s="122">
        <v>65656565</v>
      </c>
      <c r="I169" s="122">
        <v>3456</v>
      </c>
      <c r="J169" s="122">
        <v>789921</v>
      </c>
      <c r="K169" s="122"/>
      <c r="L169" s="122" t="s">
        <v>323</v>
      </c>
      <c r="M169" s="122" t="s">
        <v>160</v>
      </c>
      <c r="N169" s="122" t="s">
        <v>161</v>
      </c>
      <c r="O169" s="123">
        <v>46120</v>
      </c>
      <c r="P169" s="158">
        <v>49</v>
      </c>
      <c r="Q169" s="158" t="s">
        <v>67</v>
      </c>
      <c r="R169" s="158">
        <v>1.41</v>
      </c>
      <c r="S169" s="158">
        <v>0.63</v>
      </c>
      <c r="T169" s="158">
        <v>0.11</v>
      </c>
      <c r="U169" s="158">
        <v>47.48</v>
      </c>
      <c r="V169" s="163">
        <v>0</v>
      </c>
      <c r="W169" s="122"/>
      <c r="X169" s="162">
        <v>20260409</v>
      </c>
      <c r="Y169" s="122"/>
      <c r="Z169" s="122" t="s">
        <v>139</v>
      </c>
      <c r="AA169" s="122">
        <v>3908900</v>
      </c>
      <c r="AB169" s="122" t="s">
        <v>155</v>
      </c>
      <c r="AC169" s="122"/>
      <c r="AD169" s="122" t="s">
        <v>146</v>
      </c>
      <c r="AE169" s="129">
        <v>0.78736111111111118</v>
      </c>
      <c r="AF169" s="122" t="s">
        <v>141</v>
      </c>
      <c r="AG169" s="139" t="s">
        <v>148</v>
      </c>
    </row>
    <row r="170" spans="1:33" x14ac:dyDescent="0.3">
      <c r="A170" s="121">
        <v>1044162</v>
      </c>
      <c r="B170" s="122" t="s">
        <v>162</v>
      </c>
      <c r="C170" s="122" t="s">
        <v>66</v>
      </c>
      <c r="D170" s="123">
        <v>46120</v>
      </c>
      <c r="E170" s="123">
        <v>46120</v>
      </c>
      <c r="F170" s="122"/>
      <c r="G170" s="122">
        <v>877</v>
      </c>
      <c r="H170" s="122" t="s">
        <v>132</v>
      </c>
      <c r="I170" s="122">
        <v>3459</v>
      </c>
      <c r="J170" s="122">
        <v>141610</v>
      </c>
      <c r="K170" s="122"/>
      <c r="L170" s="122" t="s">
        <v>324</v>
      </c>
      <c r="M170" s="122" t="s">
        <v>160</v>
      </c>
      <c r="N170" s="122" t="s">
        <v>161</v>
      </c>
      <c r="O170" s="123">
        <v>46120</v>
      </c>
      <c r="P170" s="158">
        <v>1197</v>
      </c>
      <c r="Q170" s="158" t="s">
        <v>67</v>
      </c>
      <c r="R170" s="158">
        <v>34.590000000000003</v>
      </c>
      <c r="S170" s="158">
        <v>15.44</v>
      </c>
      <c r="T170" s="158">
        <v>2.78</v>
      </c>
      <c r="U170" s="158">
        <v>1159.6300000000001</v>
      </c>
      <c r="V170" s="163">
        <v>0</v>
      </c>
      <c r="W170" s="122"/>
      <c r="X170" s="162">
        <v>20260409</v>
      </c>
      <c r="Y170" s="122"/>
      <c r="Z170" s="122" t="s">
        <v>139</v>
      </c>
      <c r="AA170" s="122">
        <v>3908900</v>
      </c>
      <c r="AB170" s="122" t="s">
        <v>145</v>
      </c>
      <c r="AC170" s="122"/>
      <c r="AD170" s="122"/>
      <c r="AE170" s="129">
        <v>0.80322916666666666</v>
      </c>
      <c r="AF170" s="122" t="s">
        <v>141</v>
      </c>
      <c r="AG170" s="139" t="s">
        <v>148</v>
      </c>
    </row>
    <row r="171" spans="1:33" x14ac:dyDescent="0.3">
      <c r="A171" s="121">
        <v>1044162</v>
      </c>
      <c r="B171" s="122" t="s">
        <v>162</v>
      </c>
      <c r="C171" s="122" t="s">
        <v>66</v>
      </c>
      <c r="D171" s="123">
        <v>46120</v>
      </c>
      <c r="E171" s="123">
        <v>46120</v>
      </c>
      <c r="F171" s="122"/>
      <c r="G171" s="122">
        <v>877</v>
      </c>
      <c r="H171" s="122" t="s">
        <v>132</v>
      </c>
      <c r="I171" s="122">
        <v>3463</v>
      </c>
      <c r="J171" s="122">
        <v>15824</v>
      </c>
      <c r="K171" s="122"/>
      <c r="L171" s="122" t="s">
        <v>325</v>
      </c>
      <c r="M171" s="122" t="s">
        <v>170</v>
      </c>
      <c r="N171" s="122" t="s">
        <v>161</v>
      </c>
      <c r="O171" s="123">
        <v>46120</v>
      </c>
      <c r="P171" s="158">
        <v>568</v>
      </c>
      <c r="Q171" s="158" t="s">
        <v>67</v>
      </c>
      <c r="R171" s="158">
        <v>22.15</v>
      </c>
      <c r="S171" s="158">
        <v>10.91</v>
      </c>
      <c r="T171" s="158">
        <v>1.96</v>
      </c>
      <c r="U171" s="158">
        <v>543.89</v>
      </c>
      <c r="V171" s="163">
        <v>0</v>
      </c>
      <c r="W171" s="122"/>
      <c r="X171" s="162">
        <v>20260409</v>
      </c>
      <c r="Y171" s="122"/>
      <c r="Z171" s="122" t="s">
        <v>142</v>
      </c>
      <c r="AA171" s="122">
        <v>3908900</v>
      </c>
      <c r="AB171" s="122" t="s">
        <v>153</v>
      </c>
      <c r="AC171" s="122"/>
      <c r="AD171" s="122"/>
      <c r="AE171" s="129">
        <v>0.82699074074074075</v>
      </c>
      <c r="AF171" s="122" t="s">
        <v>141</v>
      </c>
      <c r="AG171" s="139" t="s">
        <v>148</v>
      </c>
    </row>
    <row r="172" spans="1:33" x14ac:dyDescent="0.3">
      <c r="A172" s="121">
        <v>1044162</v>
      </c>
      <c r="B172" s="122" t="s">
        <v>162</v>
      </c>
      <c r="C172" s="122" t="s">
        <v>66</v>
      </c>
      <c r="D172" s="123">
        <v>46120</v>
      </c>
      <c r="E172" s="123">
        <v>46120</v>
      </c>
      <c r="F172" s="122"/>
      <c r="G172" s="122">
        <v>877</v>
      </c>
      <c r="H172" s="122">
        <v>65656565</v>
      </c>
      <c r="I172" s="122">
        <v>3466</v>
      </c>
      <c r="J172" s="122">
        <v>993967</v>
      </c>
      <c r="K172" s="122"/>
      <c r="L172" s="122" t="s">
        <v>326</v>
      </c>
      <c r="M172" s="122" t="s">
        <v>160</v>
      </c>
      <c r="N172" s="122" t="s">
        <v>161</v>
      </c>
      <c r="O172" s="123">
        <v>46120</v>
      </c>
      <c r="P172" s="158">
        <v>62.9</v>
      </c>
      <c r="Q172" s="158" t="s">
        <v>67</v>
      </c>
      <c r="R172" s="158">
        <v>1.81</v>
      </c>
      <c r="S172" s="158">
        <v>0.8</v>
      </c>
      <c r="T172" s="158">
        <v>0.14000000000000001</v>
      </c>
      <c r="U172" s="158">
        <v>60.95</v>
      </c>
      <c r="V172" s="163">
        <v>0</v>
      </c>
      <c r="W172" s="122"/>
      <c r="X172" s="162">
        <v>20260409</v>
      </c>
      <c r="Y172" s="122"/>
      <c r="Z172" s="122" t="s">
        <v>139</v>
      </c>
      <c r="AA172" s="122">
        <v>3908900</v>
      </c>
      <c r="AB172" s="122" t="s">
        <v>145</v>
      </c>
      <c r="AC172" s="122"/>
      <c r="AD172" s="122" t="s">
        <v>146</v>
      </c>
      <c r="AE172" s="129">
        <v>0.8475462962962963</v>
      </c>
      <c r="AF172" s="122" t="s">
        <v>141</v>
      </c>
      <c r="AG172" s="139" t="s">
        <v>148</v>
      </c>
    </row>
    <row r="173" spans="1:33" x14ac:dyDescent="0.3">
      <c r="A173" s="121">
        <v>1044162</v>
      </c>
      <c r="B173" s="122" t="s">
        <v>162</v>
      </c>
      <c r="C173" s="122" t="s">
        <v>66</v>
      </c>
      <c r="D173" s="123">
        <v>46120</v>
      </c>
      <c r="E173" s="123">
        <v>46120</v>
      </c>
      <c r="F173" s="122"/>
      <c r="G173" s="122">
        <v>877</v>
      </c>
      <c r="H173" s="122" t="s">
        <v>132</v>
      </c>
      <c r="I173" s="122">
        <v>3469</v>
      </c>
      <c r="J173" s="122">
        <v>82496</v>
      </c>
      <c r="K173" s="122">
        <v>3</v>
      </c>
      <c r="L173" s="122" t="s">
        <v>327</v>
      </c>
      <c r="M173" s="122" t="s">
        <v>160</v>
      </c>
      <c r="N173" s="122" t="s">
        <v>161</v>
      </c>
      <c r="O173" s="123">
        <v>46120</v>
      </c>
      <c r="P173" s="158">
        <v>1799</v>
      </c>
      <c r="Q173" s="158" t="s">
        <v>67</v>
      </c>
      <c r="R173" s="158">
        <v>51.99</v>
      </c>
      <c r="S173" s="158">
        <v>14.21</v>
      </c>
      <c r="T173" s="158">
        <v>2.56</v>
      </c>
      <c r="U173" s="158">
        <v>1744.45</v>
      </c>
      <c r="V173" s="163">
        <v>0</v>
      </c>
      <c r="W173" s="122"/>
      <c r="X173" s="162">
        <v>20260409</v>
      </c>
      <c r="Y173" s="122"/>
      <c r="Z173" s="122" t="s">
        <v>142</v>
      </c>
      <c r="AA173" s="122">
        <v>3908900</v>
      </c>
      <c r="AB173" s="122" t="s">
        <v>543</v>
      </c>
      <c r="AC173" s="122" t="s">
        <v>144</v>
      </c>
      <c r="AD173" s="122"/>
      <c r="AE173" s="129">
        <v>0.86622685185185189</v>
      </c>
      <c r="AF173" s="122" t="s">
        <v>141</v>
      </c>
      <c r="AG173" s="139" t="s">
        <v>148</v>
      </c>
    </row>
    <row r="174" spans="1:33" x14ac:dyDescent="0.3">
      <c r="A174" s="121">
        <v>1044162</v>
      </c>
      <c r="B174" s="122" t="s">
        <v>162</v>
      </c>
      <c r="C174" s="122" t="s">
        <v>66</v>
      </c>
      <c r="D174" s="123">
        <v>46120</v>
      </c>
      <c r="E174" s="123">
        <v>46120</v>
      </c>
      <c r="F174" s="122"/>
      <c r="G174" s="122">
        <v>877</v>
      </c>
      <c r="H174" s="122" t="s">
        <v>132</v>
      </c>
      <c r="I174" s="122">
        <v>3471</v>
      </c>
      <c r="J174" s="122">
        <v>71497</v>
      </c>
      <c r="K174" s="122"/>
      <c r="L174" s="122" t="s">
        <v>328</v>
      </c>
      <c r="M174" s="122" t="s">
        <v>160</v>
      </c>
      <c r="N174" s="122" t="s">
        <v>161</v>
      </c>
      <c r="O174" s="123">
        <v>46120</v>
      </c>
      <c r="P174" s="158">
        <v>949</v>
      </c>
      <c r="Q174" s="158" t="s">
        <v>67</v>
      </c>
      <c r="R174" s="158">
        <v>27.43</v>
      </c>
      <c r="S174" s="158">
        <v>12.25</v>
      </c>
      <c r="T174" s="158">
        <v>2.21</v>
      </c>
      <c r="U174" s="158">
        <v>919.36</v>
      </c>
      <c r="V174" s="163">
        <v>0</v>
      </c>
      <c r="W174" s="122"/>
      <c r="X174" s="162">
        <v>20260409</v>
      </c>
      <c r="Y174" s="122"/>
      <c r="Z174" s="122" t="s">
        <v>139</v>
      </c>
      <c r="AA174" s="122">
        <v>3908900</v>
      </c>
      <c r="AB174" s="122" t="s">
        <v>145</v>
      </c>
      <c r="AC174" s="122"/>
      <c r="AD174" s="122"/>
      <c r="AE174" s="129">
        <v>0.86908564814814815</v>
      </c>
      <c r="AF174" s="122" t="s">
        <v>141</v>
      </c>
      <c r="AG174" s="139" t="s">
        <v>148</v>
      </c>
    </row>
    <row r="175" spans="1:33" x14ac:dyDescent="0.3">
      <c r="A175" s="121">
        <v>1044162</v>
      </c>
      <c r="B175" s="122" t="s">
        <v>162</v>
      </c>
      <c r="C175" s="122" t="s">
        <v>66</v>
      </c>
      <c r="D175" s="123">
        <v>46120</v>
      </c>
      <c r="E175" s="123">
        <v>46120</v>
      </c>
      <c r="F175" s="122"/>
      <c r="G175" s="122">
        <v>877</v>
      </c>
      <c r="H175" s="122" t="s">
        <v>132</v>
      </c>
      <c r="I175" s="122">
        <v>3473</v>
      </c>
      <c r="J175" s="122">
        <v>1117</v>
      </c>
      <c r="K175" s="122"/>
      <c r="L175" s="122" t="s">
        <v>329</v>
      </c>
      <c r="M175" s="122" t="s">
        <v>160</v>
      </c>
      <c r="N175" s="122" t="s">
        <v>161</v>
      </c>
      <c r="O175" s="123">
        <v>46120</v>
      </c>
      <c r="P175" s="158">
        <v>3199</v>
      </c>
      <c r="Q175" s="158" t="s">
        <v>67</v>
      </c>
      <c r="R175" s="158">
        <v>92.45</v>
      </c>
      <c r="S175" s="158">
        <v>12.47</v>
      </c>
      <c r="T175" s="158">
        <v>2.2400000000000002</v>
      </c>
      <c r="U175" s="158">
        <v>3104.31</v>
      </c>
      <c r="V175" s="163">
        <v>0</v>
      </c>
      <c r="W175" s="122"/>
      <c r="X175" s="162">
        <v>20260409</v>
      </c>
      <c r="Y175" s="122"/>
      <c r="Z175" s="122" t="s">
        <v>142</v>
      </c>
      <c r="AA175" s="122">
        <v>3908900</v>
      </c>
      <c r="AB175" s="122" t="s">
        <v>145</v>
      </c>
      <c r="AC175" s="122"/>
      <c r="AD175" s="122"/>
      <c r="AE175" s="129">
        <v>0.8803009259259259</v>
      </c>
      <c r="AF175" s="122" t="s">
        <v>141</v>
      </c>
      <c r="AG175" s="139" t="s">
        <v>148</v>
      </c>
    </row>
    <row r="176" spans="1:33" x14ac:dyDescent="0.3">
      <c r="A176" s="121">
        <v>1044162</v>
      </c>
      <c r="B176" s="122" t="s">
        <v>162</v>
      </c>
      <c r="C176" s="122" t="s">
        <v>66</v>
      </c>
      <c r="D176" s="123">
        <v>46120</v>
      </c>
      <c r="E176" s="123">
        <v>46120</v>
      </c>
      <c r="F176" s="122"/>
      <c r="G176" s="122">
        <v>877</v>
      </c>
      <c r="H176" s="122" t="s">
        <v>132</v>
      </c>
      <c r="I176" s="122">
        <v>3476</v>
      </c>
      <c r="J176" s="122">
        <v>129371</v>
      </c>
      <c r="K176" s="122"/>
      <c r="L176" s="122" t="s">
        <v>330</v>
      </c>
      <c r="M176" s="122" t="s">
        <v>160</v>
      </c>
      <c r="N176" s="122" t="s">
        <v>161</v>
      </c>
      <c r="O176" s="123">
        <v>46120</v>
      </c>
      <c r="P176" s="158">
        <v>1699</v>
      </c>
      <c r="Q176" s="158" t="s">
        <v>67</v>
      </c>
      <c r="R176" s="158">
        <v>49.1</v>
      </c>
      <c r="S176" s="158">
        <v>21.92</v>
      </c>
      <c r="T176" s="158">
        <v>3.95</v>
      </c>
      <c r="U176" s="158">
        <v>1645.95</v>
      </c>
      <c r="V176" s="163">
        <v>0</v>
      </c>
      <c r="W176" s="122"/>
      <c r="X176" s="162">
        <v>20260409</v>
      </c>
      <c r="Y176" s="122"/>
      <c r="Z176" s="122" t="s">
        <v>139</v>
      </c>
      <c r="AA176" s="122">
        <v>3908900</v>
      </c>
      <c r="AB176" s="122" t="s">
        <v>544</v>
      </c>
      <c r="AC176" s="122"/>
      <c r="AD176" s="122"/>
      <c r="AE176" s="129">
        <v>0.90048611111111121</v>
      </c>
      <c r="AF176" s="122" t="s">
        <v>141</v>
      </c>
      <c r="AG176" s="139" t="s">
        <v>148</v>
      </c>
    </row>
    <row r="177" spans="1:33" x14ac:dyDescent="0.3">
      <c r="A177" s="121">
        <v>1044162</v>
      </c>
      <c r="B177" s="122" t="s">
        <v>162</v>
      </c>
      <c r="C177" s="122" t="s">
        <v>66</v>
      </c>
      <c r="D177" s="123">
        <v>46120</v>
      </c>
      <c r="E177" s="123">
        <v>46120</v>
      </c>
      <c r="F177" s="122"/>
      <c r="G177" s="122">
        <v>877</v>
      </c>
      <c r="H177" s="122" t="s">
        <v>132</v>
      </c>
      <c r="I177" s="122">
        <v>3478</v>
      </c>
      <c r="J177" s="122">
        <v>872642</v>
      </c>
      <c r="K177" s="122"/>
      <c r="L177" s="122" t="s">
        <v>331</v>
      </c>
      <c r="M177" s="122" t="s">
        <v>160</v>
      </c>
      <c r="N177" s="122" t="s">
        <v>161</v>
      </c>
      <c r="O177" s="123">
        <v>46120</v>
      </c>
      <c r="P177" s="158">
        <v>1999</v>
      </c>
      <c r="Q177" s="158" t="s">
        <v>67</v>
      </c>
      <c r="R177" s="158">
        <v>57.77</v>
      </c>
      <c r="S177" s="158">
        <v>15.79</v>
      </c>
      <c r="T177" s="158">
        <v>2.84</v>
      </c>
      <c r="U177" s="158">
        <v>1938.39</v>
      </c>
      <c r="V177" s="161">
        <v>16211.7</v>
      </c>
      <c r="W177" s="123">
        <v>46121</v>
      </c>
      <c r="X177" s="162">
        <v>20260409</v>
      </c>
      <c r="Y177" s="122">
        <v>104101</v>
      </c>
      <c r="Z177" s="122" t="s">
        <v>142</v>
      </c>
      <c r="AA177" s="122">
        <v>3908900</v>
      </c>
      <c r="AB177" s="122" t="s">
        <v>149</v>
      </c>
      <c r="AC177" s="122"/>
      <c r="AD177" s="122"/>
      <c r="AE177" s="129">
        <v>0.9116550925925927</v>
      </c>
      <c r="AF177" s="122" t="s">
        <v>141</v>
      </c>
      <c r="AG177" s="139" t="s">
        <v>148</v>
      </c>
    </row>
    <row r="178" spans="1:33" x14ac:dyDescent="0.3">
      <c r="A178" s="121">
        <v>1044162</v>
      </c>
      <c r="B178" s="122" t="s">
        <v>159</v>
      </c>
      <c r="C178" s="122" t="s">
        <v>66</v>
      </c>
      <c r="D178" s="123">
        <v>46121</v>
      </c>
      <c r="E178" s="123">
        <v>46121</v>
      </c>
      <c r="F178" s="122"/>
      <c r="G178" s="122">
        <v>878</v>
      </c>
      <c r="H178" s="122" t="s">
        <v>132</v>
      </c>
      <c r="I178" s="122">
        <v>3515</v>
      </c>
      <c r="J178" s="122">
        <v>95006</v>
      </c>
      <c r="K178" s="122"/>
      <c r="L178" s="122" t="s">
        <v>332</v>
      </c>
      <c r="M178" s="122" t="s">
        <v>160</v>
      </c>
      <c r="N178" s="122" t="s">
        <v>161</v>
      </c>
      <c r="O178" s="123">
        <v>46121</v>
      </c>
      <c r="P178" s="158">
        <v>1999</v>
      </c>
      <c r="Q178" s="158" t="s">
        <v>67</v>
      </c>
      <c r="R178" s="158">
        <v>57.77</v>
      </c>
      <c r="S178" s="158">
        <v>22.79</v>
      </c>
      <c r="T178" s="158">
        <v>4.0999999999999996</v>
      </c>
      <c r="U178" s="158">
        <v>1937.13</v>
      </c>
      <c r="V178" s="161">
        <v>1937.13</v>
      </c>
      <c r="W178" s="123">
        <v>46122</v>
      </c>
      <c r="X178" s="162">
        <v>20260410</v>
      </c>
      <c r="Y178" s="122">
        <v>104101</v>
      </c>
      <c r="Z178" s="122" t="s">
        <v>139</v>
      </c>
      <c r="AA178" s="122">
        <v>3908900</v>
      </c>
      <c r="AB178" s="122" t="s">
        <v>140</v>
      </c>
      <c r="AC178" s="122"/>
      <c r="AD178" s="122"/>
      <c r="AE178" s="129">
        <v>0.7739583333333333</v>
      </c>
      <c r="AF178" s="122" t="s">
        <v>141</v>
      </c>
      <c r="AG178" s="139" t="s">
        <v>148</v>
      </c>
    </row>
    <row r="179" spans="1:33" x14ac:dyDescent="0.3">
      <c r="A179" s="121">
        <v>1044162</v>
      </c>
      <c r="B179" s="122" t="s">
        <v>162</v>
      </c>
      <c r="C179" s="122" t="s">
        <v>66</v>
      </c>
      <c r="D179" s="123">
        <v>46121</v>
      </c>
      <c r="E179" s="123">
        <v>46121</v>
      </c>
      <c r="F179" s="122"/>
      <c r="G179" s="122">
        <v>878</v>
      </c>
      <c r="H179" s="122" t="s">
        <v>132</v>
      </c>
      <c r="I179" s="122">
        <v>3484</v>
      </c>
      <c r="J179" s="122">
        <v>109557</v>
      </c>
      <c r="K179" s="122">
        <v>3</v>
      </c>
      <c r="L179" s="122" t="s">
        <v>333</v>
      </c>
      <c r="M179" s="122" t="s">
        <v>160</v>
      </c>
      <c r="N179" s="122" t="s">
        <v>161</v>
      </c>
      <c r="O179" s="123">
        <v>46121</v>
      </c>
      <c r="P179" s="158">
        <v>498</v>
      </c>
      <c r="Q179" s="158" t="s">
        <v>67</v>
      </c>
      <c r="R179" s="158">
        <v>23.11</v>
      </c>
      <c r="S179" s="158">
        <v>1.94</v>
      </c>
      <c r="T179" s="158">
        <v>0.35</v>
      </c>
      <c r="U179" s="158">
        <v>474.54</v>
      </c>
      <c r="V179" s="163">
        <v>0</v>
      </c>
      <c r="W179" s="122"/>
      <c r="X179" s="162">
        <v>20260410</v>
      </c>
      <c r="Y179" s="122"/>
      <c r="Z179" s="122" t="s">
        <v>142</v>
      </c>
      <c r="AA179" s="122">
        <v>3908900</v>
      </c>
      <c r="AB179" s="122" t="s">
        <v>148</v>
      </c>
      <c r="AC179" s="122" t="s">
        <v>151</v>
      </c>
      <c r="AD179" s="122"/>
      <c r="AE179" s="129">
        <v>0.45620370370370367</v>
      </c>
      <c r="AF179" s="122" t="s">
        <v>141</v>
      </c>
      <c r="AG179" s="139" t="s">
        <v>148</v>
      </c>
    </row>
    <row r="180" spans="1:33" x14ac:dyDescent="0.3">
      <c r="A180" s="121">
        <v>1044162</v>
      </c>
      <c r="B180" s="122" t="s">
        <v>162</v>
      </c>
      <c r="C180" s="122" t="s">
        <v>66</v>
      </c>
      <c r="D180" s="123">
        <v>46121</v>
      </c>
      <c r="E180" s="123">
        <v>46121</v>
      </c>
      <c r="F180" s="122"/>
      <c r="G180" s="122">
        <v>878</v>
      </c>
      <c r="H180" s="122" t="s">
        <v>132</v>
      </c>
      <c r="I180" s="122">
        <v>3486</v>
      </c>
      <c r="J180" s="122">
        <v>571700</v>
      </c>
      <c r="K180" s="122"/>
      <c r="L180" s="122" t="s">
        <v>171</v>
      </c>
      <c r="M180" s="122" t="s">
        <v>160</v>
      </c>
      <c r="N180" s="122" t="s">
        <v>161</v>
      </c>
      <c r="O180" s="123">
        <v>46121</v>
      </c>
      <c r="P180" s="158">
        <v>629</v>
      </c>
      <c r="Q180" s="158" t="s">
        <v>67</v>
      </c>
      <c r="R180" s="158">
        <v>18.18</v>
      </c>
      <c r="S180" s="158">
        <v>8.1199999999999992</v>
      </c>
      <c r="T180" s="158">
        <v>1.46</v>
      </c>
      <c r="U180" s="158">
        <v>609.36</v>
      </c>
      <c r="V180" s="163">
        <v>0</v>
      </c>
      <c r="W180" s="122"/>
      <c r="X180" s="162">
        <v>20260410</v>
      </c>
      <c r="Y180" s="122"/>
      <c r="Z180" s="122" t="s">
        <v>139</v>
      </c>
      <c r="AA180" s="122">
        <v>3908900</v>
      </c>
      <c r="AB180" s="122" t="s">
        <v>145</v>
      </c>
      <c r="AC180" s="122"/>
      <c r="AD180" s="122"/>
      <c r="AE180" s="129">
        <v>0.46432870370370366</v>
      </c>
      <c r="AF180" s="122" t="s">
        <v>141</v>
      </c>
      <c r="AG180" s="139" t="s">
        <v>148</v>
      </c>
    </row>
    <row r="181" spans="1:33" x14ac:dyDescent="0.3">
      <c r="A181" s="121">
        <v>1044162</v>
      </c>
      <c r="B181" s="122" t="s">
        <v>162</v>
      </c>
      <c r="C181" s="122" t="s">
        <v>66</v>
      </c>
      <c r="D181" s="123">
        <v>46121</v>
      </c>
      <c r="E181" s="123">
        <v>46121</v>
      </c>
      <c r="F181" s="122"/>
      <c r="G181" s="122">
        <v>878</v>
      </c>
      <c r="H181" s="122" t="s">
        <v>132</v>
      </c>
      <c r="I181" s="122">
        <v>3488</v>
      </c>
      <c r="J181" s="122">
        <v>736672</v>
      </c>
      <c r="K181" s="122"/>
      <c r="L181" s="122" t="s">
        <v>334</v>
      </c>
      <c r="M181" s="122" t="s">
        <v>160</v>
      </c>
      <c r="N181" s="122" t="s">
        <v>161</v>
      </c>
      <c r="O181" s="123">
        <v>46121</v>
      </c>
      <c r="P181" s="158">
        <v>1149</v>
      </c>
      <c r="Q181" s="158" t="s">
        <v>67</v>
      </c>
      <c r="R181" s="158">
        <v>33.21</v>
      </c>
      <c r="S181" s="158">
        <v>14.83</v>
      </c>
      <c r="T181" s="158">
        <v>2.67</v>
      </c>
      <c r="U181" s="158">
        <v>1113.1199999999999</v>
      </c>
      <c r="V181" s="163">
        <v>0</v>
      </c>
      <c r="W181" s="122"/>
      <c r="X181" s="162">
        <v>20260410</v>
      </c>
      <c r="Y181" s="122"/>
      <c r="Z181" s="122" t="s">
        <v>139</v>
      </c>
      <c r="AA181" s="122">
        <v>3908900</v>
      </c>
      <c r="AB181" s="122" t="s">
        <v>145</v>
      </c>
      <c r="AC181" s="122"/>
      <c r="AD181" s="122"/>
      <c r="AE181" s="129">
        <v>0.51846064814814818</v>
      </c>
      <c r="AF181" s="122" t="s">
        <v>141</v>
      </c>
      <c r="AG181" s="139" t="s">
        <v>148</v>
      </c>
    </row>
    <row r="182" spans="1:33" x14ac:dyDescent="0.3">
      <c r="A182" s="121">
        <v>1044162</v>
      </c>
      <c r="B182" s="122" t="s">
        <v>162</v>
      </c>
      <c r="C182" s="122" t="s">
        <v>66</v>
      </c>
      <c r="D182" s="123">
        <v>46121</v>
      </c>
      <c r="E182" s="123">
        <v>46121</v>
      </c>
      <c r="F182" s="122"/>
      <c r="G182" s="122">
        <v>878</v>
      </c>
      <c r="H182" s="122" t="s">
        <v>132</v>
      </c>
      <c r="I182" s="122">
        <v>3490</v>
      </c>
      <c r="J182" s="122">
        <v>653060</v>
      </c>
      <c r="K182" s="122"/>
      <c r="L182" s="122" t="s">
        <v>335</v>
      </c>
      <c r="M182" s="122" t="s">
        <v>160</v>
      </c>
      <c r="N182" s="122" t="s">
        <v>161</v>
      </c>
      <c r="O182" s="123">
        <v>46121</v>
      </c>
      <c r="P182" s="158">
        <v>1999</v>
      </c>
      <c r="Q182" s="158" t="s">
        <v>67</v>
      </c>
      <c r="R182" s="158">
        <v>57.77</v>
      </c>
      <c r="S182" s="158">
        <v>25.79</v>
      </c>
      <c r="T182" s="158">
        <v>4.6399999999999997</v>
      </c>
      <c r="U182" s="158">
        <v>1936.59</v>
      </c>
      <c r="V182" s="163">
        <v>0</v>
      </c>
      <c r="W182" s="122"/>
      <c r="X182" s="162">
        <v>20260410</v>
      </c>
      <c r="Y182" s="122"/>
      <c r="Z182" s="122" t="s">
        <v>139</v>
      </c>
      <c r="AA182" s="122">
        <v>3908900</v>
      </c>
      <c r="AB182" s="122" t="s">
        <v>148</v>
      </c>
      <c r="AC182" s="122"/>
      <c r="AD182" s="122"/>
      <c r="AE182" s="129">
        <v>0.57177083333333334</v>
      </c>
      <c r="AF182" s="122" t="s">
        <v>141</v>
      </c>
      <c r="AG182" s="139" t="s">
        <v>148</v>
      </c>
    </row>
    <row r="183" spans="1:33" x14ac:dyDescent="0.3">
      <c r="A183" s="121">
        <v>1044162</v>
      </c>
      <c r="B183" s="122" t="s">
        <v>162</v>
      </c>
      <c r="C183" s="122" t="s">
        <v>66</v>
      </c>
      <c r="D183" s="123">
        <v>46121</v>
      </c>
      <c r="E183" s="123">
        <v>46121</v>
      </c>
      <c r="F183" s="122"/>
      <c r="G183" s="122">
        <v>878</v>
      </c>
      <c r="H183" s="122" t="s">
        <v>132</v>
      </c>
      <c r="I183" s="122">
        <v>3492</v>
      </c>
      <c r="J183" s="122">
        <v>15230</v>
      </c>
      <c r="K183" s="122"/>
      <c r="L183" s="122" t="s">
        <v>336</v>
      </c>
      <c r="M183" s="122" t="s">
        <v>160</v>
      </c>
      <c r="N183" s="122" t="s">
        <v>161</v>
      </c>
      <c r="O183" s="123">
        <v>46121</v>
      </c>
      <c r="P183" s="158">
        <v>629</v>
      </c>
      <c r="Q183" s="158" t="s">
        <v>67</v>
      </c>
      <c r="R183" s="158">
        <v>18.18</v>
      </c>
      <c r="S183" s="158">
        <v>4.97</v>
      </c>
      <c r="T183" s="158">
        <v>0.89</v>
      </c>
      <c r="U183" s="158">
        <v>609.92999999999995</v>
      </c>
      <c r="V183" s="163">
        <v>0</v>
      </c>
      <c r="W183" s="122"/>
      <c r="X183" s="162">
        <v>20260410</v>
      </c>
      <c r="Y183" s="122"/>
      <c r="Z183" s="122" t="s">
        <v>142</v>
      </c>
      <c r="AA183" s="122">
        <v>3908900</v>
      </c>
      <c r="AB183" s="122" t="s">
        <v>149</v>
      </c>
      <c r="AC183" s="122"/>
      <c r="AD183" s="122"/>
      <c r="AE183" s="129">
        <v>0.6065625</v>
      </c>
      <c r="AF183" s="122" t="s">
        <v>141</v>
      </c>
      <c r="AG183" s="139" t="s">
        <v>148</v>
      </c>
    </row>
    <row r="184" spans="1:33" x14ac:dyDescent="0.3">
      <c r="A184" s="121">
        <v>1044162</v>
      </c>
      <c r="B184" s="122" t="s">
        <v>162</v>
      </c>
      <c r="C184" s="122" t="s">
        <v>66</v>
      </c>
      <c r="D184" s="123">
        <v>46121</v>
      </c>
      <c r="E184" s="123">
        <v>46121</v>
      </c>
      <c r="F184" s="122"/>
      <c r="G184" s="122">
        <v>878</v>
      </c>
      <c r="H184" s="122" t="s">
        <v>132</v>
      </c>
      <c r="I184" s="122">
        <v>3494</v>
      </c>
      <c r="J184" s="122">
        <v>6802</v>
      </c>
      <c r="K184" s="122"/>
      <c r="L184" s="122" t="s">
        <v>337</v>
      </c>
      <c r="M184" s="122" t="s">
        <v>160</v>
      </c>
      <c r="N184" s="122" t="s">
        <v>161</v>
      </c>
      <c r="O184" s="123">
        <v>46121</v>
      </c>
      <c r="P184" s="158">
        <v>629</v>
      </c>
      <c r="Q184" s="158" t="s">
        <v>67</v>
      </c>
      <c r="R184" s="158">
        <v>18.18</v>
      </c>
      <c r="S184" s="158">
        <v>8.1199999999999992</v>
      </c>
      <c r="T184" s="158">
        <v>1.46</v>
      </c>
      <c r="U184" s="158">
        <v>609.36</v>
      </c>
      <c r="V184" s="163">
        <v>0</v>
      </c>
      <c r="W184" s="122"/>
      <c r="X184" s="162">
        <v>20260410</v>
      </c>
      <c r="Y184" s="122"/>
      <c r="Z184" s="122" t="s">
        <v>139</v>
      </c>
      <c r="AA184" s="122">
        <v>3908900</v>
      </c>
      <c r="AB184" s="122" t="s">
        <v>145</v>
      </c>
      <c r="AC184" s="122"/>
      <c r="AD184" s="122"/>
      <c r="AE184" s="129">
        <v>0.63370370370370377</v>
      </c>
      <c r="AF184" s="122" t="s">
        <v>141</v>
      </c>
      <c r="AG184" s="139" t="s">
        <v>148</v>
      </c>
    </row>
    <row r="185" spans="1:33" x14ac:dyDescent="0.3">
      <c r="A185" s="121">
        <v>1044162</v>
      </c>
      <c r="B185" s="122" t="s">
        <v>162</v>
      </c>
      <c r="C185" s="122" t="s">
        <v>66</v>
      </c>
      <c r="D185" s="123">
        <v>46121</v>
      </c>
      <c r="E185" s="123">
        <v>46121</v>
      </c>
      <c r="F185" s="122"/>
      <c r="G185" s="122">
        <v>878</v>
      </c>
      <c r="H185" s="122" t="s">
        <v>132</v>
      </c>
      <c r="I185" s="122">
        <v>3507</v>
      </c>
      <c r="J185" s="122">
        <v>79577</v>
      </c>
      <c r="K185" s="122"/>
      <c r="L185" s="122" t="s">
        <v>338</v>
      </c>
      <c r="M185" s="122" t="s">
        <v>160</v>
      </c>
      <c r="N185" s="122" t="s">
        <v>161</v>
      </c>
      <c r="O185" s="123">
        <v>46121</v>
      </c>
      <c r="P185" s="158">
        <v>529</v>
      </c>
      <c r="Q185" s="158" t="s">
        <v>67</v>
      </c>
      <c r="R185" s="158">
        <v>15.29</v>
      </c>
      <c r="S185" s="158">
        <v>6.83</v>
      </c>
      <c r="T185" s="158">
        <v>1.23</v>
      </c>
      <c r="U185" s="158">
        <v>512.48</v>
      </c>
      <c r="V185" s="163">
        <v>0</v>
      </c>
      <c r="W185" s="122"/>
      <c r="X185" s="162">
        <v>20260410</v>
      </c>
      <c r="Y185" s="122"/>
      <c r="Z185" s="122" t="s">
        <v>139</v>
      </c>
      <c r="AA185" s="122">
        <v>3908900</v>
      </c>
      <c r="AB185" s="122" t="s">
        <v>98</v>
      </c>
      <c r="AC185" s="122"/>
      <c r="AD185" s="122"/>
      <c r="AE185" s="129">
        <v>0.70908564814814812</v>
      </c>
      <c r="AF185" s="122" t="s">
        <v>141</v>
      </c>
      <c r="AG185" s="139" t="s">
        <v>148</v>
      </c>
    </row>
    <row r="186" spans="1:33" x14ac:dyDescent="0.3">
      <c r="A186" s="121">
        <v>1044162</v>
      </c>
      <c r="B186" s="122" t="s">
        <v>162</v>
      </c>
      <c r="C186" s="122" t="s">
        <v>66</v>
      </c>
      <c r="D186" s="123">
        <v>46121</v>
      </c>
      <c r="E186" s="123">
        <v>46121</v>
      </c>
      <c r="F186" s="122"/>
      <c r="G186" s="122">
        <v>878</v>
      </c>
      <c r="H186" s="122" t="s">
        <v>132</v>
      </c>
      <c r="I186" s="122">
        <v>3511</v>
      </c>
      <c r="J186" s="122">
        <v>181319</v>
      </c>
      <c r="K186" s="122"/>
      <c r="L186" s="122" t="s">
        <v>164</v>
      </c>
      <c r="M186" s="122" t="s">
        <v>160</v>
      </c>
      <c r="N186" s="122" t="s">
        <v>161</v>
      </c>
      <c r="O186" s="123">
        <v>46121</v>
      </c>
      <c r="P186" s="158">
        <v>566</v>
      </c>
      <c r="Q186" s="158" t="s">
        <v>67</v>
      </c>
      <c r="R186" s="158">
        <v>16.36</v>
      </c>
      <c r="S186" s="158">
        <v>4.47</v>
      </c>
      <c r="T186" s="158">
        <v>0.8</v>
      </c>
      <c r="U186" s="158">
        <v>548.84</v>
      </c>
      <c r="V186" s="163">
        <v>0</v>
      </c>
      <c r="W186" s="122"/>
      <c r="X186" s="162">
        <v>20260410</v>
      </c>
      <c r="Y186" s="122"/>
      <c r="Z186" s="122" t="s">
        <v>139</v>
      </c>
      <c r="AA186" s="122">
        <v>3908900</v>
      </c>
      <c r="AB186" s="122" t="s">
        <v>147</v>
      </c>
      <c r="AC186" s="122"/>
      <c r="AD186" s="122"/>
      <c r="AE186" s="129">
        <v>0.75853009259259263</v>
      </c>
      <c r="AF186" s="122" t="s">
        <v>141</v>
      </c>
      <c r="AG186" s="139" t="s">
        <v>148</v>
      </c>
    </row>
    <row r="187" spans="1:33" x14ac:dyDescent="0.3">
      <c r="A187" s="121">
        <v>1044162</v>
      </c>
      <c r="B187" s="122" t="s">
        <v>162</v>
      </c>
      <c r="C187" s="122" t="s">
        <v>66</v>
      </c>
      <c r="D187" s="123">
        <v>46121</v>
      </c>
      <c r="E187" s="123">
        <v>46121</v>
      </c>
      <c r="F187" s="122"/>
      <c r="G187" s="122">
        <v>878</v>
      </c>
      <c r="H187" s="122" t="s">
        <v>132</v>
      </c>
      <c r="I187" s="122">
        <v>3513</v>
      </c>
      <c r="J187" s="122">
        <v>341429</v>
      </c>
      <c r="K187" s="122"/>
      <c r="L187" s="122" t="s">
        <v>339</v>
      </c>
      <c r="M187" s="122" t="s">
        <v>160</v>
      </c>
      <c r="N187" s="122" t="s">
        <v>161</v>
      </c>
      <c r="O187" s="123">
        <v>46121</v>
      </c>
      <c r="P187" s="158">
        <v>629</v>
      </c>
      <c r="Q187" s="158" t="s">
        <v>67</v>
      </c>
      <c r="R187" s="158">
        <v>18.18</v>
      </c>
      <c r="S187" s="158">
        <v>8.1199999999999992</v>
      </c>
      <c r="T187" s="158">
        <v>1.46</v>
      </c>
      <c r="U187" s="158">
        <v>609.36</v>
      </c>
      <c r="V187" s="163">
        <v>0</v>
      </c>
      <c r="W187" s="122"/>
      <c r="X187" s="162">
        <v>20260410</v>
      </c>
      <c r="Y187" s="122"/>
      <c r="Z187" s="122" t="s">
        <v>139</v>
      </c>
      <c r="AA187" s="122">
        <v>3908900</v>
      </c>
      <c r="AB187" s="122" t="s">
        <v>145</v>
      </c>
      <c r="AC187" s="122"/>
      <c r="AD187" s="122"/>
      <c r="AE187" s="129">
        <v>0.77179398148148148</v>
      </c>
      <c r="AF187" s="122" t="s">
        <v>141</v>
      </c>
      <c r="AG187" s="139" t="s">
        <v>148</v>
      </c>
    </row>
    <row r="188" spans="1:33" x14ac:dyDescent="0.3">
      <c r="A188" s="121">
        <v>1044162</v>
      </c>
      <c r="B188" s="122" t="s">
        <v>162</v>
      </c>
      <c r="C188" s="122" t="s">
        <v>66</v>
      </c>
      <c r="D188" s="123">
        <v>46121</v>
      </c>
      <c r="E188" s="123">
        <v>46121</v>
      </c>
      <c r="F188" s="122"/>
      <c r="G188" s="122">
        <v>878</v>
      </c>
      <c r="H188" s="122" t="s">
        <v>132</v>
      </c>
      <c r="I188" s="122">
        <v>3518</v>
      </c>
      <c r="J188" s="122">
        <v>1652</v>
      </c>
      <c r="K188" s="122">
        <v>2</v>
      </c>
      <c r="L188" s="122" t="s">
        <v>340</v>
      </c>
      <c r="M188" s="122" t="s">
        <v>160</v>
      </c>
      <c r="N188" s="122" t="s">
        <v>161</v>
      </c>
      <c r="O188" s="123">
        <v>46121</v>
      </c>
      <c r="P188" s="158">
        <v>1999</v>
      </c>
      <c r="Q188" s="158" t="s">
        <v>67</v>
      </c>
      <c r="R188" s="158">
        <v>57.77</v>
      </c>
      <c r="S188" s="158">
        <v>15.79</v>
      </c>
      <c r="T188" s="158">
        <v>2.84</v>
      </c>
      <c r="U188" s="158">
        <v>1938.39</v>
      </c>
      <c r="V188" s="163">
        <v>0</v>
      </c>
      <c r="W188" s="122"/>
      <c r="X188" s="162">
        <v>20260410</v>
      </c>
      <c r="Y188" s="122"/>
      <c r="Z188" s="122" t="s">
        <v>142</v>
      </c>
      <c r="AA188" s="122">
        <v>3908900</v>
      </c>
      <c r="AB188" s="122" t="s">
        <v>145</v>
      </c>
      <c r="AC188" s="122" t="s">
        <v>144</v>
      </c>
      <c r="AD188" s="122"/>
      <c r="AE188" s="129">
        <v>0.78831018518518514</v>
      </c>
      <c r="AF188" s="122" t="s">
        <v>141</v>
      </c>
      <c r="AG188" s="139" t="s">
        <v>148</v>
      </c>
    </row>
    <row r="189" spans="1:33" x14ac:dyDescent="0.3">
      <c r="A189" s="121">
        <v>1044162</v>
      </c>
      <c r="B189" s="122" t="s">
        <v>162</v>
      </c>
      <c r="C189" s="122" t="s">
        <v>66</v>
      </c>
      <c r="D189" s="123">
        <v>46121</v>
      </c>
      <c r="E189" s="123">
        <v>46121</v>
      </c>
      <c r="F189" s="122"/>
      <c r="G189" s="122">
        <v>878</v>
      </c>
      <c r="H189" s="122" t="s">
        <v>132</v>
      </c>
      <c r="I189" s="122">
        <v>3522</v>
      </c>
      <c r="J189" s="122">
        <v>387</v>
      </c>
      <c r="K189" s="122">
        <v>5</v>
      </c>
      <c r="L189" s="122" t="s">
        <v>341</v>
      </c>
      <c r="M189" s="122" t="s">
        <v>160</v>
      </c>
      <c r="N189" s="122" t="s">
        <v>161</v>
      </c>
      <c r="O189" s="123">
        <v>46121</v>
      </c>
      <c r="P189" s="158">
        <v>949</v>
      </c>
      <c r="Q189" s="158" t="s">
        <v>67</v>
      </c>
      <c r="R189" s="158">
        <v>27.43</v>
      </c>
      <c r="S189" s="158">
        <v>7.5</v>
      </c>
      <c r="T189" s="158">
        <v>1.35</v>
      </c>
      <c r="U189" s="158">
        <v>920.22</v>
      </c>
      <c r="V189" s="163">
        <v>0</v>
      </c>
      <c r="W189" s="122"/>
      <c r="X189" s="162">
        <v>20260410</v>
      </c>
      <c r="Y189" s="122"/>
      <c r="Z189" s="122" t="s">
        <v>142</v>
      </c>
      <c r="AA189" s="122">
        <v>3908900</v>
      </c>
      <c r="AB189" s="122" t="s">
        <v>145</v>
      </c>
      <c r="AC189" s="122" t="s">
        <v>144</v>
      </c>
      <c r="AD189" s="122"/>
      <c r="AE189" s="129">
        <v>0.86810185185185185</v>
      </c>
      <c r="AF189" s="122" t="s">
        <v>141</v>
      </c>
      <c r="AG189" s="139" t="s">
        <v>148</v>
      </c>
    </row>
    <row r="190" spans="1:33" x14ac:dyDescent="0.3">
      <c r="A190" s="121">
        <v>1044162</v>
      </c>
      <c r="B190" s="122" t="s">
        <v>162</v>
      </c>
      <c r="C190" s="122" t="s">
        <v>66</v>
      </c>
      <c r="D190" s="123">
        <v>46121</v>
      </c>
      <c r="E190" s="123">
        <v>46121</v>
      </c>
      <c r="F190" s="122"/>
      <c r="G190" s="122">
        <v>878</v>
      </c>
      <c r="H190" s="122" t="s">
        <v>132</v>
      </c>
      <c r="I190" s="122">
        <v>3524</v>
      </c>
      <c r="J190" s="122">
        <v>241150</v>
      </c>
      <c r="K190" s="122"/>
      <c r="L190" s="122" t="s">
        <v>342</v>
      </c>
      <c r="M190" s="122" t="s">
        <v>160</v>
      </c>
      <c r="N190" s="122" t="s">
        <v>161</v>
      </c>
      <c r="O190" s="123">
        <v>46121</v>
      </c>
      <c r="P190" s="158">
        <v>1049</v>
      </c>
      <c r="Q190" s="158" t="s">
        <v>67</v>
      </c>
      <c r="R190" s="158">
        <v>30.32</v>
      </c>
      <c r="S190" s="158">
        <v>13.54</v>
      </c>
      <c r="T190" s="158">
        <v>2.44</v>
      </c>
      <c r="U190" s="158">
        <v>1016.24</v>
      </c>
      <c r="V190" s="161">
        <v>10898.43</v>
      </c>
      <c r="W190" s="123">
        <v>46122</v>
      </c>
      <c r="X190" s="162">
        <v>20260410</v>
      </c>
      <c r="Y190" s="122">
        <v>104101</v>
      </c>
      <c r="Z190" s="122" t="s">
        <v>139</v>
      </c>
      <c r="AA190" s="122">
        <v>3908900</v>
      </c>
      <c r="AB190" s="122" t="s">
        <v>147</v>
      </c>
      <c r="AC190" s="122"/>
      <c r="AD190" s="122"/>
      <c r="AE190" s="129">
        <v>0.87979166666666664</v>
      </c>
      <c r="AF190" s="122" t="s">
        <v>141</v>
      </c>
      <c r="AG190" s="139" t="s">
        <v>148</v>
      </c>
    </row>
    <row r="191" spans="1:33" x14ac:dyDescent="0.3">
      <c r="A191" s="121">
        <v>1044162</v>
      </c>
      <c r="B191" s="122" t="s">
        <v>167</v>
      </c>
      <c r="C191" s="122" t="s">
        <v>66</v>
      </c>
      <c r="D191" s="123">
        <v>46121</v>
      </c>
      <c r="E191" s="123">
        <v>46121</v>
      </c>
      <c r="F191" s="122"/>
      <c r="G191" s="122">
        <v>878</v>
      </c>
      <c r="H191" s="122" t="s">
        <v>132</v>
      </c>
      <c r="I191" s="122">
        <v>3520</v>
      </c>
      <c r="J191" s="122">
        <v>84937</v>
      </c>
      <c r="K191" s="122"/>
      <c r="L191" s="122" t="s">
        <v>343</v>
      </c>
      <c r="M191" s="122" t="s">
        <v>160</v>
      </c>
      <c r="N191" s="122" t="s">
        <v>161</v>
      </c>
      <c r="O191" s="123">
        <v>46121</v>
      </c>
      <c r="P191" s="158">
        <v>1799</v>
      </c>
      <c r="Q191" s="158" t="s">
        <v>67</v>
      </c>
      <c r="R191" s="158">
        <v>51.99</v>
      </c>
      <c r="S191" s="158">
        <v>14.21</v>
      </c>
      <c r="T191" s="158">
        <v>2.56</v>
      </c>
      <c r="U191" s="158">
        <v>1744.45</v>
      </c>
      <c r="V191" s="161">
        <v>1744.45</v>
      </c>
      <c r="W191" s="123">
        <v>46122</v>
      </c>
      <c r="X191" s="162">
        <v>20260410</v>
      </c>
      <c r="Y191" s="122">
        <v>104101</v>
      </c>
      <c r="Z191" s="122" t="s">
        <v>142</v>
      </c>
      <c r="AA191" s="122">
        <v>3908900</v>
      </c>
      <c r="AB191" s="122" t="s">
        <v>538</v>
      </c>
      <c r="AC191" s="122"/>
      <c r="AD191" s="122"/>
      <c r="AE191" s="129">
        <v>0.83325231481481488</v>
      </c>
      <c r="AF191" s="122" t="s">
        <v>141</v>
      </c>
      <c r="AG191" s="139" t="s">
        <v>148</v>
      </c>
    </row>
    <row r="192" spans="1:33" x14ac:dyDescent="0.3">
      <c r="A192" s="121">
        <v>1044162</v>
      </c>
      <c r="B192" s="122" t="s">
        <v>159</v>
      </c>
      <c r="C192" s="122" t="s">
        <v>66</v>
      </c>
      <c r="D192" s="123">
        <v>46122</v>
      </c>
      <c r="E192" s="123">
        <v>46122</v>
      </c>
      <c r="F192" s="122"/>
      <c r="G192" s="122">
        <v>879</v>
      </c>
      <c r="H192" s="122" t="s">
        <v>132</v>
      </c>
      <c r="I192" s="122">
        <v>3584</v>
      </c>
      <c r="J192" s="122">
        <v>143528</v>
      </c>
      <c r="K192" s="122"/>
      <c r="L192" s="122" t="s">
        <v>344</v>
      </c>
      <c r="M192" s="122" t="s">
        <v>160</v>
      </c>
      <c r="N192" s="122" t="s">
        <v>161</v>
      </c>
      <c r="O192" s="123">
        <v>46122</v>
      </c>
      <c r="P192" s="158">
        <v>299</v>
      </c>
      <c r="Q192" s="158" t="s">
        <v>67</v>
      </c>
      <c r="R192" s="158">
        <v>8.64</v>
      </c>
      <c r="S192" s="158">
        <v>1.02</v>
      </c>
      <c r="T192" s="158">
        <v>0.18</v>
      </c>
      <c r="U192" s="158">
        <v>290.18</v>
      </c>
      <c r="V192" s="161">
        <v>290.18</v>
      </c>
      <c r="W192" s="123">
        <v>46125</v>
      </c>
      <c r="X192" s="162">
        <v>20260413</v>
      </c>
      <c r="Y192" s="122">
        <v>104101</v>
      </c>
      <c r="Z192" s="122" t="s">
        <v>142</v>
      </c>
      <c r="AA192" s="122">
        <v>3908900</v>
      </c>
      <c r="AB192" s="122" t="s">
        <v>148</v>
      </c>
      <c r="AC192" s="122"/>
      <c r="AD192" s="122"/>
      <c r="AE192" s="129">
        <v>0.85736111111111113</v>
      </c>
      <c r="AF192" s="122" t="s">
        <v>141</v>
      </c>
      <c r="AG192" s="139" t="s">
        <v>148</v>
      </c>
    </row>
    <row r="193" spans="1:33" x14ac:dyDescent="0.3">
      <c r="A193" s="121">
        <v>1044162</v>
      </c>
      <c r="B193" s="122" t="s">
        <v>162</v>
      </c>
      <c r="C193" s="122" t="s">
        <v>66</v>
      </c>
      <c r="D193" s="123">
        <v>46122</v>
      </c>
      <c r="E193" s="123">
        <v>46122</v>
      </c>
      <c r="F193" s="122"/>
      <c r="G193" s="122">
        <v>879</v>
      </c>
      <c r="H193" s="122" t="s">
        <v>132</v>
      </c>
      <c r="I193" s="122">
        <v>3529</v>
      </c>
      <c r="J193" s="122">
        <v>36914</v>
      </c>
      <c r="K193" s="122"/>
      <c r="L193" s="122" t="s">
        <v>345</v>
      </c>
      <c r="M193" s="122" t="s">
        <v>160</v>
      </c>
      <c r="N193" s="122" t="s">
        <v>161</v>
      </c>
      <c r="O193" s="123">
        <v>46122</v>
      </c>
      <c r="P193" s="158">
        <v>1860</v>
      </c>
      <c r="Q193" s="158" t="s">
        <v>67</v>
      </c>
      <c r="R193" s="158">
        <v>53.75</v>
      </c>
      <c r="S193" s="158">
        <v>23.99</v>
      </c>
      <c r="T193" s="158">
        <v>4.32</v>
      </c>
      <c r="U193" s="158">
        <v>1801.93</v>
      </c>
      <c r="V193" s="163">
        <v>0</v>
      </c>
      <c r="W193" s="122"/>
      <c r="X193" s="162">
        <v>20260413</v>
      </c>
      <c r="Y193" s="122"/>
      <c r="Z193" s="122" t="s">
        <v>139</v>
      </c>
      <c r="AA193" s="122">
        <v>3908900</v>
      </c>
      <c r="AB193" s="122" t="s">
        <v>152</v>
      </c>
      <c r="AC193" s="122"/>
      <c r="AD193" s="122"/>
      <c r="AE193" s="129">
        <v>0.47895833333333332</v>
      </c>
      <c r="AF193" s="122" t="s">
        <v>141</v>
      </c>
      <c r="AG193" s="139" t="s">
        <v>148</v>
      </c>
    </row>
    <row r="194" spans="1:33" x14ac:dyDescent="0.3">
      <c r="A194" s="121">
        <v>1044162</v>
      </c>
      <c r="B194" s="122" t="s">
        <v>162</v>
      </c>
      <c r="C194" s="122" t="s">
        <v>66</v>
      </c>
      <c r="D194" s="123">
        <v>46122</v>
      </c>
      <c r="E194" s="123">
        <v>46122</v>
      </c>
      <c r="F194" s="122"/>
      <c r="G194" s="122">
        <v>879</v>
      </c>
      <c r="H194" s="122" t="s">
        <v>132</v>
      </c>
      <c r="I194" s="122">
        <v>3531</v>
      </c>
      <c r="J194" s="122">
        <v>314355</v>
      </c>
      <c r="K194" s="122">
        <v>6</v>
      </c>
      <c r="L194" s="122" t="s">
        <v>346</v>
      </c>
      <c r="M194" s="122" t="s">
        <v>160</v>
      </c>
      <c r="N194" s="122" t="s">
        <v>161</v>
      </c>
      <c r="O194" s="123">
        <v>46122</v>
      </c>
      <c r="P194" s="158">
        <v>1799</v>
      </c>
      <c r="Q194" s="158" t="s">
        <v>67</v>
      </c>
      <c r="R194" s="158">
        <v>51.99</v>
      </c>
      <c r="S194" s="158">
        <v>10.61</v>
      </c>
      <c r="T194" s="158">
        <v>1.91</v>
      </c>
      <c r="U194" s="158">
        <v>1745.1</v>
      </c>
      <c r="V194" s="163">
        <v>0</v>
      </c>
      <c r="W194" s="122"/>
      <c r="X194" s="162">
        <v>20260413</v>
      </c>
      <c r="Y194" s="122"/>
      <c r="Z194" s="122" t="s">
        <v>142</v>
      </c>
      <c r="AA194" s="122">
        <v>3908900</v>
      </c>
      <c r="AB194" s="122" t="s">
        <v>149</v>
      </c>
      <c r="AC194" s="122" t="s">
        <v>144</v>
      </c>
      <c r="AD194" s="122"/>
      <c r="AE194" s="129">
        <v>0.55799768518518522</v>
      </c>
      <c r="AF194" s="122" t="s">
        <v>141</v>
      </c>
      <c r="AG194" s="139" t="s">
        <v>148</v>
      </c>
    </row>
    <row r="195" spans="1:33" x14ac:dyDescent="0.3">
      <c r="A195" s="121">
        <v>1044162</v>
      </c>
      <c r="B195" s="122" t="s">
        <v>162</v>
      </c>
      <c r="C195" s="122" t="s">
        <v>66</v>
      </c>
      <c r="D195" s="123">
        <v>46122</v>
      </c>
      <c r="E195" s="123">
        <v>46122</v>
      </c>
      <c r="F195" s="122"/>
      <c r="G195" s="122">
        <v>879</v>
      </c>
      <c r="H195" s="122" t="s">
        <v>132</v>
      </c>
      <c r="I195" s="122">
        <v>3535</v>
      </c>
      <c r="J195" s="122">
        <v>427717</v>
      </c>
      <c r="K195" s="122"/>
      <c r="L195" s="122" t="s">
        <v>347</v>
      </c>
      <c r="M195" s="122" t="s">
        <v>160</v>
      </c>
      <c r="N195" s="122" t="s">
        <v>161</v>
      </c>
      <c r="O195" s="123">
        <v>46122</v>
      </c>
      <c r="P195" s="158">
        <v>99</v>
      </c>
      <c r="Q195" s="158" t="s">
        <v>67</v>
      </c>
      <c r="R195" s="158">
        <v>2.86</v>
      </c>
      <c r="S195" s="158">
        <v>1.28</v>
      </c>
      <c r="T195" s="158">
        <v>0.23</v>
      </c>
      <c r="U195" s="158">
        <v>95.91</v>
      </c>
      <c r="V195" s="163">
        <v>0</v>
      </c>
      <c r="W195" s="122"/>
      <c r="X195" s="162">
        <v>20260413</v>
      </c>
      <c r="Y195" s="122"/>
      <c r="Z195" s="122" t="s">
        <v>139</v>
      </c>
      <c r="AA195" s="122">
        <v>3908900</v>
      </c>
      <c r="AB195" s="122" t="s">
        <v>155</v>
      </c>
      <c r="AC195" s="122"/>
      <c r="AD195" s="122"/>
      <c r="AE195" s="129">
        <v>0.58754629629629629</v>
      </c>
      <c r="AF195" s="122" t="s">
        <v>141</v>
      </c>
      <c r="AG195" s="139" t="s">
        <v>148</v>
      </c>
    </row>
    <row r="196" spans="1:33" x14ac:dyDescent="0.3">
      <c r="A196" s="121">
        <v>1044162</v>
      </c>
      <c r="B196" s="122" t="s">
        <v>162</v>
      </c>
      <c r="C196" s="122" t="s">
        <v>66</v>
      </c>
      <c r="D196" s="123">
        <v>46122</v>
      </c>
      <c r="E196" s="123">
        <v>46122</v>
      </c>
      <c r="F196" s="122"/>
      <c r="G196" s="122">
        <v>879</v>
      </c>
      <c r="H196" s="122" t="s">
        <v>132</v>
      </c>
      <c r="I196" s="122">
        <v>3537</v>
      </c>
      <c r="J196" s="122">
        <v>535190</v>
      </c>
      <c r="K196" s="122"/>
      <c r="L196" s="122" t="s">
        <v>348</v>
      </c>
      <c r="M196" s="122" t="s">
        <v>160</v>
      </c>
      <c r="N196" s="122" t="s">
        <v>161</v>
      </c>
      <c r="O196" s="123">
        <v>46122</v>
      </c>
      <c r="P196" s="158">
        <v>739</v>
      </c>
      <c r="Q196" s="158" t="s">
        <v>67</v>
      </c>
      <c r="R196" s="158">
        <v>21.36</v>
      </c>
      <c r="S196" s="158">
        <v>9.5399999999999991</v>
      </c>
      <c r="T196" s="158">
        <v>1.72</v>
      </c>
      <c r="U196" s="158">
        <v>715.92</v>
      </c>
      <c r="V196" s="163">
        <v>0</v>
      </c>
      <c r="W196" s="122"/>
      <c r="X196" s="162">
        <v>20260413</v>
      </c>
      <c r="Y196" s="122"/>
      <c r="Z196" s="122" t="s">
        <v>139</v>
      </c>
      <c r="AA196" s="122">
        <v>3908900</v>
      </c>
      <c r="AB196" s="122" t="s">
        <v>145</v>
      </c>
      <c r="AC196" s="122"/>
      <c r="AD196" s="122"/>
      <c r="AE196" s="129">
        <v>0.59840277777777773</v>
      </c>
      <c r="AF196" s="122" t="s">
        <v>141</v>
      </c>
      <c r="AG196" s="139" t="s">
        <v>148</v>
      </c>
    </row>
    <row r="197" spans="1:33" x14ac:dyDescent="0.3">
      <c r="A197" s="121">
        <v>1044162</v>
      </c>
      <c r="B197" s="122" t="s">
        <v>162</v>
      </c>
      <c r="C197" s="122" t="s">
        <v>66</v>
      </c>
      <c r="D197" s="123">
        <v>46122</v>
      </c>
      <c r="E197" s="123">
        <v>46122</v>
      </c>
      <c r="F197" s="122"/>
      <c r="G197" s="122">
        <v>879</v>
      </c>
      <c r="H197" s="122" t="s">
        <v>132</v>
      </c>
      <c r="I197" s="122">
        <v>3550</v>
      </c>
      <c r="J197" s="122">
        <v>6263</v>
      </c>
      <c r="K197" s="122"/>
      <c r="L197" s="122" t="s">
        <v>349</v>
      </c>
      <c r="M197" s="122" t="s">
        <v>160</v>
      </c>
      <c r="N197" s="122" t="s">
        <v>161</v>
      </c>
      <c r="O197" s="123">
        <v>46122</v>
      </c>
      <c r="P197" s="158">
        <v>1049</v>
      </c>
      <c r="Q197" s="158" t="s">
        <v>67</v>
      </c>
      <c r="R197" s="158">
        <v>30.32</v>
      </c>
      <c r="S197" s="158">
        <v>8.2899999999999991</v>
      </c>
      <c r="T197" s="158">
        <v>1.49</v>
      </c>
      <c r="U197" s="158">
        <v>1017.19</v>
      </c>
      <c r="V197" s="163">
        <v>0</v>
      </c>
      <c r="W197" s="122"/>
      <c r="X197" s="162">
        <v>20260413</v>
      </c>
      <c r="Y197" s="122"/>
      <c r="Z197" s="122" t="s">
        <v>142</v>
      </c>
      <c r="AA197" s="122">
        <v>3908900</v>
      </c>
      <c r="AB197" s="122" t="s">
        <v>145</v>
      </c>
      <c r="AC197" s="122"/>
      <c r="AD197" s="122"/>
      <c r="AE197" s="129">
        <v>0.65081018518518519</v>
      </c>
      <c r="AF197" s="122" t="s">
        <v>141</v>
      </c>
      <c r="AG197" s="139" t="s">
        <v>148</v>
      </c>
    </row>
    <row r="198" spans="1:33" x14ac:dyDescent="0.3">
      <c r="A198" s="121">
        <v>1044162</v>
      </c>
      <c r="B198" s="122" t="s">
        <v>162</v>
      </c>
      <c r="C198" s="122" t="s">
        <v>66</v>
      </c>
      <c r="D198" s="123">
        <v>46122</v>
      </c>
      <c r="E198" s="123">
        <v>46122</v>
      </c>
      <c r="F198" s="122"/>
      <c r="G198" s="122">
        <v>879</v>
      </c>
      <c r="H198" s="122" t="s">
        <v>132</v>
      </c>
      <c r="I198" s="122">
        <v>3552</v>
      </c>
      <c r="J198" s="122">
        <v>117378</v>
      </c>
      <c r="K198" s="122"/>
      <c r="L198" s="122" t="s">
        <v>350</v>
      </c>
      <c r="M198" s="122" t="s">
        <v>160</v>
      </c>
      <c r="N198" s="122" t="s">
        <v>161</v>
      </c>
      <c r="O198" s="123">
        <v>46122</v>
      </c>
      <c r="P198" s="158">
        <v>688</v>
      </c>
      <c r="Q198" s="158" t="s">
        <v>67</v>
      </c>
      <c r="R198" s="158">
        <v>19.88</v>
      </c>
      <c r="S198" s="158">
        <v>5.43</v>
      </c>
      <c r="T198" s="158">
        <v>0.98</v>
      </c>
      <c r="U198" s="158">
        <v>667.14</v>
      </c>
      <c r="V198" s="163">
        <v>0</v>
      </c>
      <c r="W198" s="122"/>
      <c r="X198" s="162">
        <v>20260413</v>
      </c>
      <c r="Y198" s="122"/>
      <c r="Z198" s="122" t="s">
        <v>139</v>
      </c>
      <c r="AA198" s="122">
        <v>3908900</v>
      </c>
      <c r="AB198" s="122" t="s">
        <v>148</v>
      </c>
      <c r="AC198" s="122"/>
      <c r="AD198" s="122"/>
      <c r="AE198" s="129">
        <v>0.65765046296296303</v>
      </c>
      <c r="AF198" s="122" t="s">
        <v>141</v>
      </c>
      <c r="AG198" s="139" t="s">
        <v>148</v>
      </c>
    </row>
    <row r="199" spans="1:33" x14ac:dyDescent="0.3">
      <c r="A199" s="121">
        <v>1044162</v>
      </c>
      <c r="B199" s="122" t="s">
        <v>162</v>
      </c>
      <c r="C199" s="122" t="s">
        <v>66</v>
      </c>
      <c r="D199" s="123">
        <v>46122</v>
      </c>
      <c r="E199" s="123">
        <v>46122</v>
      </c>
      <c r="F199" s="122"/>
      <c r="G199" s="122">
        <v>879</v>
      </c>
      <c r="H199" s="122">
        <v>65656565</v>
      </c>
      <c r="I199" s="122">
        <v>3554</v>
      </c>
      <c r="J199" s="122">
        <v>675559</v>
      </c>
      <c r="K199" s="122"/>
      <c r="L199" s="122" t="s">
        <v>351</v>
      </c>
      <c r="M199" s="122" t="s">
        <v>160</v>
      </c>
      <c r="N199" s="122" t="s">
        <v>161</v>
      </c>
      <c r="O199" s="123">
        <v>46122</v>
      </c>
      <c r="P199" s="158">
        <v>44.75</v>
      </c>
      <c r="Q199" s="158" t="s">
        <v>67</v>
      </c>
      <c r="R199" s="158">
        <v>1.29</v>
      </c>
      <c r="S199" s="158">
        <v>0.56999999999999995</v>
      </c>
      <c r="T199" s="158">
        <v>0.1</v>
      </c>
      <c r="U199" s="158">
        <v>43.36</v>
      </c>
      <c r="V199" s="163">
        <v>0</v>
      </c>
      <c r="W199" s="122"/>
      <c r="X199" s="162">
        <v>20260413</v>
      </c>
      <c r="Y199" s="122"/>
      <c r="Z199" s="122" t="s">
        <v>139</v>
      </c>
      <c r="AA199" s="122">
        <v>3908900</v>
      </c>
      <c r="AB199" s="122" t="s">
        <v>145</v>
      </c>
      <c r="AC199" s="122"/>
      <c r="AD199" s="122" t="s">
        <v>146</v>
      </c>
      <c r="AE199" s="129">
        <v>0.66009259259259256</v>
      </c>
      <c r="AF199" s="122" t="s">
        <v>141</v>
      </c>
      <c r="AG199" s="139" t="s">
        <v>148</v>
      </c>
    </row>
    <row r="200" spans="1:33" x14ac:dyDescent="0.3">
      <c r="A200" s="121">
        <v>1044162</v>
      </c>
      <c r="B200" s="122" t="s">
        <v>162</v>
      </c>
      <c r="C200" s="122" t="s">
        <v>66</v>
      </c>
      <c r="D200" s="123">
        <v>46122</v>
      </c>
      <c r="E200" s="123">
        <v>46122</v>
      </c>
      <c r="F200" s="122"/>
      <c r="G200" s="122">
        <v>879</v>
      </c>
      <c r="H200" s="122" t="s">
        <v>132</v>
      </c>
      <c r="I200" s="122">
        <v>3557</v>
      </c>
      <c r="J200" s="122">
        <v>216855</v>
      </c>
      <c r="K200" s="122"/>
      <c r="L200" s="122" t="s">
        <v>352</v>
      </c>
      <c r="M200" s="122" t="s">
        <v>160</v>
      </c>
      <c r="N200" s="122" t="s">
        <v>161</v>
      </c>
      <c r="O200" s="123">
        <v>46122</v>
      </c>
      <c r="P200" s="158">
        <v>19</v>
      </c>
      <c r="Q200" s="158" t="s">
        <v>67</v>
      </c>
      <c r="R200" s="158">
        <v>0.55000000000000004</v>
      </c>
      <c r="S200" s="158">
        <v>0.25</v>
      </c>
      <c r="T200" s="158">
        <v>0.05</v>
      </c>
      <c r="U200" s="158">
        <v>18.399999999999999</v>
      </c>
      <c r="V200" s="163">
        <v>0</v>
      </c>
      <c r="W200" s="122"/>
      <c r="X200" s="162">
        <v>20260413</v>
      </c>
      <c r="Y200" s="122"/>
      <c r="Z200" s="122" t="s">
        <v>139</v>
      </c>
      <c r="AA200" s="122">
        <v>3908900</v>
      </c>
      <c r="AB200" s="122" t="s">
        <v>148</v>
      </c>
      <c r="AC200" s="122"/>
      <c r="AD200" s="122"/>
      <c r="AE200" s="129">
        <v>0.6815162037037038</v>
      </c>
      <c r="AF200" s="122" t="s">
        <v>141</v>
      </c>
      <c r="AG200" s="139" t="s">
        <v>148</v>
      </c>
    </row>
    <row r="201" spans="1:33" x14ac:dyDescent="0.3">
      <c r="A201" s="121">
        <v>1044162</v>
      </c>
      <c r="B201" s="122" t="s">
        <v>162</v>
      </c>
      <c r="C201" s="122" t="s">
        <v>66</v>
      </c>
      <c r="D201" s="123">
        <v>46122</v>
      </c>
      <c r="E201" s="123">
        <v>46122</v>
      </c>
      <c r="F201" s="122"/>
      <c r="G201" s="122">
        <v>879</v>
      </c>
      <c r="H201" s="122" t="s">
        <v>132</v>
      </c>
      <c r="I201" s="122">
        <v>3567</v>
      </c>
      <c r="J201" s="122">
        <v>82709</v>
      </c>
      <c r="K201" s="122"/>
      <c r="L201" s="122" t="s">
        <v>353</v>
      </c>
      <c r="M201" s="122" t="s">
        <v>160</v>
      </c>
      <c r="N201" s="122" t="s">
        <v>161</v>
      </c>
      <c r="O201" s="123">
        <v>46122</v>
      </c>
      <c r="P201" s="158">
        <v>63</v>
      </c>
      <c r="Q201" s="158" t="s">
        <v>67</v>
      </c>
      <c r="R201" s="158">
        <v>1.82</v>
      </c>
      <c r="S201" s="158">
        <v>0.81</v>
      </c>
      <c r="T201" s="158">
        <v>0.15</v>
      </c>
      <c r="U201" s="158">
        <v>61.03</v>
      </c>
      <c r="V201" s="163">
        <v>0</v>
      </c>
      <c r="W201" s="122"/>
      <c r="X201" s="162">
        <v>20260413</v>
      </c>
      <c r="Y201" s="122"/>
      <c r="Z201" s="122" t="s">
        <v>139</v>
      </c>
      <c r="AA201" s="122">
        <v>3908900</v>
      </c>
      <c r="AB201" s="122" t="s">
        <v>145</v>
      </c>
      <c r="AC201" s="122"/>
      <c r="AD201" s="122"/>
      <c r="AE201" s="129">
        <v>0.70283564814814825</v>
      </c>
      <c r="AF201" s="122" t="s">
        <v>141</v>
      </c>
      <c r="AG201" s="139" t="s">
        <v>148</v>
      </c>
    </row>
    <row r="202" spans="1:33" x14ac:dyDescent="0.3">
      <c r="A202" s="121">
        <v>1044162</v>
      </c>
      <c r="B202" s="122" t="s">
        <v>162</v>
      </c>
      <c r="C202" s="122" t="s">
        <v>66</v>
      </c>
      <c r="D202" s="123">
        <v>46122</v>
      </c>
      <c r="E202" s="123">
        <v>46122</v>
      </c>
      <c r="F202" s="122"/>
      <c r="G202" s="122">
        <v>879</v>
      </c>
      <c r="H202" s="122" t="s">
        <v>132</v>
      </c>
      <c r="I202" s="122">
        <v>3569</v>
      </c>
      <c r="J202" s="122">
        <v>165348</v>
      </c>
      <c r="K202" s="122"/>
      <c r="L202" s="122" t="s">
        <v>166</v>
      </c>
      <c r="M202" s="122" t="s">
        <v>160</v>
      </c>
      <c r="N202" s="122" t="s">
        <v>161</v>
      </c>
      <c r="O202" s="123">
        <v>46122</v>
      </c>
      <c r="P202" s="158">
        <v>566</v>
      </c>
      <c r="Q202" s="158" t="s">
        <v>67</v>
      </c>
      <c r="R202" s="158">
        <v>16.36</v>
      </c>
      <c r="S202" s="158">
        <v>4.47</v>
      </c>
      <c r="T202" s="158">
        <v>0.8</v>
      </c>
      <c r="U202" s="158">
        <v>548.84</v>
      </c>
      <c r="V202" s="163">
        <v>0</v>
      </c>
      <c r="W202" s="122"/>
      <c r="X202" s="162">
        <v>20260413</v>
      </c>
      <c r="Y202" s="122"/>
      <c r="Z202" s="122" t="s">
        <v>139</v>
      </c>
      <c r="AA202" s="122">
        <v>3908900</v>
      </c>
      <c r="AB202" s="122" t="s">
        <v>147</v>
      </c>
      <c r="AC202" s="122"/>
      <c r="AD202" s="122"/>
      <c r="AE202" s="129">
        <v>0.70329861111111114</v>
      </c>
      <c r="AF202" s="122" t="s">
        <v>141</v>
      </c>
      <c r="AG202" s="139" t="s">
        <v>148</v>
      </c>
    </row>
    <row r="203" spans="1:33" x14ac:dyDescent="0.3">
      <c r="A203" s="121">
        <v>1044162</v>
      </c>
      <c r="B203" s="122" t="s">
        <v>162</v>
      </c>
      <c r="C203" s="122" t="s">
        <v>66</v>
      </c>
      <c r="D203" s="123">
        <v>46122</v>
      </c>
      <c r="E203" s="123">
        <v>46122</v>
      </c>
      <c r="F203" s="122"/>
      <c r="G203" s="122">
        <v>879</v>
      </c>
      <c r="H203" s="122" t="s">
        <v>132</v>
      </c>
      <c r="I203" s="122">
        <v>3572</v>
      </c>
      <c r="J203" s="122">
        <v>440215</v>
      </c>
      <c r="K203" s="122"/>
      <c r="L203" s="122" t="s">
        <v>354</v>
      </c>
      <c r="M203" s="122" t="s">
        <v>160</v>
      </c>
      <c r="N203" s="122" t="s">
        <v>161</v>
      </c>
      <c r="O203" s="123">
        <v>46122</v>
      </c>
      <c r="P203" s="158">
        <v>69</v>
      </c>
      <c r="Q203" s="158" t="s">
        <v>67</v>
      </c>
      <c r="R203" s="158">
        <v>1.99</v>
      </c>
      <c r="S203" s="158">
        <v>0.89</v>
      </c>
      <c r="T203" s="158">
        <v>0.16</v>
      </c>
      <c r="U203" s="158">
        <v>66.849999999999994</v>
      </c>
      <c r="V203" s="163">
        <v>0</v>
      </c>
      <c r="W203" s="122"/>
      <c r="X203" s="162">
        <v>20260413</v>
      </c>
      <c r="Y203" s="122"/>
      <c r="Z203" s="122" t="s">
        <v>139</v>
      </c>
      <c r="AA203" s="122">
        <v>3908900</v>
      </c>
      <c r="AB203" s="122" t="s">
        <v>155</v>
      </c>
      <c r="AC203" s="122"/>
      <c r="AD203" s="122"/>
      <c r="AE203" s="129">
        <v>0.72923611111111108</v>
      </c>
      <c r="AF203" s="122" t="s">
        <v>141</v>
      </c>
      <c r="AG203" s="139" t="s">
        <v>148</v>
      </c>
    </row>
    <row r="204" spans="1:33" x14ac:dyDescent="0.3">
      <c r="A204" s="121">
        <v>1044162</v>
      </c>
      <c r="B204" s="122" t="s">
        <v>162</v>
      </c>
      <c r="C204" s="122" t="s">
        <v>66</v>
      </c>
      <c r="D204" s="123">
        <v>46122</v>
      </c>
      <c r="E204" s="123">
        <v>46122</v>
      </c>
      <c r="F204" s="122"/>
      <c r="G204" s="122">
        <v>879</v>
      </c>
      <c r="H204" s="122" t="s">
        <v>132</v>
      </c>
      <c r="I204" s="122">
        <v>3576</v>
      </c>
      <c r="J204" s="122">
        <v>318496</v>
      </c>
      <c r="K204" s="122"/>
      <c r="L204" s="122" t="s">
        <v>355</v>
      </c>
      <c r="M204" s="122" t="s">
        <v>160</v>
      </c>
      <c r="N204" s="122" t="s">
        <v>161</v>
      </c>
      <c r="O204" s="123">
        <v>46122</v>
      </c>
      <c r="P204" s="158">
        <v>1136</v>
      </c>
      <c r="Q204" s="158" t="s">
        <v>67</v>
      </c>
      <c r="R204" s="158">
        <v>32.83</v>
      </c>
      <c r="S204" s="158">
        <v>14.65</v>
      </c>
      <c r="T204" s="158">
        <v>2.64</v>
      </c>
      <c r="U204" s="158">
        <v>1100.53</v>
      </c>
      <c r="V204" s="163">
        <v>0</v>
      </c>
      <c r="W204" s="122"/>
      <c r="X204" s="162">
        <v>20260413</v>
      </c>
      <c r="Y204" s="122"/>
      <c r="Z204" s="122" t="s">
        <v>139</v>
      </c>
      <c r="AA204" s="122">
        <v>3908900</v>
      </c>
      <c r="AB204" s="122" t="s">
        <v>145</v>
      </c>
      <c r="AC204" s="122"/>
      <c r="AD204" s="122"/>
      <c r="AE204" s="129">
        <v>0.79008101851851853</v>
      </c>
      <c r="AF204" s="122" t="s">
        <v>141</v>
      </c>
      <c r="AG204" s="139" t="s">
        <v>148</v>
      </c>
    </row>
    <row r="205" spans="1:33" x14ac:dyDescent="0.3">
      <c r="A205" s="121">
        <v>1044162</v>
      </c>
      <c r="B205" s="122" t="s">
        <v>162</v>
      </c>
      <c r="C205" s="122" t="s">
        <v>66</v>
      </c>
      <c r="D205" s="123">
        <v>46122</v>
      </c>
      <c r="E205" s="123">
        <v>46122</v>
      </c>
      <c r="F205" s="122"/>
      <c r="G205" s="122">
        <v>879</v>
      </c>
      <c r="H205" s="122" t="s">
        <v>132</v>
      </c>
      <c r="I205" s="122">
        <v>3578</v>
      </c>
      <c r="J205" s="122">
        <v>977724</v>
      </c>
      <c r="K205" s="122"/>
      <c r="L205" s="122" t="s">
        <v>356</v>
      </c>
      <c r="M205" s="122" t="s">
        <v>160</v>
      </c>
      <c r="N205" s="122" t="s">
        <v>161</v>
      </c>
      <c r="O205" s="123">
        <v>46122</v>
      </c>
      <c r="P205" s="158">
        <v>500</v>
      </c>
      <c r="Q205" s="158" t="s">
        <v>67</v>
      </c>
      <c r="R205" s="158">
        <v>14.45</v>
      </c>
      <c r="S205" s="158">
        <v>6.45</v>
      </c>
      <c r="T205" s="158">
        <v>1.1599999999999999</v>
      </c>
      <c r="U205" s="158">
        <v>484.39</v>
      </c>
      <c r="V205" s="163">
        <v>0</v>
      </c>
      <c r="W205" s="122"/>
      <c r="X205" s="162">
        <v>20260413</v>
      </c>
      <c r="Y205" s="122"/>
      <c r="Z205" s="122" t="s">
        <v>139</v>
      </c>
      <c r="AA205" s="122">
        <v>3908900</v>
      </c>
      <c r="AB205" s="122" t="s">
        <v>145</v>
      </c>
      <c r="AC205" s="122"/>
      <c r="AD205" s="122"/>
      <c r="AE205" s="129">
        <v>0.80847222222222215</v>
      </c>
      <c r="AF205" s="122" t="s">
        <v>141</v>
      </c>
      <c r="AG205" s="139" t="s">
        <v>148</v>
      </c>
    </row>
    <row r="206" spans="1:33" x14ac:dyDescent="0.3">
      <c r="A206" s="121">
        <v>1044162</v>
      </c>
      <c r="B206" s="122" t="s">
        <v>162</v>
      </c>
      <c r="C206" s="122" t="s">
        <v>66</v>
      </c>
      <c r="D206" s="123">
        <v>46122</v>
      </c>
      <c r="E206" s="123">
        <v>46122</v>
      </c>
      <c r="F206" s="122"/>
      <c r="G206" s="122">
        <v>879</v>
      </c>
      <c r="H206" s="122" t="s">
        <v>132</v>
      </c>
      <c r="I206" s="122">
        <v>3580</v>
      </c>
      <c r="J206" s="122">
        <v>118136</v>
      </c>
      <c r="K206" s="122"/>
      <c r="L206" s="122" t="s">
        <v>357</v>
      </c>
      <c r="M206" s="122" t="s">
        <v>160</v>
      </c>
      <c r="N206" s="122" t="s">
        <v>161</v>
      </c>
      <c r="O206" s="123">
        <v>46122</v>
      </c>
      <c r="P206" s="158">
        <v>99</v>
      </c>
      <c r="Q206" s="158" t="s">
        <v>67</v>
      </c>
      <c r="R206" s="158">
        <v>2.86</v>
      </c>
      <c r="S206" s="158">
        <v>1.28</v>
      </c>
      <c r="T206" s="158">
        <v>0.23</v>
      </c>
      <c r="U206" s="158">
        <v>95.91</v>
      </c>
      <c r="V206" s="163">
        <v>0</v>
      </c>
      <c r="W206" s="122"/>
      <c r="X206" s="162">
        <v>20260413</v>
      </c>
      <c r="Y206" s="122"/>
      <c r="Z206" s="122" t="s">
        <v>139</v>
      </c>
      <c r="AA206" s="122">
        <v>3908900</v>
      </c>
      <c r="AB206" s="122" t="s">
        <v>152</v>
      </c>
      <c r="AC206" s="122"/>
      <c r="AD206" s="122"/>
      <c r="AE206" s="129">
        <v>0.81881944444444443</v>
      </c>
      <c r="AF206" s="122" t="s">
        <v>141</v>
      </c>
      <c r="AG206" s="139" t="s">
        <v>148</v>
      </c>
    </row>
    <row r="207" spans="1:33" x14ac:dyDescent="0.3">
      <c r="A207" s="121">
        <v>1044162</v>
      </c>
      <c r="B207" s="122" t="s">
        <v>162</v>
      </c>
      <c r="C207" s="122" t="s">
        <v>66</v>
      </c>
      <c r="D207" s="123">
        <v>46122</v>
      </c>
      <c r="E207" s="123">
        <v>46122</v>
      </c>
      <c r="F207" s="122"/>
      <c r="G207" s="122">
        <v>879</v>
      </c>
      <c r="H207" s="122" t="s">
        <v>132</v>
      </c>
      <c r="I207" s="122">
        <v>3582</v>
      </c>
      <c r="J207" s="122">
        <v>124825</v>
      </c>
      <c r="K207" s="122"/>
      <c r="L207" s="122" t="s">
        <v>358</v>
      </c>
      <c r="M207" s="122" t="s">
        <v>160</v>
      </c>
      <c r="N207" s="122" t="s">
        <v>161</v>
      </c>
      <c r="O207" s="123">
        <v>46122</v>
      </c>
      <c r="P207" s="158">
        <v>1799</v>
      </c>
      <c r="Q207" s="158" t="s">
        <v>67</v>
      </c>
      <c r="R207" s="158">
        <v>51.99</v>
      </c>
      <c r="S207" s="158">
        <v>23.21</v>
      </c>
      <c r="T207" s="158">
        <v>4.18</v>
      </c>
      <c r="U207" s="158">
        <v>1742.83</v>
      </c>
      <c r="V207" s="163">
        <v>0</v>
      </c>
      <c r="W207" s="122"/>
      <c r="X207" s="162">
        <v>20260413</v>
      </c>
      <c r="Y207" s="122"/>
      <c r="Z207" s="122" t="s">
        <v>139</v>
      </c>
      <c r="AA207" s="122">
        <v>3908900</v>
      </c>
      <c r="AB207" s="122" t="s">
        <v>98</v>
      </c>
      <c r="AC207" s="122"/>
      <c r="AD207" s="122"/>
      <c r="AE207" s="129">
        <v>0.85499999999999998</v>
      </c>
      <c r="AF207" s="122" t="s">
        <v>141</v>
      </c>
      <c r="AG207" s="139" t="s">
        <v>148</v>
      </c>
    </row>
    <row r="208" spans="1:33" x14ac:dyDescent="0.3">
      <c r="A208" s="121">
        <v>1044162</v>
      </c>
      <c r="B208" s="122" t="s">
        <v>162</v>
      </c>
      <c r="C208" s="122" t="s">
        <v>66</v>
      </c>
      <c r="D208" s="123">
        <v>46122</v>
      </c>
      <c r="E208" s="123">
        <v>46122</v>
      </c>
      <c r="F208" s="122"/>
      <c r="G208" s="122">
        <v>879</v>
      </c>
      <c r="H208" s="122" t="s">
        <v>132</v>
      </c>
      <c r="I208" s="122">
        <v>3586</v>
      </c>
      <c r="J208" s="122">
        <v>521782</v>
      </c>
      <c r="K208" s="122"/>
      <c r="L208" s="122" t="s">
        <v>359</v>
      </c>
      <c r="M208" s="122" t="s">
        <v>160</v>
      </c>
      <c r="N208" s="122" t="s">
        <v>161</v>
      </c>
      <c r="O208" s="123">
        <v>46122</v>
      </c>
      <c r="P208" s="158">
        <v>149</v>
      </c>
      <c r="Q208" s="158" t="s">
        <v>67</v>
      </c>
      <c r="R208" s="158">
        <v>4.3099999999999996</v>
      </c>
      <c r="S208" s="158">
        <v>1.93</v>
      </c>
      <c r="T208" s="158">
        <v>0.35</v>
      </c>
      <c r="U208" s="158">
        <v>144.34</v>
      </c>
      <c r="V208" s="163">
        <v>0</v>
      </c>
      <c r="W208" s="122"/>
      <c r="X208" s="162">
        <v>20260413</v>
      </c>
      <c r="Y208" s="122"/>
      <c r="Z208" s="122" t="s">
        <v>139</v>
      </c>
      <c r="AA208" s="122">
        <v>3908900</v>
      </c>
      <c r="AB208" s="122" t="s">
        <v>145</v>
      </c>
      <c r="AC208" s="122"/>
      <c r="AD208" s="122"/>
      <c r="AE208" s="129">
        <v>0.86113425925925924</v>
      </c>
      <c r="AF208" s="122" t="s">
        <v>141</v>
      </c>
      <c r="AG208" s="139" t="s">
        <v>148</v>
      </c>
    </row>
    <row r="209" spans="1:33" x14ac:dyDescent="0.3">
      <c r="A209" s="121">
        <v>1044162</v>
      </c>
      <c r="B209" s="122" t="s">
        <v>162</v>
      </c>
      <c r="C209" s="122" t="s">
        <v>66</v>
      </c>
      <c r="D209" s="123">
        <v>46122</v>
      </c>
      <c r="E209" s="123">
        <v>46122</v>
      </c>
      <c r="F209" s="122"/>
      <c r="G209" s="122">
        <v>879</v>
      </c>
      <c r="H209" s="122" t="s">
        <v>132</v>
      </c>
      <c r="I209" s="122">
        <v>3588</v>
      </c>
      <c r="J209" s="122">
        <v>548463</v>
      </c>
      <c r="K209" s="122"/>
      <c r="L209" s="122" t="s">
        <v>359</v>
      </c>
      <c r="M209" s="122" t="s">
        <v>160</v>
      </c>
      <c r="N209" s="122" t="s">
        <v>161</v>
      </c>
      <c r="O209" s="123">
        <v>46122</v>
      </c>
      <c r="P209" s="158">
        <v>79</v>
      </c>
      <c r="Q209" s="158" t="s">
        <v>67</v>
      </c>
      <c r="R209" s="158">
        <v>2.2799999999999998</v>
      </c>
      <c r="S209" s="158">
        <v>1.02</v>
      </c>
      <c r="T209" s="158">
        <v>0.18</v>
      </c>
      <c r="U209" s="158">
        <v>76.540000000000006</v>
      </c>
      <c r="V209" s="163">
        <v>0</v>
      </c>
      <c r="W209" s="122"/>
      <c r="X209" s="162">
        <v>20260413</v>
      </c>
      <c r="Y209" s="122"/>
      <c r="Z209" s="122" t="s">
        <v>139</v>
      </c>
      <c r="AA209" s="122">
        <v>3908900</v>
      </c>
      <c r="AB209" s="122" t="s">
        <v>145</v>
      </c>
      <c r="AC209" s="122"/>
      <c r="AD209" s="122"/>
      <c r="AE209" s="129">
        <v>0.87328703703703703</v>
      </c>
      <c r="AF209" s="122" t="s">
        <v>141</v>
      </c>
      <c r="AG209" s="139" t="s">
        <v>148</v>
      </c>
    </row>
    <row r="210" spans="1:33" x14ac:dyDescent="0.3">
      <c r="A210" s="121">
        <v>1044162</v>
      </c>
      <c r="B210" s="122" t="s">
        <v>162</v>
      </c>
      <c r="C210" s="122" t="s">
        <v>66</v>
      </c>
      <c r="D210" s="123">
        <v>46122</v>
      </c>
      <c r="E210" s="123">
        <v>46122</v>
      </c>
      <c r="F210" s="122"/>
      <c r="G210" s="122">
        <v>879</v>
      </c>
      <c r="H210" s="122" t="s">
        <v>132</v>
      </c>
      <c r="I210" s="122">
        <v>3590</v>
      </c>
      <c r="J210" s="122">
        <v>600779</v>
      </c>
      <c r="K210" s="122"/>
      <c r="L210" s="122" t="s">
        <v>360</v>
      </c>
      <c r="M210" s="122" t="s">
        <v>160</v>
      </c>
      <c r="N210" s="122" t="s">
        <v>161</v>
      </c>
      <c r="O210" s="123">
        <v>46122</v>
      </c>
      <c r="P210" s="158">
        <v>189.8</v>
      </c>
      <c r="Q210" s="158" t="s">
        <v>67</v>
      </c>
      <c r="R210" s="158">
        <v>5.49</v>
      </c>
      <c r="S210" s="158">
        <v>2.4500000000000002</v>
      </c>
      <c r="T210" s="158">
        <v>0.44</v>
      </c>
      <c r="U210" s="158">
        <v>183.87</v>
      </c>
      <c r="V210" s="163">
        <v>0</v>
      </c>
      <c r="W210" s="122"/>
      <c r="X210" s="162">
        <v>20260413</v>
      </c>
      <c r="Y210" s="122"/>
      <c r="Z210" s="122" t="s">
        <v>139</v>
      </c>
      <c r="AA210" s="122">
        <v>3908900</v>
      </c>
      <c r="AB210" s="122" t="s">
        <v>145</v>
      </c>
      <c r="AC210" s="122"/>
      <c r="AD210" s="122"/>
      <c r="AE210" s="129">
        <v>0.89694444444444443</v>
      </c>
      <c r="AF210" s="122" t="s">
        <v>141</v>
      </c>
      <c r="AG210" s="139" t="s">
        <v>148</v>
      </c>
    </row>
    <row r="211" spans="1:33" x14ac:dyDescent="0.3">
      <c r="A211" s="121">
        <v>1044162</v>
      </c>
      <c r="B211" s="122" t="s">
        <v>162</v>
      </c>
      <c r="C211" s="122" t="s">
        <v>66</v>
      </c>
      <c r="D211" s="123">
        <v>46122</v>
      </c>
      <c r="E211" s="123">
        <v>46122</v>
      </c>
      <c r="F211" s="122"/>
      <c r="G211" s="122">
        <v>879</v>
      </c>
      <c r="H211" s="122" t="s">
        <v>132</v>
      </c>
      <c r="I211" s="122">
        <v>3592</v>
      </c>
      <c r="J211" s="122">
        <v>363750</v>
      </c>
      <c r="K211" s="122">
        <v>12</v>
      </c>
      <c r="L211" s="122" t="s">
        <v>361</v>
      </c>
      <c r="M211" s="122" t="s">
        <v>160</v>
      </c>
      <c r="N211" s="122" t="s">
        <v>161</v>
      </c>
      <c r="O211" s="123">
        <v>46122</v>
      </c>
      <c r="P211" s="158">
        <v>1948</v>
      </c>
      <c r="Q211" s="158" t="s">
        <v>67</v>
      </c>
      <c r="R211" s="158">
        <v>56.3</v>
      </c>
      <c r="S211" s="158">
        <v>11.5</v>
      </c>
      <c r="T211" s="158">
        <v>2.0699999999999998</v>
      </c>
      <c r="U211" s="158">
        <v>1889.63</v>
      </c>
      <c r="V211" s="163">
        <v>0</v>
      </c>
      <c r="W211" s="122"/>
      <c r="X211" s="162">
        <v>20260413</v>
      </c>
      <c r="Y211" s="122"/>
      <c r="Z211" s="122" t="s">
        <v>142</v>
      </c>
      <c r="AA211" s="122">
        <v>3908900</v>
      </c>
      <c r="AB211" s="122" t="s">
        <v>147</v>
      </c>
      <c r="AC211" s="122" t="s">
        <v>144</v>
      </c>
      <c r="AD211" s="122"/>
      <c r="AE211" s="129">
        <v>0.90033564814814815</v>
      </c>
      <c r="AF211" s="122" t="s">
        <v>141</v>
      </c>
      <c r="AG211" s="139" t="s">
        <v>148</v>
      </c>
    </row>
    <row r="212" spans="1:33" x14ac:dyDescent="0.3">
      <c r="A212" s="121">
        <v>1044162</v>
      </c>
      <c r="B212" s="122" t="s">
        <v>162</v>
      </c>
      <c r="C212" s="122" t="s">
        <v>66</v>
      </c>
      <c r="D212" s="123">
        <v>46122</v>
      </c>
      <c r="E212" s="123">
        <v>46122</v>
      </c>
      <c r="F212" s="122"/>
      <c r="G212" s="122">
        <v>879</v>
      </c>
      <c r="H212" s="122" t="s">
        <v>132</v>
      </c>
      <c r="I212" s="122">
        <v>3594</v>
      </c>
      <c r="J212" s="122">
        <v>509079</v>
      </c>
      <c r="K212" s="122">
        <v>2</v>
      </c>
      <c r="L212" s="122" t="s">
        <v>362</v>
      </c>
      <c r="M212" s="122" t="s">
        <v>160</v>
      </c>
      <c r="N212" s="122" t="s">
        <v>161</v>
      </c>
      <c r="O212" s="123">
        <v>46122</v>
      </c>
      <c r="P212" s="158">
        <v>378.9</v>
      </c>
      <c r="Q212" s="158" t="s">
        <v>67</v>
      </c>
      <c r="R212" s="158">
        <v>10.95</v>
      </c>
      <c r="S212" s="158">
        <v>2.99</v>
      </c>
      <c r="T212" s="158">
        <v>0.54</v>
      </c>
      <c r="U212" s="158">
        <v>367.41</v>
      </c>
      <c r="V212" s="161">
        <v>12867.12</v>
      </c>
      <c r="W212" s="123">
        <v>46125</v>
      </c>
      <c r="X212" s="162">
        <v>20260413</v>
      </c>
      <c r="Y212" s="122">
        <v>104101</v>
      </c>
      <c r="Z212" s="122" t="s">
        <v>142</v>
      </c>
      <c r="AA212" s="122">
        <v>3908900</v>
      </c>
      <c r="AB212" s="122" t="s">
        <v>149</v>
      </c>
      <c r="AC212" s="122" t="s">
        <v>144</v>
      </c>
      <c r="AD212" s="122"/>
      <c r="AE212" s="129">
        <v>0.91379629629629633</v>
      </c>
      <c r="AF212" s="122" t="s">
        <v>141</v>
      </c>
      <c r="AG212" s="139" t="s">
        <v>148</v>
      </c>
    </row>
    <row r="213" spans="1:33" x14ac:dyDescent="0.3">
      <c r="A213" s="121">
        <v>1044162</v>
      </c>
      <c r="B213" s="122" t="s">
        <v>159</v>
      </c>
      <c r="C213" s="122" t="s">
        <v>66</v>
      </c>
      <c r="D213" s="123">
        <v>46123</v>
      </c>
      <c r="E213" s="123">
        <v>46123</v>
      </c>
      <c r="F213" s="122"/>
      <c r="G213" s="122">
        <v>880</v>
      </c>
      <c r="H213" s="122" t="s">
        <v>132</v>
      </c>
      <c r="I213" s="122">
        <v>3600</v>
      </c>
      <c r="J213" s="122">
        <v>32918</v>
      </c>
      <c r="K213" s="122"/>
      <c r="L213" s="122" t="s">
        <v>363</v>
      </c>
      <c r="M213" s="122" t="s">
        <v>160</v>
      </c>
      <c r="N213" s="122" t="s">
        <v>161</v>
      </c>
      <c r="O213" s="123">
        <v>46123</v>
      </c>
      <c r="P213" s="158">
        <v>1399</v>
      </c>
      <c r="Q213" s="158" t="s">
        <v>67</v>
      </c>
      <c r="R213" s="158">
        <v>40.43</v>
      </c>
      <c r="S213" s="158">
        <v>15.95</v>
      </c>
      <c r="T213" s="158">
        <v>2.87</v>
      </c>
      <c r="U213" s="158">
        <v>1355.7</v>
      </c>
      <c r="V213" s="163">
        <v>0</v>
      </c>
      <c r="W213" s="122"/>
      <c r="X213" s="162">
        <v>20260413</v>
      </c>
      <c r="Y213" s="122"/>
      <c r="Z213" s="122" t="s">
        <v>139</v>
      </c>
      <c r="AA213" s="122">
        <v>3908900</v>
      </c>
      <c r="AB213" s="122" t="s">
        <v>140</v>
      </c>
      <c r="AC213" s="122"/>
      <c r="AD213" s="122"/>
      <c r="AE213" s="129">
        <v>0.45999999999999996</v>
      </c>
      <c r="AF213" s="122" t="s">
        <v>141</v>
      </c>
      <c r="AG213" s="139" t="s">
        <v>148</v>
      </c>
    </row>
    <row r="214" spans="1:33" x14ac:dyDescent="0.3">
      <c r="A214" s="121">
        <v>1044162</v>
      </c>
      <c r="B214" s="122" t="s">
        <v>159</v>
      </c>
      <c r="C214" s="122" t="s">
        <v>66</v>
      </c>
      <c r="D214" s="123">
        <v>46123</v>
      </c>
      <c r="E214" s="123">
        <v>46123</v>
      </c>
      <c r="F214" s="122"/>
      <c r="G214" s="122">
        <v>880</v>
      </c>
      <c r="H214" s="122" t="s">
        <v>132</v>
      </c>
      <c r="I214" s="122">
        <v>3680</v>
      </c>
      <c r="J214" s="122" t="s">
        <v>175</v>
      </c>
      <c r="K214" s="122">
        <v>4</v>
      </c>
      <c r="L214" s="122" t="s">
        <v>364</v>
      </c>
      <c r="M214" s="122" t="s">
        <v>160</v>
      </c>
      <c r="N214" s="122" t="s">
        <v>161</v>
      </c>
      <c r="O214" s="123">
        <v>46123</v>
      </c>
      <c r="P214" s="158">
        <v>1049</v>
      </c>
      <c r="Q214" s="158" t="s">
        <v>67</v>
      </c>
      <c r="R214" s="158">
        <v>30.32</v>
      </c>
      <c r="S214" s="158">
        <v>8.2899999999999991</v>
      </c>
      <c r="T214" s="158">
        <v>1.49</v>
      </c>
      <c r="U214" s="158">
        <v>1017.19</v>
      </c>
      <c r="V214" s="161">
        <v>2372.89</v>
      </c>
      <c r="W214" s="123">
        <v>46125</v>
      </c>
      <c r="X214" s="162">
        <v>20260413</v>
      </c>
      <c r="Y214" s="122">
        <v>104101</v>
      </c>
      <c r="Z214" s="122" t="s">
        <v>142</v>
      </c>
      <c r="AA214" s="122">
        <v>3908900</v>
      </c>
      <c r="AB214" s="122" t="s">
        <v>150</v>
      </c>
      <c r="AC214" s="122" t="s">
        <v>144</v>
      </c>
      <c r="AD214" s="122"/>
      <c r="AE214" s="129">
        <v>0.8087847222222222</v>
      </c>
      <c r="AF214" s="122" t="s">
        <v>141</v>
      </c>
      <c r="AG214" s="139" t="s">
        <v>148</v>
      </c>
    </row>
    <row r="215" spans="1:33" x14ac:dyDescent="0.3">
      <c r="A215" s="121">
        <v>1044162</v>
      </c>
      <c r="B215" s="122" t="s">
        <v>162</v>
      </c>
      <c r="C215" s="122" t="s">
        <v>66</v>
      </c>
      <c r="D215" s="123">
        <v>46123</v>
      </c>
      <c r="E215" s="123">
        <v>46123</v>
      </c>
      <c r="F215" s="122"/>
      <c r="G215" s="122">
        <v>880</v>
      </c>
      <c r="H215" s="122" t="s">
        <v>132</v>
      </c>
      <c r="I215" s="122">
        <v>3604</v>
      </c>
      <c r="J215" s="122">
        <v>862516</v>
      </c>
      <c r="K215" s="122"/>
      <c r="L215" s="122" t="s">
        <v>365</v>
      </c>
      <c r="M215" s="122" t="s">
        <v>160</v>
      </c>
      <c r="N215" s="122" t="s">
        <v>161</v>
      </c>
      <c r="O215" s="123">
        <v>46123</v>
      </c>
      <c r="P215" s="158">
        <v>629</v>
      </c>
      <c r="Q215" s="158" t="s">
        <v>67</v>
      </c>
      <c r="R215" s="158">
        <v>18.18</v>
      </c>
      <c r="S215" s="158">
        <v>4.97</v>
      </c>
      <c r="T215" s="158">
        <v>0.89</v>
      </c>
      <c r="U215" s="158">
        <v>609.92999999999995</v>
      </c>
      <c r="V215" s="163">
        <v>0</v>
      </c>
      <c r="W215" s="122"/>
      <c r="X215" s="162">
        <v>20260413</v>
      </c>
      <c r="Y215" s="122"/>
      <c r="Z215" s="122" t="s">
        <v>142</v>
      </c>
      <c r="AA215" s="122">
        <v>3908900</v>
      </c>
      <c r="AB215" s="122" t="s">
        <v>148</v>
      </c>
      <c r="AC215" s="122"/>
      <c r="AD215" s="122"/>
      <c r="AE215" s="129">
        <v>0.52982638888888889</v>
      </c>
      <c r="AF215" s="122" t="s">
        <v>141</v>
      </c>
      <c r="AG215" s="139" t="s">
        <v>148</v>
      </c>
    </row>
    <row r="216" spans="1:33" x14ac:dyDescent="0.3">
      <c r="A216" s="121">
        <v>1044162</v>
      </c>
      <c r="B216" s="122" t="s">
        <v>162</v>
      </c>
      <c r="C216" s="122" t="s">
        <v>66</v>
      </c>
      <c r="D216" s="123">
        <v>46123</v>
      </c>
      <c r="E216" s="123">
        <v>46123</v>
      </c>
      <c r="F216" s="122"/>
      <c r="G216" s="122">
        <v>880</v>
      </c>
      <c r="H216" s="122" t="s">
        <v>132</v>
      </c>
      <c r="I216" s="122">
        <v>3606</v>
      </c>
      <c r="J216" s="122">
        <v>45989</v>
      </c>
      <c r="K216" s="122"/>
      <c r="L216" s="122" t="s">
        <v>366</v>
      </c>
      <c r="M216" s="122" t="s">
        <v>160</v>
      </c>
      <c r="N216" s="122" t="s">
        <v>161</v>
      </c>
      <c r="O216" s="123">
        <v>46123</v>
      </c>
      <c r="P216" s="158">
        <v>1149</v>
      </c>
      <c r="Q216" s="158" t="s">
        <v>67</v>
      </c>
      <c r="R216" s="158">
        <v>33.21</v>
      </c>
      <c r="S216" s="158">
        <v>14.83</v>
      </c>
      <c r="T216" s="158">
        <v>2.67</v>
      </c>
      <c r="U216" s="158">
        <v>1113.1199999999999</v>
      </c>
      <c r="V216" s="163">
        <v>0</v>
      </c>
      <c r="W216" s="122"/>
      <c r="X216" s="162">
        <v>20260413</v>
      </c>
      <c r="Y216" s="122"/>
      <c r="Z216" s="122" t="s">
        <v>139</v>
      </c>
      <c r="AA216" s="122">
        <v>3908900</v>
      </c>
      <c r="AB216" s="122" t="s">
        <v>145</v>
      </c>
      <c r="AC216" s="122"/>
      <c r="AD216" s="122"/>
      <c r="AE216" s="129">
        <v>0.53506944444444449</v>
      </c>
      <c r="AF216" s="122" t="s">
        <v>141</v>
      </c>
      <c r="AG216" s="139" t="s">
        <v>148</v>
      </c>
    </row>
    <row r="217" spans="1:33" x14ac:dyDescent="0.3">
      <c r="A217" s="121">
        <v>1044162</v>
      </c>
      <c r="B217" s="122" t="s">
        <v>162</v>
      </c>
      <c r="C217" s="122" t="s">
        <v>66</v>
      </c>
      <c r="D217" s="123">
        <v>46123</v>
      </c>
      <c r="E217" s="123">
        <v>46123</v>
      </c>
      <c r="F217" s="122"/>
      <c r="G217" s="122">
        <v>880</v>
      </c>
      <c r="H217" s="122" t="s">
        <v>132</v>
      </c>
      <c r="I217" s="122">
        <v>3608</v>
      </c>
      <c r="J217" s="122">
        <v>644213</v>
      </c>
      <c r="K217" s="122"/>
      <c r="L217" s="122" t="s">
        <v>367</v>
      </c>
      <c r="M217" s="122" t="s">
        <v>160</v>
      </c>
      <c r="N217" s="122" t="s">
        <v>161</v>
      </c>
      <c r="O217" s="123">
        <v>46123</v>
      </c>
      <c r="P217" s="158">
        <v>629</v>
      </c>
      <c r="Q217" s="158" t="s">
        <v>67</v>
      </c>
      <c r="R217" s="158">
        <v>18.18</v>
      </c>
      <c r="S217" s="158">
        <v>4.97</v>
      </c>
      <c r="T217" s="158">
        <v>0.89</v>
      </c>
      <c r="U217" s="158">
        <v>609.92999999999995</v>
      </c>
      <c r="V217" s="163">
        <v>0</v>
      </c>
      <c r="W217" s="122"/>
      <c r="X217" s="162">
        <v>20260413</v>
      </c>
      <c r="Y217" s="122"/>
      <c r="Z217" s="122" t="s">
        <v>142</v>
      </c>
      <c r="AA217" s="122">
        <v>3908900</v>
      </c>
      <c r="AB217" s="122" t="s">
        <v>149</v>
      </c>
      <c r="AC217" s="122"/>
      <c r="AD217" s="122"/>
      <c r="AE217" s="129">
        <v>0.5543055555555555</v>
      </c>
      <c r="AF217" s="122" t="s">
        <v>141</v>
      </c>
      <c r="AG217" s="139" t="s">
        <v>148</v>
      </c>
    </row>
    <row r="218" spans="1:33" x14ac:dyDescent="0.3">
      <c r="A218" s="121">
        <v>1044162</v>
      </c>
      <c r="B218" s="122" t="s">
        <v>162</v>
      </c>
      <c r="C218" s="122" t="s">
        <v>66</v>
      </c>
      <c r="D218" s="123">
        <v>46123</v>
      </c>
      <c r="E218" s="123">
        <v>46123</v>
      </c>
      <c r="F218" s="122"/>
      <c r="G218" s="122">
        <v>880</v>
      </c>
      <c r="H218" s="122" t="s">
        <v>132</v>
      </c>
      <c r="I218" s="122">
        <v>3610</v>
      </c>
      <c r="J218" s="122">
        <v>84941</v>
      </c>
      <c r="K218" s="122"/>
      <c r="L218" s="122" t="s">
        <v>368</v>
      </c>
      <c r="M218" s="122" t="s">
        <v>160</v>
      </c>
      <c r="N218" s="122" t="s">
        <v>161</v>
      </c>
      <c r="O218" s="123">
        <v>46123</v>
      </c>
      <c r="P218" s="158">
        <v>89.5</v>
      </c>
      <c r="Q218" s="158" t="s">
        <v>67</v>
      </c>
      <c r="R218" s="158">
        <v>2.59</v>
      </c>
      <c r="S218" s="158">
        <v>1.1599999999999999</v>
      </c>
      <c r="T218" s="158">
        <v>0.21</v>
      </c>
      <c r="U218" s="158">
        <v>86.7</v>
      </c>
      <c r="V218" s="163">
        <v>0</v>
      </c>
      <c r="W218" s="122"/>
      <c r="X218" s="162">
        <v>20260413</v>
      </c>
      <c r="Y218" s="122"/>
      <c r="Z218" s="122" t="s">
        <v>139</v>
      </c>
      <c r="AA218" s="122">
        <v>3908900</v>
      </c>
      <c r="AB218" s="122" t="s">
        <v>155</v>
      </c>
      <c r="AC218" s="122"/>
      <c r="AD218" s="122"/>
      <c r="AE218" s="129">
        <v>0.56500000000000006</v>
      </c>
      <c r="AF218" s="122" t="s">
        <v>141</v>
      </c>
      <c r="AG218" s="139" t="s">
        <v>148</v>
      </c>
    </row>
    <row r="219" spans="1:33" x14ac:dyDescent="0.3">
      <c r="A219" s="121">
        <v>1044162</v>
      </c>
      <c r="B219" s="122" t="s">
        <v>162</v>
      </c>
      <c r="C219" s="122" t="s">
        <v>66</v>
      </c>
      <c r="D219" s="123">
        <v>46123</v>
      </c>
      <c r="E219" s="123">
        <v>46123</v>
      </c>
      <c r="F219" s="122"/>
      <c r="G219" s="122">
        <v>880</v>
      </c>
      <c r="H219" s="122" t="s">
        <v>132</v>
      </c>
      <c r="I219" s="122">
        <v>3612</v>
      </c>
      <c r="J219" s="122">
        <v>649598</v>
      </c>
      <c r="K219" s="122"/>
      <c r="L219" s="122" t="s">
        <v>369</v>
      </c>
      <c r="M219" s="122" t="s">
        <v>160</v>
      </c>
      <c r="N219" s="122" t="s">
        <v>161</v>
      </c>
      <c r="O219" s="123">
        <v>46123</v>
      </c>
      <c r="P219" s="158">
        <v>89.5</v>
      </c>
      <c r="Q219" s="158" t="s">
        <v>67</v>
      </c>
      <c r="R219" s="158">
        <v>2.59</v>
      </c>
      <c r="S219" s="158">
        <v>0.53</v>
      </c>
      <c r="T219" s="158">
        <v>0.1</v>
      </c>
      <c r="U219" s="158">
        <v>86.81</v>
      </c>
      <c r="V219" s="163">
        <v>0</v>
      </c>
      <c r="W219" s="122"/>
      <c r="X219" s="162">
        <v>20260413</v>
      </c>
      <c r="Y219" s="122"/>
      <c r="Z219" s="122" t="s">
        <v>142</v>
      </c>
      <c r="AA219" s="122">
        <v>3908900</v>
      </c>
      <c r="AB219" s="122" t="s">
        <v>149</v>
      </c>
      <c r="AC219" s="122"/>
      <c r="AD219" s="122"/>
      <c r="AE219" s="129">
        <v>0.56540509259259253</v>
      </c>
      <c r="AF219" s="122" t="s">
        <v>141</v>
      </c>
      <c r="AG219" s="139" t="s">
        <v>148</v>
      </c>
    </row>
    <row r="220" spans="1:33" x14ac:dyDescent="0.3">
      <c r="A220" s="121">
        <v>1044162</v>
      </c>
      <c r="B220" s="122" t="s">
        <v>162</v>
      </c>
      <c r="C220" s="122" t="s">
        <v>66</v>
      </c>
      <c r="D220" s="123">
        <v>46123</v>
      </c>
      <c r="E220" s="123">
        <v>46123</v>
      </c>
      <c r="F220" s="122"/>
      <c r="G220" s="122">
        <v>880</v>
      </c>
      <c r="H220" s="122" t="s">
        <v>132</v>
      </c>
      <c r="I220" s="122">
        <v>3614</v>
      </c>
      <c r="J220" s="122">
        <v>64260</v>
      </c>
      <c r="K220" s="122"/>
      <c r="L220" s="122" t="s">
        <v>370</v>
      </c>
      <c r="M220" s="122" t="s">
        <v>160</v>
      </c>
      <c r="N220" s="122" t="s">
        <v>161</v>
      </c>
      <c r="O220" s="123">
        <v>46123</v>
      </c>
      <c r="P220" s="158">
        <v>900</v>
      </c>
      <c r="Q220" s="158" t="s">
        <v>67</v>
      </c>
      <c r="R220" s="158">
        <v>26.01</v>
      </c>
      <c r="S220" s="158">
        <v>11.61</v>
      </c>
      <c r="T220" s="158">
        <v>2.09</v>
      </c>
      <c r="U220" s="158">
        <v>871.9</v>
      </c>
      <c r="V220" s="163">
        <v>0</v>
      </c>
      <c r="W220" s="122"/>
      <c r="X220" s="162">
        <v>20260413</v>
      </c>
      <c r="Y220" s="122"/>
      <c r="Z220" s="122" t="s">
        <v>139</v>
      </c>
      <c r="AA220" s="122">
        <v>3908900</v>
      </c>
      <c r="AB220" s="122" t="s">
        <v>152</v>
      </c>
      <c r="AC220" s="122"/>
      <c r="AD220" s="122"/>
      <c r="AE220" s="129">
        <v>0.57783564814814814</v>
      </c>
      <c r="AF220" s="122" t="s">
        <v>141</v>
      </c>
      <c r="AG220" s="139" t="s">
        <v>148</v>
      </c>
    </row>
    <row r="221" spans="1:33" x14ac:dyDescent="0.3">
      <c r="A221" s="121">
        <v>1044162</v>
      </c>
      <c r="B221" s="122" t="s">
        <v>162</v>
      </c>
      <c r="C221" s="122" t="s">
        <v>66</v>
      </c>
      <c r="D221" s="123">
        <v>46123</v>
      </c>
      <c r="E221" s="123">
        <v>46123</v>
      </c>
      <c r="F221" s="122"/>
      <c r="G221" s="122">
        <v>880</v>
      </c>
      <c r="H221" s="122" t="s">
        <v>132</v>
      </c>
      <c r="I221" s="122">
        <v>3616</v>
      </c>
      <c r="J221" s="122">
        <v>176451</v>
      </c>
      <c r="K221" s="122"/>
      <c r="L221" s="122" t="s">
        <v>371</v>
      </c>
      <c r="M221" s="122" t="s">
        <v>160</v>
      </c>
      <c r="N221" s="122" t="s">
        <v>161</v>
      </c>
      <c r="O221" s="123">
        <v>46123</v>
      </c>
      <c r="P221" s="158">
        <v>688</v>
      </c>
      <c r="Q221" s="158" t="s">
        <v>67</v>
      </c>
      <c r="R221" s="158">
        <v>19.88</v>
      </c>
      <c r="S221" s="158">
        <v>8.8699999999999992</v>
      </c>
      <c r="T221" s="158">
        <v>1.6</v>
      </c>
      <c r="U221" s="158">
        <v>666.52</v>
      </c>
      <c r="V221" s="163">
        <v>0</v>
      </c>
      <c r="W221" s="122"/>
      <c r="X221" s="162">
        <v>20260413</v>
      </c>
      <c r="Y221" s="122"/>
      <c r="Z221" s="122" t="s">
        <v>139</v>
      </c>
      <c r="AA221" s="122">
        <v>3908900</v>
      </c>
      <c r="AB221" s="122" t="s">
        <v>155</v>
      </c>
      <c r="AC221" s="122"/>
      <c r="AD221" s="122"/>
      <c r="AE221" s="129">
        <v>0.58381944444444445</v>
      </c>
      <c r="AF221" s="122" t="s">
        <v>141</v>
      </c>
      <c r="AG221" s="139" t="s">
        <v>148</v>
      </c>
    </row>
    <row r="222" spans="1:33" x14ac:dyDescent="0.3">
      <c r="A222" s="121">
        <v>1044162</v>
      </c>
      <c r="B222" s="122" t="s">
        <v>162</v>
      </c>
      <c r="C222" s="122" t="s">
        <v>66</v>
      </c>
      <c r="D222" s="123">
        <v>46123</v>
      </c>
      <c r="E222" s="123">
        <v>46123</v>
      </c>
      <c r="F222" s="122"/>
      <c r="G222" s="122">
        <v>880</v>
      </c>
      <c r="H222" s="122" t="s">
        <v>132</v>
      </c>
      <c r="I222" s="122">
        <v>3618</v>
      </c>
      <c r="J222" s="122">
        <v>354416</v>
      </c>
      <c r="K222" s="122">
        <v>3</v>
      </c>
      <c r="L222" s="122" t="s">
        <v>372</v>
      </c>
      <c r="M222" s="122" t="s">
        <v>160</v>
      </c>
      <c r="N222" s="122" t="s">
        <v>161</v>
      </c>
      <c r="O222" s="123">
        <v>46123</v>
      </c>
      <c r="P222" s="158">
        <v>4999</v>
      </c>
      <c r="Q222" s="158" t="s">
        <v>67</v>
      </c>
      <c r="R222" s="158">
        <v>231.95</v>
      </c>
      <c r="S222" s="158">
        <v>29.49</v>
      </c>
      <c r="T222" s="158">
        <v>5.31</v>
      </c>
      <c r="U222" s="158">
        <v>4761.74</v>
      </c>
      <c r="V222" s="163">
        <v>0</v>
      </c>
      <c r="W222" s="122"/>
      <c r="X222" s="162">
        <v>20260413</v>
      </c>
      <c r="Y222" s="122"/>
      <c r="Z222" s="122" t="s">
        <v>142</v>
      </c>
      <c r="AA222" s="122">
        <v>3908900</v>
      </c>
      <c r="AB222" s="122" t="s">
        <v>148</v>
      </c>
      <c r="AC222" s="122" t="s">
        <v>151</v>
      </c>
      <c r="AD222" s="122"/>
      <c r="AE222" s="129">
        <v>0.61462962962962964</v>
      </c>
      <c r="AF222" s="122" t="s">
        <v>141</v>
      </c>
      <c r="AG222" s="139" t="s">
        <v>148</v>
      </c>
    </row>
    <row r="223" spans="1:33" x14ac:dyDescent="0.3">
      <c r="A223" s="121">
        <v>1044162</v>
      </c>
      <c r="B223" s="122" t="s">
        <v>162</v>
      </c>
      <c r="C223" s="122" t="s">
        <v>66</v>
      </c>
      <c r="D223" s="123">
        <v>46123</v>
      </c>
      <c r="E223" s="123">
        <v>46123</v>
      </c>
      <c r="F223" s="122"/>
      <c r="G223" s="122">
        <v>880</v>
      </c>
      <c r="H223" s="122" t="s">
        <v>132</v>
      </c>
      <c r="I223" s="122">
        <v>3620</v>
      </c>
      <c r="J223" s="122">
        <v>595693</v>
      </c>
      <c r="K223" s="122"/>
      <c r="L223" s="122" t="s">
        <v>373</v>
      </c>
      <c r="M223" s="122" t="s">
        <v>160</v>
      </c>
      <c r="N223" s="122" t="s">
        <v>161</v>
      </c>
      <c r="O223" s="123">
        <v>46123</v>
      </c>
      <c r="P223" s="158">
        <v>69</v>
      </c>
      <c r="Q223" s="158" t="s">
        <v>67</v>
      </c>
      <c r="R223" s="158">
        <v>1.99</v>
      </c>
      <c r="S223" s="158">
        <v>0.89</v>
      </c>
      <c r="T223" s="158">
        <v>0.16</v>
      </c>
      <c r="U223" s="158">
        <v>66.849999999999994</v>
      </c>
      <c r="V223" s="163">
        <v>0</v>
      </c>
      <c r="W223" s="122"/>
      <c r="X223" s="162">
        <v>20260413</v>
      </c>
      <c r="Y223" s="122"/>
      <c r="Z223" s="122" t="s">
        <v>139</v>
      </c>
      <c r="AA223" s="122">
        <v>3908900</v>
      </c>
      <c r="AB223" s="122" t="s">
        <v>145</v>
      </c>
      <c r="AC223" s="122"/>
      <c r="AD223" s="122"/>
      <c r="AE223" s="129">
        <v>0.61548611111111107</v>
      </c>
      <c r="AF223" s="122" t="s">
        <v>141</v>
      </c>
      <c r="AG223" s="139" t="s">
        <v>148</v>
      </c>
    </row>
    <row r="224" spans="1:33" x14ac:dyDescent="0.3">
      <c r="A224" s="121">
        <v>1044162</v>
      </c>
      <c r="B224" s="122" t="s">
        <v>162</v>
      </c>
      <c r="C224" s="122" t="s">
        <v>66</v>
      </c>
      <c r="D224" s="123">
        <v>46123</v>
      </c>
      <c r="E224" s="123">
        <v>46123</v>
      </c>
      <c r="F224" s="122"/>
      <c r="G224" s="122">
        <v>880</v>
      </c>
      <c r="H224" s="122" t="s">
        <v>132</v>
      </c>
      <c r="I224" s="122">
        <v>3622</v>
      </c>
      <c r="J224" s="122">
        <v>144745</v>
      </c>
      <c r="K224" s="122"/>
      <c r="L224" s="122" t="s">
        <v>166</v>
      </c>
      <c r="M224" s="122" t="s">
        <v>160</v>
      </c>
      <c r="N224" s="122" t="s">
        <v>161</v>
      </c>
      <c r="O224" s="123">
        <v>46123</v>
      </c>
      <c r="P224" s="158">
        <v>390</v>
      </c>
      <c r="Q224" s="158" t="s">
        <v>67</v>
      </c>
      <c r="R224" s="158">
        <v>11.27</v>
      </c>
      <c r="S224" s="158">
        <v>3.08</v>
      </c>
      <c r="T224" s="158">
        <v>0.55000000000000004</v>
      </c>
      <c r="U224" s="158">
        <v>378.18</v>
      </c>
      <c r="V224" s="163">
        <v>0</v>
      </c>
      <c r="W224" s="122"/>
      <c r="X224" s="162">
        <v>20260413</v>
      </c>
      <c r="Y224" s="122"/>
      <c r="Z224" s="122" t="s">
        <v>139</v>
      </c>
      <c r="AA224" s="122">
        <v>3908900</v>
      </c>
      <c r="AB224" s="122" t="s">
        <v>147</v>
      </c>
      <c r="AC224" s="122"/>
      <c r="AD224" s="122"/>
      <c r="AE224" s="129">
        <v>0.61577546296296293</v>
      </c>
      <c r="AF224" s="122" t="s">
        <v>141</v>
      </c>
      <c r="AG224" s="139" t="s">
        <v>148</v>
      </c>
    </row>
    <row r="225" spans="1:33" x14ac:dyDescent="0.3">
      <c r="A225" s="121">
        <v>1044162</v>
      </c>
      <c r="B225" s="122" t="s">
        <v>162</v>
      </c>
      <c r="C225" s="122" t="s">
        <v>66</v>
      </c>
      <c r="D225" s="123">
        <v>46123</v>
      </c>
      <c r="E225" s="123">
        <v>46123</v>
      </c>
      <c r="F225" s="122"/>
      <c r="G225" s="122">
        <v>880</v>
      </c>
      <c r="H225" s="122" t="s">
        <v>132</v>
      </c>
      <c r="I225" s="122">
        <v>3624</v>
      </c>
      <c r="J225" s="122">
        <v>363601</v>
      </c>
      <c r="K225" s="122">
        <v>3</v>
      </c>
      <c r="L225" s="122" t="s">
        <v>374</v>
      </c>
      <c r="M225" s="122" t="s">
        <v>160</v>
      </c>
      <c r="N225" s="122" t="s">
        <v>161</v>
      </c>
      <c r="O225" s="123">
        <v>46123</v>
      </c>
      <c r="P225" s="158">
        <v>69</v>
      </c>
      <c r="Q225" s="158" t="s">
        <v>67</v>
      </c>
      <c r="R225" s="158">
        <v>3.2</v>
      </c>
      <c r="S225" s="158">
        <v>0.4</v>
      </c>
      <c r="T225" s="158">
        <v>7.0000000000000007E-2</v>
      </c>
      <c r="U225" s="158">
        <v>65.73</v>
      </c>
      <c r="V225" s="163">
        <v>0</v>
      </c>
      <c r="W225" s="122"/>
      <c r="X225" s="162">
        <v>20260413</v>
      </c>
      <c r="Y225" s="122"/>
      <c r="Z225" s="122" t="s">
        <v>142</v>
      </c>
      <c r="AA225" s="122">
        <v>3908900</v>
      </c>
      <c r="AB225" s="122" t="s">
        <v>148</v>
      </c>
      <c r="AC225" s="122" t="s">
        <v>151</v>
      </c>
      <c r="AD225" s="122"/>
      <c r="AE225" s="129">
        <v>0.61638888888888888</v>
      </c>
      <c r="AF225" s="122" t="s">
        <v>141</v>
      </c>
      <c r="AG225" s="139" t="s">
        <v>148</v>
      </c>
    </row>
    <row r="226" spans="1:33" x14ac:dyDescent="0.3">
      <c r="A226" s="121">
        <v>1044162</v>
      </c>
      <c r="B226" s="122" t="s">
        <v>162</v>
      </c>
      <c r="C226" s="122" t="s">
        <v>66</v>
      </c>
      <c r="D226" s="123">
        <v>46123</v>
      </c>
      <c r="E226" s="123">
        <v>46123</v>
      </c>
      <c r="F226" s="122"/>
      <c r="G226" s="122">
        <v>880</v>
      </c>
      <c r="H226" s="122" t="s">
        <v>132</v>
      </c>
      <c r="I226" s="122">
        <v>3631</v>
      </c>
      <c r="J226" s="122">
        <v>264061</v>
      </c>
      <c r="K226" s="122"/>
      <c r="L226" s="122" t="s">
        <v>375</v>
      </c>
      <c r="M226" s="122" t="s">
        <v>160</v>
      </c>
      <c r="N226" s="122" t="s">
        <v>161</v>
      </c>
      <c r="O226" s="123">
        <v>46123</v>
      </c>
      <c r="P226" s="158">
        <v>89</v>
      </c>
      <c r="Q226" s="158" t="s">
        <v>67</v>
      </c>
      <c r="R226" s="158">
        <v>2.57</v>
      </c>
      <c r="S226" s="158">
        <v>1.1499999999999999</v>
      </c>
      <c r="T226" s="158">
        <v>0.21</v>
      </c>
      <c r="U226" s="158">
        <v>86.22</v>
      </c>
      <c r="V226" s="163">
        <v>0</v>
      </c>
      <c r="W226" s="122"/>
      <c r="X226" s="162">
        <v>20260413</v>
      </c>
      <c r="Y226" s="122"/>
      <c r="Z226" s="122" t="s">
        <v>139</v>
      </c>
      <c r="AA226" s="122">
        <v>3908900</v>
      </c>
      <c r="AB226" s="122" t="s">
        <v>145</v>
      </c>
      <c r="AC226" s="122"/>
      <c r="AD226" s="122"/>
      <c r="AE226" s="129">
        <v>0.63564814814814818</v>
      </c>
      <c r="AF226" s="122" t="s">
        <v>141</v>
      </c>
      <c r="AG226" s="139" t="s">
        <v>148</v>
      </c>
    </row>
    <row r="227" spans="1:33" x14ac:dyDescent="0.3">
      <c r="A227" s="121">
        <v>1044162</v>
      </c>
      <c r="B227" s="122" t="s">
        <v>162</v>
      </c>
      <c r="C227" s="122" t="s">
        <v>66</v>
      </c>
      <c r="D227" s="123">
        <v>46123</v>
      </c>
      <c r="E227" s="123">
        <v>46123</v>
      </c>
      <c r="F227" s="122"/>
      <c r="G227" s="122">
        <v>880</v>
      </c>
      <c r="H227" s="122" t="s">
        <v>132</v>
      </c>
      <c r="I227" s="122">
        <v>3633</v>
      </c>
      <c r="J227" s="122">
        <v>683424</v>
      </c>
      <c r="K227" s="122">
        <v>2</v>
      </c>
      <c r="L227" s="122" t="s">
        <v>376</v>
      </c>
      <c r="M227" s="122" t="s">
        <v>160</v>
      </c>
      <c r="N227" s="122" t="s">
        <v>161</v>
      </c>
      <c r="O227" s="123">
        <v>46123</v>
      </c>
      <c r="P227" s="158">
        <v>498</v>
      </c>
      <c r="Q227" s="158" t="s">
        <v>67</v>
      </c>
      <c r="R227" s="158">
        <v>14.39</v>
      </c>
      <c r="S227" s="158">
        <v>2.94</v>
      </c>
      <c r="T227" s="158">
        <v>0.53</v>
      </c>
      <c r="U227" s="158">
        <v>483.08</v>
      </c>
      <c r="V227" s="163">
        <v>0</v>
      </c>
      <c r="W227" s="122"/>
      <c r="X227" s="162">
        <v>20260413</v>
      </c>
      <c r="Y227" s="122"/>
      <c r="Z227" s="122" t="s">
        <v>142</v>
      </c>
      <c r="AA227" s="122">
        <v>3908900</v>
      </c>
      <c r="AB227" s="122" t="s">
        <v>149</v>
      </c>
      <c r="AC227" s="122" t="s">
        <v>144</v>
      </c>
      <c r="AD227" s="122"/>
      <c r="AE227" s="129">
        <v>0.64118055555555553</v>
      </c>
      <c r="AF227" s="122" t="s">
        <v>141</v>
      </c>
      <c r="AG227" s="139" t="s">
        <v>148</v>
      </c>
    </row>
    <row r="228" spans="1:33" x14ac:dyDescent="0.3">
      <c r="A228" s="121">
        <v>1044162</v>
      </c>
      <c r="B228" s="122" t="s">
        <v>162</v>
      </c>
      <c r="C228" s="122" t="s">
        <v>66</v>
      </c>
      <c r="D228" s="123">
        <v>46123</v>
      </c>
      <c r="E228" s="123">
        <v>46123</v>
      </c>
      <c r="F228" s="122"/>
      <c r="G228" s="122">
        <v>880</v>
      </c>
      <c r="H228" s="122" t="s">
        <v>132</v>
      </c>
      <c r="I228" s="122">
        <v>3644</v>
      </c>
      <c r="J228" s="122">
        <v>241966</v>
      </c>
      <c r="K228" s="122"/>
      <c r="L228" s="122" t="s">
        <v>377</v>
      </c>
      <c r="M228" s="122" t="s">
        <v>160</v>
      </c>
      <c r="N228" s="122" t="s">
        <v>161</v>
      </c>
      <c r="O228" s="123">
        <v>46123</v>
      </c>
      <c r="P228" s="158">
        <v>568</v>
      </c>
      <c r="Q228" s="158" t="s">
        <v>67</v>
      </c>
      <c r="R228" s="158">
        <v>16.420000000000002</v>
      </c>
      <c r="S228" s="158">
        <v>7.33</v>
      </c>
      <c r="T228" s="158">
        <v>1.32</v>
      </c>
      <c r="U228" s="158">
        <v>550.26</v>
      </c>
      <c r="V228" s="163">
        <v>0</v>
      </c>
      <c r="W228" s="122"/>
      <c r="X228" s="162">
        <v>20260413</v>
      </c>
      <c r="Y228" s="122"/>
      <c r="Z228" s="122" t="s">
        <v>139</v>
      </c>
      <c r="AA228" s="122">
        <v>3908900</v>
      </c>
      <c r="AB228" s="122" t="s">
        <v>145</v>
      </c>
      <c r="AC228" s="122"/>
      <c r="AD228" s="122"/>
      <c r="AE228" s="129">
        <v>0.64894675925925926</v>
      </c>
      <c r="AF228" s="122" t="s">
        <v>141</v>
      </c>
      <c r="AG228" s="139" t="s">
        <v>148</v>
      </c>
    </row>
    <row r="229" spans="1:33" x14ac:dyDescent="0.3">
      <c r="A229" s="121">
        <v>1044162</v>
      </c>
      <c r="B229" s="122" t="s">
        <v>162</v>
      </c>
      <c r="C229" s="122" t="s">
        <v>66</v>
      </c>
      <c r="D229" s="123">
        <v>46123</v>
      </c>
      <c r="E229" s="123">
        <v>46123</v>
      </c>
      <c r="F229" s="122"/>
      <c r="G229" s="122">
        <v>880</v>
      </c>
      <c r="H229" s="122" t="s">
        <v>132</v>
      </c>
      <c r="I229" s="122">
        <v>3648</v>
      </c>
      <c r="J229" s="122">
        <v>750411</v>
      </c>
      <c r="K229" s="122"/>
      <c r="L229" s="122" t="s">
        <v>378</v>
      </c>
      <c r="M229" s="122" t="s">
        <v>160</v>
      </c>
      <c r="N229" s="122" t="s">
        <v>161</v>
      </c>
      <c r="O229" s="123">
        <v>46123</v>
      </c>
      <c r="P229" s="158">
        <v>1000</v>
      </c>
      <c r="Q229" s="158" t="s">
        <v>67</v>
      </c>
      <c r="R229" s="158">
        <v>28.9</v>
      </c>
      <c r="S229" s="158">
        <v>12.9</v>
      </c>
      <c r="T229" s="158">
        <v>2.3199999999999998</v>
      </c>
      <c r="U229" s="158">
        <v>968.78</v>
      </c>
      <c r="V229" s="163">
        <v>0</v>
      </c>
      <c r="W229" s="122"/>
      <c r="X229" s="162">
        <v>20260413</v>
      </c>
      <c r="Y229" s="122"/>
      <c r="Z229" s="122" t="s">
        <v>139</v>
      </c>
      <c r="AA229" s="122">
        <v>3908900</v>
      </c>
      <c r="AB229" s="122" t="s">
        <v>148</v>
      </c>
      <c r="AC229" s="122"/>
      <c r="AD229" s="122"/>
      <c r="AE229" s="129">
        <v>0.69368055555555552</v>
      </c>
      <c r="AF229" s="122" t="s">
        <v>141</v>
      </c>
      <c r="AG229" s="139" t="s">
        <v>148</v>
      </c>
    </row>
    <row r="230" spans="1:33" x14ac:dyDescent="0.3">
      <c r="A230" s="121">
        <v>1044162</v>
      </c>
      <c r="B230" s="122" t="s">
        <v>162</v>
      </c>
      <c r="C230" s="122" t="s">
        <v>66</v>
      </c>
      <c r="D230" s="123">
        <v>46123</v>
      </c>
      <c r="E230" s="123">
        <v>46123</v>
      </c>
      <c r="F230" s="122"/>
      <c r="G230" s="122">
        <v>880</v>
      </c>
      <c r="H230" s="122" t="s">
        <v>132</v>
      </c>
      <c r="I230" s="122">
        <v>3650</v>
      </c>
      <c r="J230" s="122">
        <v>717427</v>
      </c>
      <c r="K230" s="122"/>
      <c r="L230" s="122" t="s">
        <v>379</v>
      </c>
      <c r="M230" s="122" t="s">
        <v>160</v>
      </c>
      <c r="N230" s="122" t="s">
        <v>161</v>
      </c>
      <c r="O230" s="123">
        <v>46123</v>
      </c>
      <c r="P230" s="158">
        <v>699</v>
      </c>
      <c r="Q230" s="158" t="s">
        <v>67</v>
      </c>
      <c r="R230" s="158">
        <v>20.2</v>
      </c>
      <c r="S230" s="158">
        <v>5.52</v>
      </c>
      <c r="T230" s="158">
        <v>0.99</v>
      </c>
      <c r="U230" s="158">
        <v>677.81</v>
      </c>
      <c r="V230" s="163">
        <v>0</v>
      </c>
      <c r="W230" s="122"/>
      <c r="X230" s="162">
        <v>20260413</v>
      </c>
      <c r="Y230" s="122"/>
      <c r="Z230" s="122" t="s">
        <v>142</v>
      </c>
      <c r="AA230" s="122">
        <v>3908900</v>
      </c>
      <c r="AB230" s="122" t="s">
        <v>149</v>
      </c>
      <c r="AC230" s="122"/>
      <c r="AD230" s="122"/>
      <c r="AE230" s="129">
        <v>0.6962962962962963</v>
      </c>
      <c r="AF230" s="122" t="s">
        <v>141</v>
      </c>
      <c r="AG230" s="139" t="s">
        <v>148</v>
      </c>
    </row>
    <row r="231" spans="1:33" x14ac:dyDescent="0.3">
      <c r="A231" s="121">
        <v>1044162</v>
      </c>
      <c r="B231" s="122" t="s">
        <v>162</v>
      </c>
      <c r="C231" s="122" t="s">
        <v>66</v>
      </c>
      <c r="D231" s="123">
        <v>46123</v>
      </c>
      <c r="E231" s="123">
        <v>46123</v>
      </c>
      <c r="F231" s="122"/>
      <c r="G231" s="122">
        <v>880</v>
      </c>
      <c r="H231" s="122" t="s">
        <v>132</v>
      </c>
      <c r="I231" s="122">
        <v>3652</v>
      </c>
      <c r="J231" s="122">
        <v>772038</v>
      </c>
      <c r="K231" s="122">
        <v>3</v>
      </c>
      <c r="L231" s="122" t="s">
        <v>380</v>
      </c>
      <c r="M231" s="122" t="s">
        <v>160</v>
      </c>
      <c r="N231" s="122" t="s">
        <v>161</v>
      </c>
      <c r="O231" s="123">
        <v>46123</v>
      </c>
      <c r="P231" s="158">
        <v>629</v>
      </c>
      <c r="Q231" s="158" t="s">
        <v>67</v>
      </c>
      <c r="R231" s="158">
        <v>29.19</v>
      </c>
      <c r="S231" s="158">
        <v>4.97</v>
      </c>
      <c r="T231" s="158">
        <v>0.89</v>
      </c>
      <c r="U231" s="158">
        <v>598.91999999999996</v>
      </c>
      <c r="V231" s="163">
        <v>0</v>
      </c>
      <c r="W231" s="122"/>
      <c r="X231" s="162">
        <v>20260413</v>
      </c>
      <c r="Y231" s="122"/>
      <c r="Z231" s="122" t="s">
        <v>142</v>
      </c>
      <c r="AA231" s="122">
        <v>3908900</v>
      </c>
      <c r="AB231" s="122" t="s">
        <v>148</v>
      </c>
      <c r="AC231" s="122" t="s">
        <v>151</v>
      </c>
      <c r="AD231" s="122"/>
      <c r="AE231" s="129">
        <v>0.6980439814814815</v>
      </c>
      <c r="AF231" s="122" t="s">
        <v>141</v>
      </c>
      <c r="AG231" s="139" t="s">
        <v>148</v>
      </c>
    </row>
    <row r="232" spans="1:33" x14ac:dyDescent="0.3">
      <c r="A232" s="121">
        <v>1044162</v>
      </c>
      <c r="B232" s="122" t="s">
        <v>162</v>
      </c>
      <c r="C232" s="122" t="s">
        <v>66</v>
      </c>
      <c r="D232" s="123">
        <v>46123</v>
      </c>
      <c r="E232" s="123">
        <v>46123</v>
      </c>
      <c r="F232" s="122"/>
      <c r="G232" s="122">
        <v>880</v>
      </c>
      <c r="H232" s="122">
        <v>65656565</v>
      </c>
      <c r="I232" s="122">
        <v>3654</v>
      </c>
      <c r="J232" s="122">
        <v>460526</v>
      </c>
      <c r="K232" s="122"/>
      <c r="L232" s="122" t="s">
        <v>381</v>
      </c>
      <c r="M232" s="122" t="s">
        <v>160</v>
      </c>
      <c r="N232" s="122" t="s">
        <v>161</v>
      </c>
      <c r="O232" s="123">
        <v>46123</v>
      </c>
      <c r="P232" s="158">
        <v>79</v>
      </c>
      <c r="Q232" s="158" t="s">
        <v>67</v>
      </c>
      <c r="R232" s="158">
        <v>2.2799999999999998</v>
      </c>
      <c r="S232" s="158">
        <v>1.02</v>
      </c>
      <c r="T232" s="158">
        <v>0.18</v>
      </c>
      <c r="U232" s="158">
        <v>76.540000000000006</v>
      </c>
      <c r="V232" s="163">
        <v>0</v>
      </c>
      <c r="W232" s="122"/>
      <c r="X232" s="162">
        <v>20260413</v>
      </c>
      <c r="Y232" s="122"/>
      <c r="Z232" s="122" t="s">
        <v>139</v>
      </c>
      <c r="AA232" s="122">
        <v>3908900</v>
      </c>
      <c r="AB232" s="122" t="s">
        <v>149</v>
      </c>
      <c r="AC232" s="122"/>
      <c r="AD232" s="122" t="s">
        <v>545</v>
      </c>
      <c r="AE232" s="129">
        <v>0.70366898148148149</v>
      </c>
      <c r="AF232" s="122" t="s">
        <v>141</v>
      </c>
      <c r="AG232" s="139" t="s">
        <v>148</v>
      </c>
    </row>
    <row r="233" spans="1:33" x14ac:dyDescent="0.3">
      <c r="A233" s="121">
        <v>1044162</v>
      </c>
      <c r="B233" s="122" t="s">
        <v>162</v>
      </c>
      <c r="C233" s="122" t="s">
        <v>66</v>
      </c>
      <c r="D233" s="123">
        <v>46123</v>
      </c>
      <c r="E233" s="123">
        <v>46123</v>
      </c>
      <c r="F233" s="122"/>
      <c r="G233" s="122">
        <v>880</v>
      </c>
      <c r="H233" s="122" t="s">
        <v>132</v>
      </c>
      <c r="I233" s="122">
        <v>3657</v>
      </c>
      <c r="J233" s="122">
        <v>380596</v>
      </c>
      <c r="K233" s="122"/>
      <c r="L233" s="122" t="s">
        <v>382</v>
      </c>
      <c r="M233" s="122" t="s">
        <v>160</v>
      </c>
      <c r="N233" s="122" t="s">
        <v>161</v>
      </c>
      <c r="O233" s="123">
        <v>46123</v>
      </c>
      <c r="P233" s="158">
        <v>1149</v>
      </c>
      <c r="Q233" s="158" t="s">
        <v>67</v>
      </c>
      <c r="R233" s="158">
        <v>33.21</v>
      </c>
      <c r="S233" s="158">
        <v>14.83</v>
      </c>
      <c r="T233" s="158">
        <v>2.67</v>
      </c>
      <c r="U233" s="158">
        <v>1113.1199999999999</v>
      </c>
      <c r="V233" s="163">
        <v>0</v>
      </c>
      <c r="W233" s="122"/>
      <c r="X233" s="162">
        <v>20260413</v>
      </c>
      <c r="Y233" s="122"/>
      <c r="Z233" s="122" t="s">
        <v>139</v>
      </c>
      <c r="AA233" s="122">
        <v>3908900</v>
      </c>
      <c r="AB233" s="122" t="s">
        <v>155</v>
      </c>
      <c r="AC233" s="122"/>
      <c r="AD233" s="122"/>
      <c r="AE233" s="129">
        <v>0.70697916666666671</v>
      </c>
      <c r="AF233" s="122" t="s">
        <v>141</v>
      </c>
      <c r="AG233" s="139" t="s">
        <v>148</v>
      </c>
    </row>
    <row r="234" spans="1:33" x14ac:dyDescent="0.3">
      <c r="A234" s="121">
        <v>1044162</v>
      </c>
      <c r="B234" s="122" t="s">
        <v>162</v>
      </c>
      <c r="C234" s="122" t="s">
        <v>66</v>
      </c>
      <c r="D234" s="123">
        <v>46123</v>
      </c>
      <c r="E234" s="123">
        <v>46123</v>
      </c>
      <c r="F234" s="122"/>
      <c r="G234" s="122">
        <v>880</v>
      </c>
      <c r="H234" s="122" t="s">
        <v>132</v>
      </c>
      <c r="I234" s="122">
        <v>3659</v>
      </c>
      <c r="J234" s="122">
        <v>476603</v>
      </c>
      <c r="K234" s="122"/>
      <c r="L234" s="122" t="s">
        <v>383</v>
      </c>
      <c r="M234" s="122" t="s">
        <v>160</v>
      </c>
      <c r="N234" s="122" t="s">
        <v>161</v>
      </c>
      <c r="O234" s="123">
        <v>46123</v>
      </c>
      <c r="P234" s="158">
        <v>949</v>
      </c>
      <c r="Q234" s="158" t="s">
        <v>67</v>
      </c>
      <c r="R234" s="158">
        <v>27.43</v>
      </c>
      <c r="S234" s="158">
        <v>12.25</v>
      </c>
      <c r="T234" s="158">
        <v>2.21</v>
      </c>
      <c r="U234" s="158">
        <v>919.36</v>
      </c>
      <c r="V234" s="163">
        <v>0</v>
      </c>
      <c r="W234" s="122"/>
      <c r="X234" s="162">
        <v>20260413</v>
      </c>
      <c r="Y234" s="122"/>
      <c r="Z234" s="122" t="s">
        <v>139</v>
      </c>
      <c r="AA234" s="122">
        <v>3908900</v>
      </c>
      <c r="AB234" s="122" t="s">
        <v>145</v>
      </c>
      <c r="AC234" s="122"/>
      <c r="AD234" s="122"/>
      <c r="AE234" s="129">
        <v>0.70743055555555545</v>
      </c>
      <c r="AF234" s="122" t="s">
        <v>141</v>
      </c>
      <c r="AG234" s="139" t="s">
        <v>148</v>
      </c>
    </row>
    <row r="235" spans="1:33" x14ac:dyDescent="0.3">
      <c r="A235" s="121">
        <v>1044162</v>
      </c>
      <c r="B235" s="122" t="s">
        <v>162</v>
      </c>
      <c r="C235" s="122" t="s">
        <v>66</v>
      </c>
      <c r="D235" s="123">
        <v>46123</v>
      </c>
      <c r="E235" s="123">
        <v>46123</v>
      </c>
      <c r="F235" s="122"/>
      <c r="G235" s="122">
        <v>880</v>
      </c>
      <c r="H235" s="122" t="s">
        <v>132</v>
      </c>
      <c r="I235" s="122">
        <v>3661</v>
      </c>
      <c r="J235" s="122">
        <v>512821</v>
      </c>
      <c r="K235" s="122"/>
      <c r="L235" s="122" t="s">
        <v>384</v>
      </c>
      <c r="M235" s="122" t="s">
        <v>160</v>
      </c>
      <c r="N235" s="122" t="s">
        <v>161</v>
      </c>
      <c r="O235" s="123">
        <v>46123</v>
      </c>
      <c r="P235" s="158">
        <v>973.5</v>
      </c>
      <c r="Q235" s="158" t="s">
        <v>67</v>
      </c>
      <c r="R235" s="158">
        <v>28.13</v>
      </c>
      <c r="S235" s="158">
        <v>12.55</v>
      </c>
      <c r="T235" s="158">
        <v>2.2599999999999998</v>
      </c>
      <c r="U235" s="158">
        <v>943.11</v>
      </c>
      <c r="V235" s="163">
        <v>0</v>
      </c>
      <c r="W235" s="122"/>
      <c r="X235" s="162">
        <v>20260413</v>
      </c>
      <c r="Y235" s="122"/>
      <c r="Z235" s="122" t="s">
        <v>139</v>
      </c>
      <c r="AA235" s="122">
        <v>3908900</v>
      </c>
      <c r="AB235" s="122" t="s">
        <v>145</v>
      </c>
      <c r="AC235" s="122"/>
      <c r="AD235" s="122"/>
      <c r="AE235" s="129">
        <v>0.72211805555555564</v>
      </c>
      <c r="AF235" s="122" t="s">
        <v>141</v>
      </c>
      <c r="AG235" s="139" t="s">
        <v>148</v>
      </c>
    </row>
    <row r="236" spans="1:33" x14ac:dyDescent="0.3">
      <c r="A236" s="121">
        <v>1044162</v>
      </c>
      <c r="B236" s="122" t="s">
        <v>162</v>
      </c>
      <c r="C236" s="122" t="s">
        <v>66</v>
      </c>
      <c r="D236" s="123">
        <v>46123</v>
      </c>
      <c r="E236" s="123">
        <v>46123</v>
      </c>
      <c r="F236" s="122"/>
      <c r="G236" s="122">
        <v>880</v>
      </c>
      <c r="H236" s="122" t="s">
        <v>132</v>
      </c>
      <c r="I236" s="122">
        <v>3665</v>
      </c>
      <c r="J236" s="122">
        <v>434586</v>
      </c>
      <c r="K236" s="122"/>
      <c r="L236" s="122" t="s">
        <v>385</v>
      </c>
      <c r="M236" s="122" t="s">
        <v>160</v>
      </c>
      <c r="N236" s="122" t="s">
        <v>161</v>
      </c>
      <c r="O236" s="123">
        <v>46123</v>
      </c>
      <c r="P236" s="158">
        <v>629</v>
      </c>
      <c r="Q236" s="158" t="s">
        <v>67</v>
      </c>
      <c r="R236" s="158">
        <v>18.18</v>
      </c>
      <c r="S236" s="158">
        <v>8.1199999999999992</v>
      </c>
      <c r="T236" s="158">
        <v>1.46</v>
      </c>
      <c r="U236" s="158">
        <v>609.36</v>
      </c>
      <c r="V236" s="163">
        <v>0</v>
      </c>
      <c r="W236" s="122"/>
      <c r="X236" s="162">
        <v>20260413</v>
      </c>
      <c r="Y236" s="122"/>
      <c r="Z236" s="122" t="s">
        <v>139</v>
      </c>
      <c r="AA236" s="122">
        <v>3908900</v>
      </c>
      <c r="AB236" s="122" t="s">
        <v>145</v>
      </c>
      <c r="AC236" s="122"/>
      <c r="AD236" s="122"/>
      <c r="AE236" s="129">
        <v>0.72873842592592597</v>
      </c>
      <c r="AF236" s="122" t="s">
        <v>141</v>
      </c>
      <c r="AG236" s="139" t="s">
        <v>148</v>
      </c>
    </row>
    <row r="237" spans="1:33" x14ac:dyDescent="0.3">
      <c r="A237" s="121">
        <v>1044162</v>
      </c>
      <c r="B237" s="122" t="s">
        <v>162</v>
      </c>
      <c r="C237" s="122" t="s">
        <v>66</v>
      </c>
      <c r="D237" s="123">
        <v>46123</v>
      </c>
      <c r="E237" s="123">
        <v>46123</v>
      </c>
      <c r="F237" s="122"/>
      <c r="G237" s="122">
        <v>880</v>
      </c>
      <c r="H237" s="122" t="s">
        <v>132</v>
      </c>
      <c r="I237" s="122">
        <v>3667</v>
      </c>
      <c r="J237" s="122">
        <v>385173</v>
      </c>
      <c r="K237" s="122"/>
      <c r="L237" s="122" t="s">
        <v>386</v>
      </c>
      <c r="M237" s="122" t="s">
        <v>160</v>
      </c>
      <c r="N237" s="122" t="s">
        <v>161</v>
      </c>
      <c r="O237" s="123">
        <v>46123</v>
      </c>
      <c r="P237" s="158">
        <v>69</v>
      </c>
      <c r="Q237" s="158" t="s">
        <v>67</v>
      </c>
      <c r="R237" s="158">
        <v>1.99</v>
      </c>
      <c r="S237" s="158">
        <v>0.26</v>
      </c>
      <c r="T237" s="158">
        <v>0.05</v>
      </c>
      <c r="U237" s="158">
        <v>66.959999999999994</v>
      </c>
      <c r="V237" s="163">
        <v>0</v>
      </c>
      <c r="W237" s="122"/>
      <c r="X237" s="162">
        <v>20260413</v>
      </c>
      <c r="Y237" s="122"/>
      <c r="Z237" s="122" t="s">
        <v>142</v>
      </c>
      <c r="AA237" s="122">
        <v>3908900</v>
      </c>
      <c r="AB237" s="122" t="s">
        <v>147</v>
      </c>
      <c r="AC237" s="122"/>
      <c r="AD237" s="122"/>
      <c r="AE237" s="129">
        <v>0.73521990740740739</v>
      </c>
      <c r="AF237" s="122" t="s">
        <v>141</v>
      </c>
      <c r="AG237" s="139" t="s">
        <v>148</v>
      </c>
    </row>
    <row r="238" spans="1:33" x14ac:dyDescent="0.3">
      <c r="A238" s="121">
        <v>1044162</v>
      </c>
      <c r="B238" s="122" t="s">
        <v>162</v>
      </c>
      <c r="C238" s="122" t="s">
        <v>66</v>
      </c>
      <c r="D238" s="123">
        <v>46123</v>
      </c>
      <c r="E238" s="123">
        <v>46123</v>
      </c>
      <c r="F238" s="122"/>
      <c r="G238" s="122">
        <v>880</v>
      </c>
      <c r="H238" s="122" t="s">
        <v>132</v>
      </c>
      <c r="I238" s="122">
        <v>3669</v>
      </c>
      <c r="J238" s="122">
        <v>5706</v>
      </c>
      <c r="K238" s="122"/>
      <c r="L238" s="122" t="s">
        <v>387</v>
      </c>
      <c r="M238" s="122" t="s">
        <v>160</v>
      </c>
      <c r="N238" s="122" t="s">
        <v>161</v>
      </c>
      <c r="O238" s="123">
        <v>46123</v>
      </c>
      <c r="P238" s="158">
        <v>498</v>
      </c>
      <c r="Q238" s="158" t="s">
        <v>67</v>
      </c>
      <c r="R238" s="158">
        <v>14.39</v>
      </c>
      <c r="S238" s="158">
        <v>3.93</v>
      </c>
      <c r="T238" s="158">
        <v>0.71</v>
      </c>
      <c r="U238" s="158">
        <v>482.9</v>
      </c>
      <c r="V238" s="163">
        <v>0</v>
      </c>
      <c r="W238" s="122"/>
      <c r="X238" s="162">
        <v>20260413</v>
      </c>
      <c r="Y238" s="122"/>
      <c r="Z238" s="122" t="s">
        <v>142</v>
      </c>
      <c r="AA238" s="122">
        <v>3908900</v>
      </c>
      <c r="AB238" s="122" t="s">
        <v>145</v>
      </c>
      <c r="AC238" s="122"/>
      <c r="AD238" s="122"/>
      <c r="AE238" s="129">
        <v>0.74226851851851849</v>
      </c>
      <c r="AF238" s="122" t="s">
        <v>141</v>
      </c>
      <c r="AG238" s="139" t="s">
        <v>148</v>
      </c>
    </row>
    <row r="239" spans="1:33" x14ac:dyDescent="0.3">
      <c r="A239" s="121">
        <v>1044162</v>
      </c>
      <c r="B239" s="122" t="s">
        <v>162</v>
      </c>
      <c r="C239" s="122" t="s">
        <v>66</v>
      </c>
      <c r="D239" s="123">
        <v>46123</v>
      </c>
      <c r="E239" s="123">
        <v>46123</v>
      </c>
      <c r="F239" s="122"/>
      <c r="G239" s="122">
        <v>880</v>
      </c>
      <c r="H239" s="122" t="s">
        <v>132</v>
      </c>
      <c r="I239" s="122">
        <v>3671</v>
      </c>
      <c r="J239" s="122">
        <v>35619</v>
      </c>
      <c r="K239" s="122"/>
      <c r="L239" s="122" t="s">
        <v>388</v>
      </c>
      <c r="M239" s="122" t="s">
        <v>160</v>
      </c>
      <c r="N239" s="122" t="s">
        <v>161</v>
      </c>
      <c r="O239" s="123">
        <v>46123</v>
      </c>
      <c r="P239" s="158">
        <v>688</v>
      </c>
      <c r="Q239" s="158" t="s">
        <v>67</v>
      </c>
      <c r="R239" s="158">
        <v>19.88</v>
      </c>
      <c r="S239" s="158">
        <v>8.8699999999999992</v>
      </c>
      <c r="T239" s="158">
        <v>1.6</v>
      </c>
      <c r="U239" s="158">
        <v>666.52</v>
      </c>
      <c r="V239" s="163">
        <v>0</v>
      </c>
      <c r="W239" s="122"/>
      <c r="X239" s="162">
        <v>20260413</v>
      </c>
      <c r="Y239" s="122"/>
      <c r="Z239" s="122" t="s">
        <v>139</v>
      </c>
      <c r="AA239" s="122">
        <v>3908900</v>
      </c>
      <c r="AB239" s="122" t="s">
        <v>148</v>
      </c>
      <c r="AC239" s="122"/>
      <c r="AD239" s="122"/>
      <c r="AE239" s="129">
        <v>0.75002314814814808</v>
      </c>
      <c r="AF239" s="122" t="s">
        <v>141</v>
      </c>
      <c r="AG239" s="139" t="s">
        <v>148</v>
      </c>
    </row>
    <row r="240" spans="1:33" x14ac:dyDescent="0.3">
      <c r="A240" s="121">
        <v>1044162</v>
      </c>
      <c r="B240" s="122" t="s">
        <v>162</v>
      </c>
      <c r="C240" s="122" t="s">
        <v>66</v>
      </c>
      <c r="D240" s="123">
        <v>46123</v>
      </c>
      <c r="E240" s="123">
        <v>46123</v>
      </c>
      <c r="F240" s="122"/>
      <c r="G240" s="122">
        <v>880</v>
      </c>
      <c r="H240" s="122" t="s">
        <v>132</v>
      </c>
      <c r="I240" s="122">
        <v>3673</v>
      </c>
      <c r="J240" s="122">
        <v>110239</v>
      </c>
      <c r="K240" s="122">
        <v>3</v>
      </c>
      <c r="L240" s="122" t="s">
        <v>389</v>
      </c>
      <c r="M240" s="122" t="s">
        <v>160</v>
      </c>
      <c r="N240" s="122" t="s">
        <v>161</v>
      </c>
      <c r="O240" s="123">
        <v>46123</v>
      </c>
      <c r="P240" s="158">
        <v>1799</v>
      </c>
      <c r="Q240" s="158" t="s">
        <v>67</v>
      </c>
      <c r="R240" s="158">
        <v>83.47</v>
      </c>
      <c r="S240" s="158">
        <v>10.61</v>
      </c>
      <c r="T240" s="158">
        <v>1.91</v>
      </c>
      <c r="U240" s="158">
        <v>1713.62</v>
      </c>
      <c r="V240" s="163">
        <v>0</v>
      </c>
      <c r="W240" s="122"/>
      <c r="X240" s="162">
        <v>20260413</v>
      </c>
      <c r="Y240" s="122"/>
      <c r="Z240" s="122" t="s">
        <v>142</v>
      </c>
      <c r="AA240" s="122">
        <v>3908900</v>
      </c>
      <c r="AB240" s="122" t="s">
        <v>148</v>
      </c>
      <c r="AC240" s="122" t="s">
        <v>151</v>
      </c>
      <c r="AD240" s="122"/>
      <c r="AE240" s="129">
        <v>0.76399305555555552</v>
      </c>
      <c r="AF240" s="122" t="s">
        <v>141</v>
      </c>
      <c r="AG240" s="139" t="s">
        <v>148</v>
      </c>
    </row>
    <row r="241" spans="1:33" x14ac:dyDescent="0.3">
      <c r="A241" s="121">
        <v>1044162</v>
      </c>
      <c r="B241" s="122" t="s">
        <v>162</v>
      </c>
      <c r="C241" s="122" t="s">
        <v>66</v>
      </c>
      <c r="D241" s="123">
        <v>46123</v>
      </c>
      <c r="E241" s="123">
        <v>46123</v>
      </c>
      <c r="F241" s="122"/>
      <c r="G241" s="122">
        <v>880</v>
      </c>
      <c r="H241" s="122" t="s">
        <v>132</v>
      </c>
      <c r="I241" s="122">
        <v>3675</v>
      </c>
      <c r="J241" s="122">
        <v>5295</v>
      </c>
      <c r="K241" s="122"/>
      <c r="L241" s="122" t="s">
        <v>390</v>
      </c>
      <c r="M241" s="122" t="s">
        <v>160</v>
      </c>
      <c r="N241" s="122" t="s">
        <v>161</v>
      </c>
      <c r="O241" s="123">
        <v>46123</v>
      </c>
      <c r="P241" s="158">
        <v>459</v>
      </c>
      <c r="Q241" s="158" t="s">
        <v>67</v>
      </c>
      <c r="R241" s="158">
        <v>13.27</v>
      </c>
      <c r="S241" s="158">
        <v>3.63</v>
      </c>
      <c r="T241" s="158">
        <v>0.65</v>
      </c>
      <c r="U241" s="158">
        <v>445.08</v>
      </c>
      <c r="V241" s="163">
        <v>0</v>
      </c>
      <c r="W241" s="122"/>
      <c r="X241" s="162">
        <v>20260413</v>
      </c>
      <c r="Y241" s="122"/>
      <c r="Z241" s="122" t="s">
        <v>142</v>
      </c>
      <c r="AA241" s="122">
        <v>3908900</v>
      </c>
      <c r="AB241" s="122" t="s">
        <v>145</v>
      </c>
      <c r="AC241" s="122"/>
      <c r="AD241" s="122"/>
      <c r="AE241" s="129">
        <v>0.80335648148148142</v>
      </c>
      <c r="AF241" s="122" t="s">
        <v>141</v>
      </c>
      <c r="AG241" s="139" t="s">
        <v>148</v>
      </c>
    </row>
    <row r="242" spans="1:33" x14ac:dyDescent="0.3">
      <c r="A242" s="121">
        <v>1044162</v>
      </c>
      <c r="B242" s="122" t="s">
        <v>162</v>
      </c>
      <c r="C242" s="122" t="s">
        <v>66</v>
      </c>
      <c r="D242" s="123">
        <v>46123</v>
      </c>
      <c r="E242" s="123">
        <v>46123</v>
      </c>
      <c r="F242" s="122"/>
      <c r="G242" s="122">
        <v>880</v>
      </c>
      <c r="H242" s="122">
        <v>65656565</v>
      </c>
      <c r="I242" s="122">
        <v>3677</v>
      </c>
      <c r="J242" s="122">
        <v>697210</v>
      </c>
      <c r="K242" s="122"/>
      <c r="L242" s="122" t="s">
        <v>391</v>
      </c>
      <c r="M242" s="122" t="s">
        <v>160</v>
      </c>
      <c r="N242" s="122" t="s">
        <v>161</v>
      </c>
      <c r="O242" s="123">
        <v>46123</v>
      </c>
      <c r="P242" s="158">
        <v>529</v>
      </c>
      <c r="Q242" s="158" t="s">
        <v>67</v>
      </c>
      <c r="R242" s="158">
        <v>15.28</v>
      </c>
      <c r="S242" s="158">
        <v>6.82</v>
      </c>
      <c r="T242" s="158">
        <v>1.23</v>
      </c>
      <c r="U242" s="158">
        <v>512.49</v>
      </c>
      <c r="V242" s="163">
        <v>0</v>
      </c>
      <c r="W242" s="122"/>
      <c r="X242" s="162">
        <v>20260413</v>
      </c>
      <c r="Y242" s="122"/>
      <c r="Z242" s="122" t="s">
        <v>139</v>
      </c>
      <c r="AA242" s="122">
        <v>3908900</v>
      </c>
      <c r="AB242" s="122" t="s">
        <v>145</v>
      </c>
      <c r="AC242" s="122"/>
      <c r="AD242" s="122" t="s">
        <v>146</v>
      </c>
      <c r="AE242" s="129">
        <v>0.80699074074074073</v>
      </c>
      <c r="AF242" s="122" t="s">
        <v>141</v>
      </c>
      <c r="AG242" s="139" t="s">
        <v>148</v>
      </c>
    </row>
    <row r="243" spans="1:33" x14ac:dyDescent="0.3">
      <c r="A243" s="121">
        <v>1044162</v>
      </c>
      <c r="B243" s="122" t="s">
        <v>162</v>
      </c>
      <c r="C243" s="122" t="s">
        <v>66</v>
      </c>
      <c r="D243" s="123">
        <v>46123</v>
      </c>
      <c r="E243" s="123">
        <v>46123</v>
      </c>
      <c r="F243" s="122"/>
      <c r="G243" s="122">
        <v>880</v>
      </c>
      <c r="H243" s="122" t="s">
        <v>132</v>
      </c>
      <c r="I243" s="122">
        <v>3682</v>
      </c>
      <c r="J243" s="122">
        <v>424136</v>
      </c>
      <c r="K243" s="122"/>
      <c r="L243" s="122" t="s">
        <v>392</v>
      </c>
      <c r="M243" s="122" t="s">
        <v>160</v>
      </c>
      <c r="N243" s="122" t="s">
        <v>161</v>
      </c>
      <c r="O243" s="123">
        <v>46123</v>
      </c>
      <c r="P243" s="158">
        <v>1799</v>
      </c>
      <c r="Q243" s="158" t="s">
        <v>67</v>
      </c>
      <c r="R243" s="158">
        <v>51.99</v>
      </c>
      <c r="S243" s="158">
        <v>23.21</v>
      </c>
      <c r="T243" s="158">
        <v>4.18</v>
      </c>
      <c r="U243" s="158">
        <v>1742.83</v>
      </c>
      <c r="V243" s="163">
        <v>0</v>
      </c>
      <c r="W243" s="122"/>
      <c r="X243" s="162">
        <v>20260413</v>
      </c>
      <c r="Y243" s="122"/>
      <c r="Z243" s="122" t="s">
        <v>139</v>
      </c>
      <c r="AA243" s="122">
        <v>3908900</v>
      </c>
      <c r="AB243" s="122" t="s">
        <v>148</v>
      </c>
      <c r="AC243" s="122"/>
      <c r="AD243" s="122"/>
      <c r="AE243" s="129">
        <v>0.82023148148148151</v>
      </c>
      <c r="AF243" s="122" t="s">
        <v>141</v>
      </c>
      <c r="AG243" s="139" t="s">
        <v>148</v>
      </c>
    </row>
    <row r="244" spans="1:33" x14ac:dyDescent="0.3">
      <c r="A244" s="121">
        <v>1044162</v>
      </c>
      <c r="B244" s="122" t="s">
        <v>162</v>
      </c>
      <c r="C244" s="122" t="s">
        <v>66</v>
      </c>
      <c r="D244" s="123">
        <v>46123</v>
      </c>
      <c r="E244" s="123">
        <v>46123</v>
      </c>
      <c r="F244" s="122"/>
      <c r="G244" s="122">
        <v>880</v>
      </c>
      <c r="H244" s="122" t="s">
        <v>132</v>
      </c>
      <c r="I244" s="122">
        <v>3684</v>
      </c>
      <c r="J244" s="122">
        <v>482716</v>
      </c>
      <c r="K244" s="122">
        <v>3</v>
      </c>
      <c r="L244" s="122" t="s">
        <v>393</v>
      </c>
      <c r="M244" s="122" t="s">
        <v>160</v>
      </c>
      <c r="N244" s="122" t="s">
        <v>161</v>
      </c>
      <c r="O244" s="123">
        <v>46123</v>
      </c>
      <c r="P244" s="158">
        <v>659</v>
      </c>
      <c r="Q244" s="158" t="s">
        <v>67</v>
      </c>
      <c r="R244" s="158">
        <v>30.58</v>
      </c>
      <c r="S244" s="158">
        <v>3.89</v>
      </c>
      <c r="T244" s="158">
        <v>0.7</v>
      </c>
      <c r="U244" s="158">
        <v>627.72</v>
      </c>
      <c r="V244" s="163">
        <v>0</v>
      </c>
      <c r="W244" s="122"/>
      <c r="X244" s="162">
        <v>20260413</v>
      </c>
      <c r="Y244" s="122"/>
      <c r="Z244" s="122" t="s">
        <v>142</v>
      </c>
      <c r="AA244" s="122">
        <v>3908900</v>
      </c>
      <c r="AB244" s="122" t="s">
        <v>148</v>
      </c>
      <c r="AC244" s="122" t="s">
        <v>151</v>
      </c>
      <c r="AD244" s="122"/>
      <c r="AE244" s="129">
        <v>0.83082175925925927</v>
      </c>
      <c r="AF244" s="122" t="s">
        <v>141</v>
      </c>
      <c r="AG244" s="139" t="s">
        <v>148</v>
      </c>
    </row>
    <row r="245" spans="1:33" x14ac:dyDescent="0.3">
      <c r="A245" s="121">
        <v>1044162</v>
      </c>
      <c r="B245" s="122" t="s">
        <v>162</v>
      </c>
      <c r="C245" s="122" t="s">
        <v>66</v>
      </c>
      <c r="D245" s="123">
        <v>46123</v>
      </c>
      <c r="E245" s="123">
        <v>46123</v>
      </c>
      <c r="F245" s="122"/>
      <c r="G245" s="122">
        <v>880</v>
      </c>
      <c r="H245" s="122" t="s">
        <v>132</v>
      </c>
      <c r="I245" s="122">
        <v>3688</v>
      </c>
      <c r="J245" s="122">
        <v>530291</v>
      </c>
      <c r="K245" s="122"/>
      <c r="L245" s="122" t="s">
        <v>394</v>
      </c>
      <c r="M245" s="122" t="s">
        <v>160</v>
      </c>
      <c r="N245" s="122" t="s">
        <v>161</v>
      </c>
      <c r="O245" s="123">
        <v>46123</v>
      </c>
      <c r="P245" s="158">
        <v>459</v>
      </c>
      <c r="Q245" s="158" t="s">
        <v>67</v>
      </c>
      <c r="R245" s="158">
        <v>13.27</v>
      </c>
      <c r="S245" s="158">
        <v>5.93</v>
      </c>
      <c r="T245" s="158">
        <v>1.07</v>
      </c>
      <c r="U245" s="158">
        <v>444.66</v>
      </c>
      <c r="V245" s="163">
        <v>0</v>
      </c>
      <c r="W245" s="122"/>
      <c r="X245" s="162">
        <v>20260413</v>
      </c>
      <c r="Y245" s="122"/>
      <c r="Z245" s="122" t="s">
        <v>139</v>
      </c>
      <c r="AA245" s="122">
        <v>3908900</v>
      </c>
      <c r="AB245" s="122" t="s">
        <v>148</v>
      </c>
      <c r="AC245" s="122"/>
      <c r="AD245" s="122"/>
      <c r="AE245" s="129">
        <v>0.83961805555555558</v>
      </c>
      <c r="AF245" s="122" t="s">
        <v>141</v>
      </c>
      <c r="AG245" s="139" t="s">
        <v>148</v>
      </c>
    </row>
    <row r="246" spans="1:33" x14ac:dyDescent="0.3">
      <c r="A246" s="121">
        <v>1044162</v>
      </c>
      <c r="B246" s="122" t="s">
        <v>162</v>
      </c>
      <c r="C246" s="122" t="s">
        <v>66</v>
      </c>
      <c r="D246" s="123">
        <v>46123</v>
      </c>
      <c r="E246" s="123">
        <v>46123</v>
      </c>
      <c r="F246" s="122"/>
      <c r="G246" s="122">
        <v>880</v>
      </c>
      <c r="H246" s="122" t="s">
        <v>132</v>
      </c>
      <c r="I246" s="122">
        <v>3690</v>
      </c>
      <c r="J246" s="122">
        <v>185520</v>
      </c>
      <c r="K246" s="122"/>
      <c r="L246" s="122" t="s">
        <v>395</v>
      </c>
      <c r="M246" s="122" t="s">
        <v>160</v>
      </c>
      <c r="N246" s="122" t="s">
        <v>161</v>
      </c>
      <c r="O246" s="123">
        <v>46123</v>
      </c>
      <c r="P246" s="158">
        <v>89</v>
      </c>
      <c r="Q246" s="158" t="s">
        <v>67</v>
      </c>
      <c r="R246" s="158">
        <v>2.57</v>
      </c>
      <c r="S246" s="158">
        <v>1.1499999999999999</v>
      </c>
      <c r="T246" s="158">
        <v>0.21</v>
      </c>
      <c r="U246" s="158">
        <v>86.22</v>
      </c>
      <c r="V246" s="163">
        <v>0</v>
      </c>
      <c r="W246" s="122"/>
      <c r="X246" s="162">
        <v>20260413</v>
      </c>
      <c r="Y246" s="122"/>
      <c r="Z246" s="122" t="s">
        <v>139</v>
      </c>
      <c r="AA246" s="122">
        <v>3908900</v>
      </c>
      <c r="AB246" s="122" t="s">
        <v>145</v>
      </c>
      <c r="AC246" s="122"/>
      <c r="AD246" s="122"/>
      <c r="AE246" s="129">
        <v>0.8421643518518519</v>
      </c>
      <c r="AF246" s="122" t="s">
        <v>141</v>
      </c>
      <c r="AG246" s="139" t="s">
        <v>148</v>
      </c>
    </row>
    <row r="247" spans="1:33" x14ac:dyDescent="0.3">
      <c r="A247" s="121">
        <v>1044162</v>
      </c>
      <c r="B247" s="122" t="s">
        <v>162</v>
      </c>
      <c r="C247" s="122" t="s">
        <v>66</v>
      </c>
      <c r="D247" s="123">
        <v>46123</v>
      </c>
      <c r="E247" s="123">
        <v>46123</v>
      </c>
      <c r="F247" s="122"/>
      <c r="G247" s="122">
        <v>880</v>
      </c>
      <c r="H247" s="122" t="s">
        <v>132</v>
      </c>
      <c r="I247" s="122">
        <v>3693</v>
      </c>
      <c r="J247" s="122">
        <v>272089</v>
      </c>
      <c r="K247" s="122"/>
      <c r="L247" s="122" t="s">
        <v>396</v>
      </c>
      <c r="M247" s="122" t="s">
        <v>160</v>
      </c>
      <c r="N247" s="122" t="s">
        <v>161</v>
      </c>
      <c r="O247" s="123">
        <v>46123</v>
      </c>
      <c r="P247" s="158">
        <v>629</v>
      </c>
      <c r="Q247" s="158" t="s">
        <v>67</v>
      </c>
      <c r="R247" s="158">
        <v>18.18</v>
      </c>
      <c r="S247" s="158">
        <v>8.1199999999999992</v>
      </c>
      <c r="T247" s="158">
        <v>1.46</v>
      </c>
      <c r="U247" s="158">
        <v>609.36</v>
      </c>
      <c r="V247" s="163">
        <v>0</v>
      </c>
      <c r="W247" s="122"/>
      <c r="X247" s="162">
        <v>20260413</v>
      </c>
      <c r="Y247" s="122"/>
      <c r="Z247" s="122" t="s">
        <v>139</v>
      </c>
      <c r="AA247" s="122">
        <v>3908900</v>
      </c>
      <c r="AB247" s="122" t="s">
        <v>155</v>
      </c>
      <c r="AC247" s="122"/>
      <c r="AD247" s="122"/>
      <c r="AE247" s="129">
        <v>0.87475694444444441</v>
      </c>
      <c r="AF247" s="122" t="s">
        <v>141</v>
      </c>
      <c r="AG247" s="139" t="s">
        <v>148</v>
      </c>
    </row>
    <row r="248" spans="1:33" x14ac:dyDescent="0.3">
      <c r="A248" s="121">
        <v>1044162</v>
      </c>
      <c r="B248" s="122" t="s">
        <v>162</v>
      </c>
      <c r="C248" s="122" t="s">
        <v>66</v>
      </c>
      <c r="D248" s="123">
        <v>46123</v>
      </c>
      <c r="E248" s="123">
        <v>46123</v>
      </c>
      <c r="F248" s="122"/>
      <c r="G248" s="122">
        <v>880</v>
      </c>
      <c r="H248" s="122" t="s">
        <v>132</v>
      </c>
      <c r="I248" s="122">
        <v>3695</v>
      </c>
      <c r="J248" s="122">
        <v>822009</v>
      </c>
      <c r="K248" s="122"/>
      <c r="L248" s="122" t="s">
        <v>397</v>
      </c>
      <c r="M248" s="122" t="s">
        <v>160</v>
      </c>
      <c r="N248" s="122" t="s">
        <v>161</v>
      </c>
      <c r="O248" s="123">
        <v>46123</v>
      </c>
      <c r="P248" s="158">
        <v>688</v>
      </c>
      <c r="Q248" s="158" t="s">
        <v>67</v>
      </c>
      <c r="R248" s="158">
        <v>19.88</v>
      </c>
      <c r="S248" s="158">
        <v>5.43</v>
      </c>
      <c r="T248" s="158">
        <v>0.98</v>
      </c>
      <c r="U248" s="158">
        <v>667.14</v>
      </c>
      <c r="V248" s="163">
        <v>0</v>
      </c>
      <c r="W248" s="122"/>
      <c r="X248" s="162">
        <v>20260413</v>
      </c>
      <c r="Y248" s="122"/>
      <c r="Z248" s="122" t="s">
        <v>142</v>
      </c>
      <c r="AA248" s="122">
        <v>3908900</v>
      </c>
      <c r="AB248" s="122" t="s">
        <v>149</v>
      </c>
      <c r="AC248" s="122"/>
      <c r="AD248" s="122"/>
      <c r="AE248" s="129">
        <v>0.87890046296296298</v>
      </c>
      <c r="AF248" s="122" t="s">
        <v>141</v>
      </c>
      <c r="AG248" s="139" t="s">
        <v>148</v>
      </c>
    </row>
    <row r="249" spans="1:33" x14ac:dyDescent="0.3">
      <c r="A249" s="121">
        <v>1044162</v>
      </c>
      <c r="B249" s="122" t="s">
        <v>162</v>
      </c>
      <c r="C249" s="122" t="s">
        <v>66</v>
      </c>
      <c r="D249" s="123">
        <v>46123</v>
      </c>
      <c r="E249" s="123">
        <v>46123</v>
      </c>
      <c r="F249" s="122"/>
      <c r="G249" s="122">
        <v>880</v>
      </c>
      <c r="H249" s="122" t="s">
        <v>132</v>
      </c>
      <c r="I249" s="122">
        <v>3697</v>
      </c>
      <c r="J249" s="122">
        <v>327766</v>
      </c>
      <c r="K249" s="122"/>
      <c r="L249" s="122" t="s">
        <v>398</v>
      </c>
      <c r="M249" s="122" t="s">
        <v>160</v>
      </c>
      <c r="N249" s="122" t="s">
        <v>161</v>
      </c>
      <c r="O249" s="123">
        <v>46123</v>
      </c>
      <c r="P249" s="158">
        <v>408.5</v>
      </c>
      <c r="Q249" s="158" t="s">
        <v>67</v>
      </c>
      <c r="R249" s="158">
        <v>11.81</v>
      </c>
      <c r="S249" s="158">
        <v>5.27</v>
      </c>
      <c r="T249" s="158">
        <v>0.95</v>
      </c>
      <c r="U249" s="158">
        <v>395.74</v>
      </c>
      <c r="V249" s="163">
        <v>0</v>
      </c>
      <c r="W249" s="122"/>
      <c r="X249" s="162">
        <v>20260413</v>
      </c>
      <c r="Y249" s="122"/>
      <c r="Z249" s="122" t="s">
        <v>139</v>
      </c>
      <c r="AA249" s="122">
        <v>3908900</v>
      </c>
      <c r="AB249" s="122" t="s">
        <v>145</v>
      </c>
      <c r="AC249" s="122"/>
      <c r="AD249" s="122"/>
      <c r="AE249" s="129">
        <v>0.89739583333333339</v>
      </c>
      <c r="AF249" s="122" t="s">
        <v>141</v>
      </c>
      <c r="AG249" s="139" t="s">
        <v>148</v>
      </c>
    </row>
    <row r="250" spans="1:33" x14ac:dyDescent="0.3">
      <c r="A250" s="121">
        <v>1044162</v>
      </c>
      <c r="B250" s="122" t="s">
        <v>162</v>
      </c>
      <c r="C250" s="122" t="s">
        <v>66</v>
      </c>
      <c r="D250" s="123">
        <v>46123</v>
      </c>
      <c r="E250" s="123">
        <v>46123</v>
      </c>
      <c r="F250" s="122"/>
      <c r="G250" s="122">
        <v>880</v>
      </c>
      <c r="H250" s="122" t="s">
        <v>132</v>
      </c>
      <c r="I250" s="122">
        <v>3701</v>
      </c>
      <c r="J250" s="122">
        <v>383</v>
      </c>
      <c r="K250" s="122"/>
      <c r="L250" s="122" t="s">
        <v>399</v>
      </c>
      <c r="M250" s="122" t="s">
        <v>160</v>
      </c>
      <c r="N250" s="122" t="s">
        <v>161</v>
      </c>
      <c r="O250" s="123">
        <v>46123</v>
      </c>
      <c r="P250" s="158">
        <v>629</v>
      </c>
      <c r="Q250" s="158" t="s">
        <v>67</v>
      </c>
      <c r="R250" s="158">
        <v>18.18</v>
      </c>
      <c r="S250" s="158">
        <v>3.71</v>
      </c>
      <c r="T250" s="158">
        <v>0.67</v>
      </c>
      <c r="U250" s="158">
        <v>610.15</v>
      </c>
      <c r="V250" s="161">
        <v>25415.360000000001</v>
      </c>
      <c r="W250" s="123">
        <v>46125</v>
      </c>
      <c r="X250" s="162">
        <v>20260413</v>
      </c>
      <c r="Y250" s="122">
        <v>104101</v>
      </c>
      <c r="Z250" s="122" t="s">
        <v>142</v>
      </c>
      <c r="AA250" s="122">
        <v>3908900</v>
      </c>
      <c r="AB250" s="122" t="s">
        <v>145</v>
      </c>
      <c r="AC250" s="122"/>
      <c r="AD250" s="122"/>
      <c r="AE250" s="129">
        <v>0.90335648148148151</v>
      </c>
      <c r="AF250" s="122" t="s">
        <v>141</v>
      </c>
      <c r="AG250" s="139" t="s">
        <v>148</v>
      </c>
    </row>
    <row r="251" spans="1:33" x14ac:dyDescent="0.3">
      <c r="A251" s="121">
        <v>1044162</v>
      </c>
      <c r="B251" s="122" t="s">
        <v>167</v>
      </c>
      <c r="C251" s="122" t="s">
        <v>66</v>
      </c>
      <c r="D251" s="123">
        <v>46123</v>
      </c>
      <c r="E251" s="123">
        <v>46123</v>
      </c>
      <c r="F251" s="122"/>
      <c r="G251" s="122">
        <v>880</v>
      </c>
      <c r="H251" s="122" t="s">
        <v>132</v>
      </c>
      <c r="I251" s="122">
        <v>3646</v>
      </c>
      <c r="J251" s="122">
        <v>60494</v>
      </c>
      <c r="K251" s="122">
        <v>3</v>
      </c>
      <c r="L251" s="122" t="s">
        <v>400</v>
      </c>
      <c r="M251" s="122" t="s">
        <v>160</v>
      </c>
      <c r="N251" s="122" t="s">
        <v>161</v>
      </c>
      <c r="O251" s="123">
        <v>46123</v>
      </c>
      <c r="P251" s="158">
        <v>629</v>
      </c>
      <c r="Q251" s="158" t="s">
        <v>67</v>
      </c>
      <c r="R251" s="158">
        <v>18.18</v>
      </c>
      <c r="S251" s="158">
        <v>4.97</v>
      </c>
      <c r="T251" s="158">
        <v>0.89</v>
      </c>
      <c r="U251" s="158">
        <v>609.92999999999995</v>
      </c>
      <c r="V251" s="161">
        <v>609.92999999999995</v>
      </c>
      <c r="W251" s="123">
        <v>46125</v>
      </c>
      <c r="X251" s="162">
        <v>20260413</v>
      </c>
      <c r="Y251" s="122">
        <v>104101</v>
      </c>
      <c r="Z251" s="122" t="s">
        <v>142</v>
      </c>
      <c r="AA251" s="122">
        <v>3908900</v>
      </c>
      <c r="AB251" s="122" t="s">
        <v>538</v>
      </c>
      <c r="AC251" s="122" t="s">
        <v>144</v>
      </c>
      <c r="AD251" s="122"/>
      <c r="AE251" s="129">
        <v>0.66216435185185185</v>
      </c>
      <c r="AF251" s="122" t="s">
        <v>141</v>
      </c>
      <c r="AG251" s="139" t="s">
        <v>148</v>
      </c>
    </row>
    <row r="252" spans="1:33" x14ac:dyDescent="0.3">
      <c r="A252" s="121">
        <v>1044162</v>
      </c>
      <c r="B252" s="122" t="s">
        <v>159</v>
      </c>
      <c r="C252" s="122" t="s">
        <v>66</v>
      </c>
      <c r="D252" s="123">
        <v>46124</v>
      </c>
      <c r="E252" s="123">
        <v>46124</v>
      </c>
      <c r="F252" s="122"/>
      <c r="G252" s="122">
        <v>881</v>
      </c>
      <c r="H252" s="122" t="s">
        <v>132</v>
      </c>
      <c r="I252" s="122">
        <v>3728</v>
      </c>
      <c r="J252" s="122">
        <v>433670</v>
      </c>
      <c r="K252" s="122"/>
      <c r="L252" s="122" t="s">
        <v>401</v>
      </c>
      <c r="M252" s="122" t="s">
        <v>160</v>
      </c>
      <c r="N252" s="122" t="s">
        <v>161</v>
      </c>
      <c r="O252" s="123">
        <v>46124</v>
      </c>
      <c r="P252" s="158">
        <v>659</v>
      </c>
      <c r="Q252" s="158" t="s">
        <v>67</v>
      </c>
      <c r="R252" s="158">
        <v>19.05</v>
      </c>
      <c r="S252" s="158">
        <v>5.21</v>
      </c>
      <c r="T252" s="158">
        <v>0.94</v>
      </c>
      <c r="U252" s="158">
        <v>639.01</v>
      </c>
      <c r="V252" s="161">
        <v>639.01</v>
      </c>
      <c r="W252" s="123">
        <v>46125</v>
      </c>
      <c r="X252" s="162">
        <v>20260413</v>
      </c>
      <c r="Y252" s="122">
        <v>104101</v>
      </c>
      <c r="Z252" s="122" t="s">
        <v>142</v>
      </c>
      <c r="AA252" s="122">
        <v>3908900</v>
      </c>
      <c r="AB252" s="122" t="s">
        <v>143</v>
      </c>
      <c r="AC252" s="122"/>
      <c r="AD252" s="122"/>
      <c r="AE252" s="129">
        <v>0.62016203703703698</v>
      </c>
      <c r="AF252" s="122" t="s">
        <v>141</v>
      </c>
      <c r="AG252" s="139" t="s">
        <v>148</v>
      </c>
    </row>
    <row r="253" spans="1:33" x14ac:dyDescent="0.3">
      <c r="A253" s="121">
        <v>1044162</v>
      </c>
      <c r="B253" s="122" t="s">
        <v>162</v>
      </c>
      <c r="C253" s="122" t="s">
        <v>66</v>
      </c>
      <c r="D253" s="123">
        <v>46124</v>
      </c>
      <c r="E253" s="123">
        <v>46124</v>
      </c>
      <c r="F253" s="122"/>
      <c r="G253" s="122">
        <v>881</v>
      </c>
      <c r="H253" s="122" t="s">
        <v>132</v>
      </c>
      <c r="I253" s="122">
        <v>3708</v>
      </c>
      <c r="J253" s="122">
        <v>904211</v>
      </c>
      <c r="K253" s="122"/>
      <c r="L253" s="122" t="s">
        <v>402</v>
      </c>
      <c r="M253" s="122" t="s">
        <v>160</v>
      </c>
      <c r="N253" s="122" t="s">
        <v>161</v>
      </c>
      <c r="O253" s="123">
        <v>46124</v>
      </c>
      <c r="P253" s="158">
        <v>3199</v>
      </c>
      <c r="Q253" s="158" t="s">
        <v>67</v>
      </c>
      <c r="R253" s="158">
        <v>92.45</v>
      </c>
      <c r="S253" s="158">
        <v>25.27</v>
      </c>
      <c r="T253" s="158">
        <v>4.55</v>
      </c>
      <c r="U253" s="158">
        <v>3102</v>
      </c>
      <c r="V253" s="163">
        <v>0</v>
      </c>
      <c r="W253" s="122"/>
      <c r="X253" s="162">
        <v>20260413</v>
      </c>
      <c r="Y253" s="122"/>
      <c r="Z253" s="122" t="s">
        <v>142</v>
      </c>
      <c r="AA253" s="122">
        <v>3908900</v>
      </c>
      <c r="AB253" s="122" t="s">
        <v>149</v>
      </c>
      <c r="AC253" s="122"/>
      <c r="AD253" s="122"/>
      <c r="AE253" s="129">
        <v>0.44518518518518518</v>
      </c>
      <c r="AF253" s="122" t="s">
        <v>141</v>
      </c>
      <c r="AG253" s="139" t="s">
        <v>148</v>
      </c>
    </row>
    <row r="254" spans="1:33" x14ac:dyDescent="0.3">
      <c r="A254" s="121">
        <v>1044162</v>
      </c>
      <c r="B254" s="122" t="s">
        <v>162</v>
      </c>
      <c r="C254" s="122" t="s">
        <v>66</v>
      </c>
      <c r="D254" s="123">
        <v>46124</v>
      </c>
      <c r="E254" s="123">
        <v>46124</v>
      </c>
      <c r="F254" s="122"/>
      <c r="G254" s="122">
        <v>881</v>
      </c>
      <c r="H254" s="122" t="s">
        <v>132</v>
      </c>
      <c r="I254" s="122">
        <v>3710</v>
      </c>
      <c r="J254" s="122">
        <v>491089</v>
      </c>
      <c r="K254" s="122"/>
      <c r="L254" s="122" t="s">
        <v>403</v>
      </c>
      <c r="M254" s="122" t="s">
        <v>160</v>
      </c>
      <c r="N254" s="122" t="s">
        <v>161</v>
      </c>
      <c r="O254" s="123">
        <v>46124</v>
      </c>
      <c r="P254" s="158">
        <v>169.9</v>
      </c>
      <c r="Q254" s="158" t="s">
        <v>67</v>
      </c>
      <c r="R254" s="158">
        <v>4.91</v>
      </c>
      <c r="S254" s="158">
        <v>2.19</v>
      </c>
      <c r="T254" s="158">
        <v>0.39</v>
      </c>
      <c r="U254" s="158">
        <v>164.6</v>
      </c>
      <c r="V254" s="163">
        <v>0</v>
      </c>
      <c r="W254" s="122"/>
      <c r="X254" s="162">
        <v>20260413</v>
      </c>
      <c r="Y254" s="122"/>
      <c r="Z254" s="122" t="s">
        <v>139</v>
      </c>
      <c r="AA254" s="122">
        <v>3908900</v>
      </c>
      <c r="AB254" s="122" t="s">
        <v>145</v>
      </c>
      <c r="AC254" s="122"/>
      <c r="AD254" s="122"/>
      <c r="AE254" s="129">
        <v>0.47509259259259262</v>
      </c>
      <c r="AF254" s="122" t="s">
        <v>141</v>
      </c>
      <c r="AG254" s="139" t="s">
        <v>148</v>
      </c>
    </row>
    <row r="255" spans="1:33" x14ac:dyDescent="0.3">
      <c r="A255" s="121">
        <v>1044162</v>
      </c>
      <c r="B255" s="122" t="s">
        <v>162</v>
      </c>
      <c r="C255" s="122" t="s">
        <v>66</v>
      </c>
      <c r="D255" s="123">
        <v>46124</v>
      </c>
      <c r="E255" s="123">
        <v>46124</v>
      </c>
      <c r="F255" s="122"/>
      <c r="G255" s="122">
        <v>881</v>
      </c>
      <c r="H255" s="122" t="s">
        <v>132</v>
      </c>
      <c r="I255" s="122">
        <v>3712</v>
      </c>
      <c r="J255" s="122">
        <v>905896</v>
      </c>
      <c r="K255" s="122"/>
      <c r="L255" s="122" t="s">
        <v>404</v>
      </c>
      <c r="M255" s="122" t="s">
        <v>160</v>
      </c>
      <c r="N255" s="122" t="s">
        <v>161</v>
      </c>
      <c r="O255" s="123">
        <v>46124</v>
      </c>
      <c r="P255" s="158">
        <v>3199</v>
      </c>
      <c r="Q255" s="158" t="s">
        <v>67</v>
      </c>
      <c r="R255" s="158">
        <v>92.45</v>
      </c>
      <c r="S255" s="158">
        <v>41.27</v>
      </c>
      <c r="T255" s="158">
        <v>7.43</v>
      </c>
      <c r="U255" s="158">
        <v>3099.12</v>
      </c>
      <c r="V255" s="163">
        <v>0</v>
      </c>
      <c r="W255" s="122"/>
      <c r="X255" s="162">
        <v>20260413</v>
      </c>
      <c r="Y255" s="122"/>
      <c r="Z255" s="122" t="s">
        <v>139</v>
      </c>
      <c r="AA255" s="122">
        <v>3908900</v>
      </c>
      <c r="AB255" s="122" t="s">
        <v>145</v>
      </c>
      <c r="AC255" s="122"/>
      <c r="AD255" s="122"/>
      <c r="AE255" s="129">
        <v>0.49913194444444442</v>
      </c>
      <c r="AF255" s="122" t="s">
        <v>141</v>
      </c>
      <c r="AG255" s="139" t="s">
        <v>148</v>
      </c>
    </row>
    <row r="256" spans="1:33" x14ac:dyDescent="0.3">
      <c r="A256" s="121">
        <v>1044162</v>
      </c>
      <c r="B256" s="122" t="s">
        <v>162</v>
      </c>
      <c r="C256" s="122" t="s">
        <v>66</v>
      </c>
      <c r="D256" s="123">
        <v>46124</v>
      </c>
      <c r="E256" s="123">
        <v>46124</v>
      </c>
      <c r="F256" s="122"/>
      <c r="G256" s="122">
        <v>881</v>
      </c>
      <c r="H256" s="122" t="s">
        <v>132</v>
      </c>
      <c r="I256" s="122">
        <v>3714</v>
      </c>
      <c r="J256" s="122">
        <v>4844</v>
      </c>
      <c r="K256" s="122"/>
      <c r="L256" s="122" t="s">
        <v>405</v>
      </c>
      <c r="M256" s="122" t="s">
        <v>160</v>
      </c>
      <c r="N256" s="122" t="s">
        <v>161</v>
      </c>
      <c r="O256" s="123">
        <v>46124</v>
      </c>
      <c r="P256" s="158">
        <v>1699</v>
      </c>
      <c r="Q256" s="158" t="s">
        <v>67</v>
      </c>
      <c r="R256" s="158">
        <v>49.1</v>
      </c>
      <c r="S256" s="158">
        <v>13.42</v>
      </c>
      <c r="T256" s="158">
        <v>2.42</v>
      </c>
      <c r="U256" s="158">
        <v>1647.48</v>
      </c>
      <c r="V256" s="163">
        <v>0</v>
      </c>
      <c r="W256" s="122"/>
      <c r="X256" s="162">
        <v>20260413</v>
      </c>
      <c r="Y256" s="122"/>
      <c r="Z256" s="122" t="s">
        <v>142</v>
      </c>
      <c r="AA256" s="122">
        <v>3908900</v>
      </c>
      <c r="AB256" s="122" t="s">
        <v>145</v>
      </c>
      <c r="AC256" s="122"/>
      <c r="AD256" s="122"/>
      <c r="AE256" s="129">
        <v>0.50643518518518515</v>
      </c>
      <c r="AF256" s="122" t="s">
        <v>141</v>
      </c>
      <c r="AG256" s="139" t="s">
        <v>148</v>
      </c>
    </row>
    <row r="257" spans="1:33" x14ac:dyDescent="0.3">
      <c r="A257" s="121">
        <v>1044162</v>
      </c>
      <c r="B257" s="122" t="s">
        <v>162</v>
      </c>
      <c r="C257" s="122" t="s">
        <v>66</v>
      </c>
      <c r="D257" s="123">
        <v>46124</v>
      </c>
      <c r="E257" s="123">
        <v>46124</v>
      </c>
      <c r="F257" s="122"/>
      <c r="G257" s="122">
        <v>881</v>
      </c>
      <c r="H257" s="122" t="s">
        <v>132</v>
      </c>
      <c r="I257" s="122">
        <v>3716</v>
      </c>
      <c r="J257" s="122">
        <v>937061</v>
      </c>
      <c r="K257" s="122"/>
      <c r="L257" s="122" t="s">
        <v>406</v>
      </c>
      <c r="M257" s="122" t="s">
        <v>160</v>
      </c>
      <c r="N257" s="122" t="s">
        <v>161</v>
      </c>
      <c r="O257" s="123">
        <v>46124</v>
      </c>
      <c r="P257" s="158">
        <v>629</v>
      </c>
      <c r="Q257" s="158" t="s">
        <v>67</v>
      </c>
      <c r="R257" s="158">
        <v>18.18</v>
      </c>
      <c r="S257" s="158">
        <v>8.1199999999999992</v>
      </c>
      <c r="T257" s="158">
        <v>1.46</v>
      </c>
      <c r="U257" s="158">
        <v>609.36</v>
      </c>
      <c r="V257" s="163">
        <v>0</v>
      </c>
      <c r="W257" s="122"/>
      <c r="X257" s="162">
        <v>20260413</v>
      </c>
      <c r="Y257" s="122"/>
      <c r="Z257" s="122" t="s">
        <v>139</v>
      </c>
      <c r="AA257" s="122">
        <v>3908900</v>
      </c>
      <c r="AB257" s="122" t="s">
        <v>155</v>
      </c>
      <c r="AC257" s="122"/>
      <c r="AD257" s="122"/>
      <c r="AE257" s="129">
        <v>0.5131134259259259</v>
      </c>
      <c r="AF257" s="122" t="s">
        <v>141</v>
      </c>
      <c r="AG257" s="139" t="s">
        <v>148</v>
      </c>
    </row>
    <row r="258" spans="1:33" x14ac:dyDescent="0.3">
      <c r="A258" s="121">
        <v>1044162</v>
      </c>
      <c r="B258" s="122" t="s">
        <v>162</v>
      </c>
      <c r="C258" s="122" t="s">
        <v>66</v>
      </c>
      <c r="D258" s="123">
        <v>46124</v>
      </c>
      <c r="E258" s="123">
        <v>46124</v>
      </c>
      <c r="F258" s="122"/>
      <c r="G258" s="122">
        <v>881</v>
      </c>
      <c r="H258" s="122" t="s">
        <v>132</v>
      </c>
      <c r="I258" s="122">
        <v>3718</v>
      </c>
      <c r="J258" s="122">
        <v>321448</v>
      </c>
      <c r="K258" s="122"/>
      <c r="L258" s="122" t="s">
        <v>407</v>
      </c>
      <c r="M258" s="122" t="s">
        <v>160</v>
      </c>
      <c r="N258" s="122" t="s">
        <v>161</v>
      </c>
      <c r="O258" s="123">
        <v>46124</v>
      </c>
      <c r="P258" s="158">
        <v>359</v>
      </c>
      <c r="Q258" s="158" t="s">
        <v>67</v>
      </c>
      <c r="R258" s="158">
        <v>10.38</v>
      </c>
      <c r="S258" s="158">
        <v>2.12</v>
      </c>
      <c r="T258" s="158">
        <v>0.38</v>
      </c>
      <c r="U258" s="158">
        <v>348.24</v>
      </c>
      <c r="V258" s="163">
        <v>0</v>
      </c>
      <c r="W258" s="122"/>
      <c r="X258" s="162">
        <v>20260413</v>
      </c>
      <c r="Y258" s="122"/>
      <c r="Z258" s="122" t="s">
        <v>142</v>
      </c>
      <c r="AA258" s="122">
        <v>3908900</v>
      </c>
      <c r="AB258" s="122" t="s">
        <v>147</v>
      </c>
      <c r="AC258" s="122"/>
      <c r="AD258" s="122"/>
      <c r="AE258" s="129">
        <v>0.52228009259259256</v>
      </c>
      <c r="AF258" s="122" t="s">
        <v>141</v>
      </c>
      <c r="AG258" s="139" t="s">
        <v>148</v>
      </c>
    </row>
    <row r="259" spans="1:33" x14ac:dyDescent="0.3">
      <c r="A259" s="121">
        <v>1044162</v>
      </c>
      <c r="B259" s="122" t="s">
        <v>162</v>
      </c>
      <c r="C259" s="122" t="s">
        <v>66</v>
      </c>
      <c r="D259" s="123">
        <v>46124</v>
      </c>
      <c r="E259" s="123">
        <v>46124</v>
      </c>
      <c r="F259" s="122"/>
      <c r="G259" s="122">
        <v>881</v>
      </c>
      <c r="H259" s="122" t="s">
        <v>132</v>
      </c>
      <c r="I259" s="122">
        <v>3720</v>
      </c>
      <c r="J259" s="122">
        <v>49977</v>
      </c>
      <c r="K259" s="122"/>
      <c r="L259" s="122" t="s">
        <v>408</v>
      </c>
      <c r="M259" s="122" t="s">
        <v>160</v>
      </c>
      <c r="N259" s="122" t="s">
        <v>161</v>
      </c>
      <c r="O259" s="123">
        <v>46124</v>
      </c>
      <c r="P259" s="158">
        <v>1049</v>
      </c>
      <c r="Q259" s="158" t="s">
        <v>67</v>
      </c>
      <c r="R259" s="158">
        <v>30.32</v>
      </c>
      <c r="S259" s="158">
        <v>13.54</v>
      </c>
      <c r="T259" s="158">
        <v>2.44</v>
      </c>
      <c r="U259" s="158">
        <v>1016.24</v>
      </c>
      <c r="V259" s="163">
        <v>0</v>
      </c>
      <c r="W259" s="122"/>
      <c r="X259" s="162">
        <v>20260413</v>
      </c>
      <c r="Y259" s="122"/>
      <c r="Z259" s="122" t="s">
        <v>139</v>
      </c>
      <c r="AA259" s="122">
        <v>3908900</v>
      </c>
      <c r="AB259" s="122" t="s">
        <v>152</v>
      </c>
      <c r="AC259" s="122"/>
      <c r="AD259" s="122"/>
      <c r="AE259" s="129">
        <v>0.54674768518518524</v>
      </c>
      <c r="AF259" s="122" t="s">
        <v>141</v>
      </c>
      <c r="AG259" s="139" t="s">
        <v>148</v>
      </c>
    </row>
    <row r="260" spans="1:33" x14ac:dyDescent="0.3">
      <c r="A260" s="121">
        <v>1044162</v>
      </c>
      <c r="B260" s="122" t="s">
        <v>162</v>
      </c>
      <c r="C260" s="122" t="s">
        <v>66</v>
      </c>
      <c r="D260" s="123">
        <v>46124</v>
      </c>
      <c r="E260" s="123">
        <v>46124</v>
      </c>
      <c r="F260" s="122"/>
      <c r="G260" s="122">
        <v>881</v>
      </c>
      <c r="H260" s="122" t="s">
        <v>132</v>
      </c>
      <c r="I260" s="122">
        <v>3722</v>
      </c>
      <c r="J260" s="122">
        <v>55012</v>
      </c>
      <c r="K260" s="122"/>
      <c r="L260" s="122" t="s">
        <v>408</v>
      </c>
      <c r="M260" s="122" t="s">
        <v>160</v>
      </c>
      <c r="N260" s="122" t="s">
        <v>161</v>
      </c>
      <c r="O260" s="123">
        <v>46124</v>
      </c>
      <c r="P260" s="158">
        <v>179</v>
      </c>
      <c r="Q260" s="158" t="s">
        <v>67</v>
      </c>
      <c r="R260" s="158">
        <v>5.17</v>
      </c>
      <c r="S260" s="158">
        <v>2.31</v>
      </c>
      <c r="T260" s="158">
        <v>0.42</v>
      </c>
      <c r="U260" s="158">
        <v>173.41</v>
      </c>
      <c r="V260" s="163">
        <v>0</v>
      </c>
      <c r="W260" s="122"/>
      <c r="X260" s="162">
        <v>20260413</v>
      </c>
      <c r="Y260" s="122"/>
      <c r="Z260" s="122" t="s">
        <v>139</v>
      </c>
      <c r="AA260" s="122">
        <v>3908900</v>
      </c>
      <c r="AB260" s="122" t="s">
        <v>152</v>
      </c>
      <c r="AC260" s="122"/>
      <c r="AD260" s="122"/>
      <c r="AE260" s="129">
        <v>0.56567129629629631</v>
      </c>
      <c r="AF260" s="122" t="s">
        <v>141</v>
      </c>
      <c r="AG260" s="139" t="s">
        <v>148</v>
      </c>
    </row>
    <row r="261" spans="1:33" x14ac:dyDescent="0.3">
      <c r="A261" s="121">
        <v>1044162</v>
      </c>
      <c r="B261" s="122" t="s">
        <v>162</v>
      </c>
      <c r="C261" s="122" t="s">
        <v>66</v>
      </c>
      <c r="D261" s="123">
        <v>46124</v>
      </c>
      <c r="E261" s="123">
        <v>46124</v>
      </c>
      <c r="F261" s="122"/>
      <c r="G261" s="122">
        <v>881</v>
      </c>
      <c r="H261" s="122" t="s">
        <v>132</v>
      </c>
      <c r="I261" s="122">
        <v>3724</v>
      </c>
      <c r="J261" s="122">
        <v>958911</v>
      </c>
      <c r="K261" s="122">
        <v>2</v>
      </c>
      <c r="L261" s="122" t="s">
        <v>409</v>
      </c>
      <c r="M261" s="122" t="s">
        <v>160</v>
      </c>
      <c r="N261" s="122" t="s">
        <v>161</v>
      </c>
      <c r="O261" s="123">
        <v>46124</v>
      </c>
      <c r="P261" s="158">
        <v>629</v>
      </c>
      <c r="Q261" s="158" t="s">
        <v>67</v>
      </c>
      <c r="R261" s="158">
        <v>18.18</v>
      </c>
      <c r="S261" s="158">
        <v>3.71</v>
      </c>
      <c r="T261" s="158">
        <v>0.67</v>
      </c>
      <c r="U261" s="158">
        <v>610.15</v>
      </c>
      <c r="V261" s="163">
        <v>0</v>
      </c>
      <c r="W261" s="122"/>
      <c r="X261" s="162">
        <v>20260413</v>
      </c>
      <c r="Y261" s="122"/>
      <c r="Z261" s="122" t="s">
        <v>142</v>
      </c>
      <c r="AA261" s="122">
        <v>3908900</v>
      </c>
      <c r="AB261" s="122" t="s">
        <v>149</v>
      </c>
      <c r="AC261" s="122" t="s">
        <v>144</v>
      </c>
      <c r="AD261" s="122"/>
      <c r="AE261" s="129">
        <v>0.60313657407407406</v>
      </c>
      <c r="AF261" s="122" t="s">
        <v>141</v>
      </c>
      <c r="AG261" s="139" t="s">
        <v>148</v>
      </c>
    </row>
    <row r="262" spans="1:33" x14ac:dyDescent="0.3">
      <c r="A262" s="121">
        <v>1044162</v>
      </c>
      <c r="B262" s="122" t="s">
        <v>162</v>
      </c>
      <c r="C262" s="122" t="s">
        <v>66</v>
      </c>
      <c r="D262" s="123">
        <v>46124</v>
      </c>
      <c r="E262" s="123">
        <v>46124</v>
      </c>
      <c r="F262" s="122"/>
      <c r="G262" s="122">
        <v>881</v>
      </c>
      <c r="H262" s="122" t="s">
        <v>132</v>
      </c>
      <c r="I262" s="122">
        <v>3726</v>
      </c>
      <c r="J262" s="122">
        <v>484735</v>
      </c>
      <c r="K262" s="122">
        <v>3</v>
      </c>
      <c r="L262" s="122" t="s">
        <v>410</v>
      </c>
      <c r="M262" s="122" t="s">
        <v>160</v>
      </c>
      <c r="N262" s="122" t="s">
        <v>161</v>
      </c>
      <c r="O262" s="123">
        <v>46124</v>
      </c>
      <c r="P262" s="158">
        <v>1799</v>
      </c>
      <c r="Q262" s="158" t="s">
        <v>67</v>
      </c>
      <c r="R262" s="158">
        <v>83.47</v>
      </c>
      <c r="S262" s="158">
        <v>10.61</v>
      </c>
      <c r="T262" s="158">
        <v>1.91</v>
      </c>
      <c r="U262" s="158">
        <v>1713.62</v>
      </c>
      <c r="V262" s="163">
        <v>0</v>
      </c>
      <c r="W262" s="122"/>
      <c r="X262" s="162">
        <v>20260413</v>
      </c>
      <c r="Y262" s="122"/>
      <c r="Z262" s="122" t="s">
        <v>142</v>
      </c>
      <c r="AA262" s="122">
        <v>3908900</v>
      </c>
      <c r="AB262" s="122" t="s">
        <v>148</v>
      </c>
      <c r="AC262" s="122" t="s">
        <v>151</v>
      </c>
      <c r="AD262" s="122"/>
      <c r="AE262" s="129">
        <v>0.61508101851851849</v>
      </c>
      <c r="AF262" s="122" t="s">
        <v>141</v>
      </c>
      <c r="AG262" s="139" t="s">
        <v>148</v>
      </c>
    </row>
    <row r="263" spans="1:33" x14ac:dyDescent="0.3">
      <c r="A263" s="121">
        <v>1044162</v>
      </c>
      <c r="B263" s="122" t="s">
        <v>162</v>
      </c>
      <c r="C263" s="122" t="s">
        <v>66</v>
      </c>
      <c r="D263" s="123">
        <v>46124</v>
      </c>
      <c r="E263" s="123">
        <v>46124</v>
      </c>
      <c r="F263" s="122"/>
      <c r="G263" s="122">
        <v>881</v>
      </c>
      <c r="H263" s="122">
        <v>65656565</v>
      </c>
      <c r="I263" s="122">
        <v>3730</v>
      </c>
      <c r="J263" s="122">
        <v>71472</v>
      </c>
      <c r="K263" s="122"/>
      <c r="L263" s="122" t="s">
        <v>411</v>
      </c>
      <c r="M263" s="122" t="s">
        <v>160</v>
      </c>
      <c r="N263" s="122" t="s">
        <v>161</v>
      </c>
      <c r="O263" s="123">
        <v>46124</v>
      </c>
      <c r="P263" s="158">
        <v>294.89999999999998</v>
      </c>
      <c r="Q263" s="158" t="s">
        <v>67</v>
      </c>
      <c r="R263" s="158">
        <v>8.52</v>
      </c>
      <c r="S263" s="158">
        <v>3.8</v>
      </c>
      <c r="T263" s="158">
        <v>0.68</v>
      </c>
      <c r="U263" s="158">
        <v>285.7</v>
      </c>
      <c r="V263" s="163">
        <v>0</v>
      </c>
      <c r="W263" s="122"/>
      <c r="X263" s="162">
        <v>20260413</v>
      </c>
      <c r="Y263" s="122"/>
      <c r="Z263" s="122" t="s">
        <v>139</v>
      </c>
      <c r="AA263" s="122">
        <v>3908900</v>
      </c>
      <c r="AB263" s="122" t="s">
        <v>147</v>
      </c>
      <c r="AC263" s="122"/>
      <c r="AD263" s="122" t="s">
        <v>154</v>
      </c>
      <c r="AE263" s="129">
        <v>0.62339120370370371</v>
      </c>
      <c r="AF263" s="122" t="s">
        <v>141</v>
      </c>
      <c r="AG263" s="139" t="s">
        <v>148</v>
      </c>
    </row>
    <row r="264" spans="1:33" x14ac:dyDescent="0.3">
      <c r="A264" s="121">
        <v>1044162</v>
      </c>
      <c r="B264" s="122" t="s">
        <v>162</v>
      </c>
      <c r="C264" s="122" t="s">
        <v>66</v>
      </c>
      <c r="D264" s="123">
        <v>46124</v>
      </c>
      <c r="E264" s="123">
        <v>46124</v>
      </c>
      <c r="F264" s="122"/>
      <c r="G264" s="122">
        <v>881</v>
      </c>
      <c r="H264" s="122" t="s">
        <v>132</v>
      </c>
      <c r="I264" s="122">
        <v>3742</v>
      </c>
      <c r="J264" s="122">
        <v>977695</v>
      </c>
      <c r="K264" s="122"/>
      <c r="L264" s="122" t="s">
        <v>412</v>
      </c>
      <c r="M264" s="122" t="s">
        <v>160</v>
      </c>
      <c r="N264" s="122" t="s">
        <v>161</v>
      </c>
      <c r="O264" s="123">
        <v>46124</v>
      </c>
      <c r="P264" s="158">
        <v>459</v>
      </c>
      <c r="Q264" s="158" t="s">
        <v>67</v>
      </c>
      <c r="R264" s="158">
        <v>13.27</v>
      </c>
      <c r="S264" s="158">
        <v>5.93</v>
      </c>
      <c r="T264" s="158">
        <v>1.07</v>
      </c>
      <c r="U264" s="158">
        <v>444.66</v>
      </c>
      <c r="V264" s="163">
        <v>0</v>
      </c>
      <c r="W264" s="122"/>
      <c r="X264" s="162">
        <v>20260413</v>
      </c>
      <c r="Y264" s="122"/>
      <c r="Z264" s="122" t="s">
        <v>139</v>
      </c>
      <c r="AA264" s="122">
        <v>3908900</v>
      </c>
      <c r="AB264" s="122" t="s">
        <v>155</v>
      </c>
      <c r="AC264" s="122"/>
      <c r="AD264" s="122"/>
      <c r="AE264" s="129">
        <v>0.68833333333333335</v>
      </c>
      <c r="AF264" s="122" t="s">
        <v>141</v>
      </c>
      <c r="AG264" s="139" t="s">
        <v>148</v>
      </c>
    </row>
    <row r="265" spans="1:33" x14ac:dyDescent="0.3">
      <c r="A265" s="121">
        <v>1044162</v>
      </c>
      <c r="B265" s="122" t="s">
        <v>162</v>
      </c>
      <c r="C265" s="122" t="s">
        <v>66</v>
      </c>
      <c r="D265" s="123">
        <v>46124</v>
      </c>
      <c r="E265" s="123">
        <v>46124</v>
      </c>
      <c r="F265" s="122"/>
      <c r="G265" s="122">
        <v>881</v>
      </c>
      <c r="H265" s="122" t="s">
        <v>132</v>
      </c>
      <c r="I265" s="122">
        <v>3744</v>
      </c>
      <c r="J265" s="122">
        <v>939066</v>
      </c>
      <c r="K265" s="122"/>
      <c r="L265" s="122" t="s">
        <v>413</v>
      </c>
      <c r="M265" s="122" t="s">
        <v>160</v>
      </c>
      <c r="N265" s="122" t="s">
        <v>161</v>
      </c>
      <c r="O265" s="123">
        <v>46124</v>
      </c>
      <c r="P265" s="158">
        <v>60</v>
      </c>
      <c r="Q265" s="158" t="s">
        <v>67</v>
      </c>
      <c r="R265" s="158">
        <v>1.73</v>
      </c>
      <c r="S265" s="158">
        <v>0.77</v>
      </c>
      <c r="T265" s="158">
        <v>0.14000000000000001</v>
      </c>
      <c r="U265" s="158">
        <v>58.13</v>
      </c>
      <c r="V265" s="163">
        <v>0</v>
      </c>
      <c r="W265" s="122"/>
      <c r="X265" s="162">
        <v>20260413</v>
      </c>
      <c r="Y265" s="122"/>
      <c r="Z265" s="122" t="s">
        <v>139</v>
      </c>
      <c r="AA265" s="122">
        <v>3908900</v>
      </c>
      <c r="AB265" s="122" t="s">
        <v>155</v>
      </c>
      <c r="AC265" s="122"/>
      <c r="AD265" s="122"/>
      <c r="AE265" s="129">
        <v>0.68929398148148147</v>
      </c>
      <c r="AF265" s="122" t="s">
        <v>141</v>
      </c>
      <c r="AG265" s="139" t="s">
        <v>148</v>
      </c>
    </row>
    <row r="266" spans="1:33" x14ac:dyDescent="0.3">
      <c r="A266" s="121">
        <v>1044162</v>
      </c>
      <c r="B266" s="122" t="s">
        <v>162</v>
      </c>
      <c r="C266" s="122" t="s">
        <v>66</v>
      </c>
      <c r="D266" s="123">
        <v>46124</v>
      </c>
      <c r="E266" s="123">
        <v>46124</v>
      </c>
      <c r="F266" s="122"/>
      <c r="G266" s="122">
        <v>881</v>
      </c>
      <c r="H266" s="122" t="s">
        <v>132</v>
      </c>
      <c r="I266" s="122">
        <v>3746</v>
      </c>
      <c r="J266" s="122">
        <v>163406</v>
      </c>
      <c r="K266" s="122"/>
      <c r="L266" s="122" t="s">
        <v>166</v>
      </c>
      <c r="M266" s="122" t="s">
        <v>160</v>
      </c>
      <c r="N266" s="122" t="s">
        <v>161</v>
      </c>
      <c r="O266" s="123">
        <v>46124</v>
      </c>
      <c r="P266" s="158">
        <v>399</v>
      </c>
      <c r="Q266" s="158" t="s">
        <v>67</v>
      </c>
      <c r="R266" s="158">
        <v>11.53</v>
      </c>
      <c r="S266" s="158">
        <v>3.15</v>
      </c>
      <c r="T266" s="158">
        <v>0.56999999999999995</v>
      </c>
      <c r="U266" s="158">
        <v>386.9</v>
      </c>
      <c r="V266" s="163">
        <v>0</v>
      </c>
      <c r="W266" s="122"/>
      <c r="X266" s="162">
        <v>20260413</v>
      </c>
      <c r="Y266" s="122"/>
      <c r="Z266" s="122" t="s">
        <v>139</v>
      </c>
      <c r="AA266" s="122">
        <v>3908900</v>
      </c>
      <c r="AB266" s="122" t="s">
        <v>147</v>
      </c>
      <c r="AC266" s="122"/>
      <c r="AD266" s="122"/>
      <c r="AE266" s="129">
        <v>0.6896296296296297</v>
      </c>
      <c r="AF266" s="122" t="s">
        <v>141</v>
      </c>
      <c r="AG266" s="139" t="s">
        <v>148</v>
      </c>
    </row>
    <row r="267" spans="1:33" x14ac:dyDescent="0.3">
      <c r="A267" s="121">
        <v>1044162</v>
      </c>
      <c r="B267" s="122" t="s">
        <v>162</v>
      </c>
      <c r="C267" s="122" t="s">
        <v>66</v>
      </c>
      <c r="D267" s="123">
        <v>46124</v>
      </c>
      <c r="E267" s="123">
        <v>46124</v>
      </c>
      <c r="F267" s="122"/>
      <c r="G267" s="122">
        <v>881</v>
      </c>
      <c r="H267" s="122" t="s">
        <v>132</v>
      </c>
      <c r="I267" s="122">
        <v>3748</v>
      </c>
      <c r="J267" s="122">
        <v>889610</v>
      </c>
      <c r="K267" s="122"/>
      <c r="L267" s="122" t="s">
        <v>414</v>
      </c>
      <c r="M267" s="122" t="s">
        <v>160</v>
      </c>
      <c r="N267" s="122" t="s">
        <v>161</v>
      </c>
      <c r="O267" s="123">
        <v>46124</v>
      </c>
      <c r="P267" s="158">
        <v>89</v>
      </c>
      <c r="Q267" s="158" t="s">
        <v>67</v>
      </c>
      <c r="R267" s="158">
        <v>2.57</v>
      </c>
      <c r="S267" s="158">
        <v>1.1499999999999999</v>
      </c>
      <c r="T267" s="158">
        <v>0.21</v>
      </c>
      <c r="U267" s="158">
        <v>86.22</v>
      </c>
      <c r="V267" s="163">
        <v>0</v>
      </c>
      <c r="W267" s="122"/>
      <c r="X267" s="162">
        <v>20260413</v>
      </c>
      <c r="Y267" s="122"/>
      <c r="Z267" s="122" t="s">
        <v>139</v>
      </c>
      <c r="AA267" s="122">
        <v>3908900</v>
      </c>
      <c r="AB267" s="122" t="s">
        <v>148</v>
      </c>
      <c r="AC267" s="122"/>
      <c r="AD267" s="122"/>
      <c r="AE267" s="129">
        <v>0.70734953703703696</v>
      </c>
      <c r="AF267" s="122" t="s">
        <v>141</v>
      </c>
      <c r="AG267" s="139" t="s">
        <v>148</v>
      </c>
    </row>
    <row r="268" spans="1:33" x14ac:dyDescent="0.3">
      <c r="A268" s="121">
        <v>1044162</v>
      </c>
      <c r="B268" s="122" t="s">
        <v>162</v>
      </c>
      <c r="C268" s="122" t="s">
        <v>66</v>
      </c>
      <c r="D268" s="123">
        <v>46124</v>
      </c>
      <c r="E268" s="123">
        <v>46124</v>
      </c>
      <c r="F268" s="122"/>
      <c r="G268" s="122">
        <v>881</v>
      </c>
      <c r="H268" s="122" t="s">
        <v>132</v>
      </c>
      <c r="I268" s="122">
        <v>3750</v>
      </c>
      <c r="J268" s="122">
        <v>58972</v>
      </c>
      <c r="K268" s="122"/>
      <c r="L268" s="122" t="s">
        <v>415</v>
      </c>
      <c r="M268" s="122" t="s">
        <v>160</v>
      </c>
      <c r="N268" s="122" t="s">
        <v>161</v>
      </c>
      <c r="O268" s="123">
        <v>46124</v>
      </c>
      <c r="P268" s="158">
        <v>629</v>
      </c>
      <c r="Q268" s="158" t="s">
        <v>67</v>
      </c>
      <c r="R268" s="158">
        <v>18.18</v>
      </c>
      <c r="S268" s="158">
        <v>8.1199999999999992</v>
      </c>
      <c r="T268" s="158">
        <v>1.46</v>
      </c>
      <c r="U268" s="158">
        <v>609.36</v>
      </c>
      <c r="V268" s="163">
        <v>0</v>
      </c>
      <c r="W268" s="122"/>
      <c r="X268" s="162">
        <v>20260413</v>
      </c>
      <c r="Y268" s="122"/>
      <c r="Z268" s="122" t="s">
        <v>139</v>
      </c>
      <c r="AA268" s="122">
        <v>3908900</v>
      </c>
      <c r="AB268" s="122" t="s">
        <v>145</v>
      </c>
      <c r="AC268" s="122"/>
      <c r="AD268" s="122"/>
      <c r="AE268" s="129">
        <v>0.72479166666666661</v>
      </c>
      <c r="AF268" s="122" t="s">
        <v>141</v>
      </c>
      <c r="AG268" s="139" t="s">
        <v>148</v>
      </c>
    </row>
    <row r="269" spans="1:33" x14ac:dyDescent="0.3">
      <c r="A269" s="121">
        <v>1044162</v>
      </c>
      <c r="B269" s="122" t="s">
        <v>162</v>
      </c>
      <c r="C269" s="122" t="s">
        <v>66</v>
      </c>
      <c r="D269" s="123">
        <v>46124</v>
      </c>
      <c r="E269" s="123">
        <v>46124</v>
      </c>
      <c r="F269" s="122"/>
      <c r="G269" s="122">
        <v>881</v>
      </c>
      <c r="H269" s="122" t="s">
        <v>132</v>
      </c>
      <c r="I269" s="122">
        <v>3752</v>
      </c>
      <c r="J269" s="122">
        <v>436529</v>
      </c>
      <c r="K269" s="122"/>
      <c r="L269" s="122" t="s">
        <v>416</v>
      </c>
      <c r="M269" s="122" t="s">
        <v>160</v>
      </c>
      <c r="N269" s="122" t="s">
        <v>161</v>
      </c>
      <c r="O269" s="123">
        <v>46124</v>
      </c>
      <c r="P269" s="158">
        <v>129</v>
      </c>
      <c r="Q269" s="158" t="s">
        <v>67</v>
      </c>
      <c r="R269" s="158">
        <v>3.73</v>
      </c>
      <c r="S269" s="158">
        <v>1.67</v>
      </c>
      <c r="T269" s="158">
        <v>0.3</v>
      </c>
      <c r="U269" s="158">
        <v>124.97</v>
      </c>
      <c r="V269" s="163">
        <v>0</v>
      </c>
      <c r="W269" s="122"/>
      <c r="X269" s="162">
        <v>20260413</v>
      </c>
      <c r="Y269" s="122"/>
      <c r="Z269" s="122" t="s">
        <v>139</v>
      </c>
      <c r="AA269" s="122">
        <v>3908900</v>
      </c>
      <c r="AB269" s="122" t="s">
        <v>145</v>
      </c>
      <c r="AC269" s="122"/>
      <c r="AD269" s="122"/>
      <c r="AE269" s="129">
        <v>0.72674768518518518</v>
      </c>
      <c r="AF269" s="122" t="s">
        <v>141</v>
      </c>
      <c r="AG269" s="139" t="s">
        <v>148</v>
      </c>
    </row>
    <row r="270" spans="1:33" x14ac:dyDescent="0.3">
      <c r="A270" s="121">
        <v>1044162</v>
      </c>
      <c r="B270" s="122" t="s">
        <v>162</v>
      </c>
      <c r="C270" s="122" t="s">
        <v>66</v>
      </c>
      <c r="D270" s="123">
        <v>46124</v>
      </c>
      <c r="E270" s="123">
        <v>46124</v>
      </c>
      <c r="F270" s="122"/>
      <c r="G270" s="122">
        <v>881</v>
      </c>
      <c r="H270" s="122" t="s">
        <v>132</v>
      </c>
      <c r="I270" s="122">
        <v>3754</v>
      </c>
      <c r="J270" s="122">
        <v>987933</v>
      </c>
      <c r="K270" s="122"/>
      <c r="L270" s="122" t="s">
        <v>417</v>
      </c>
      <c r="M270" s="122" t="s">
        <v>160</v>
      </c>
      <c r="N270" s="122" t="s">
        <v>161</v>
      </c>
      <c r="O270" s="123">
        <v>46124</v>
      </c>
      <c r="P270" s="158">
        <v>1799</v>
      </c>
      <c r="Q270" s="158" t="s">
        <v>67</v>
      </c>
      <c r="R270" s="158">
        <v>51.99</v>
      </c>
      <c r="S270" s="158">
        <v>23.21</v>
      </c>
      <c r="T270" s="158">
        <v>4.18</v>
      </c>
      <c r="U270" s="158">
        <v>1742.83</v>
      </c>
      <c r="V270" s="163">
        <v>0</v>
      </c>
      <c r="W270" s="122"/>
      <c r="X270" s="162">
        <v>20260413</v>
      </c>
      <c r="Y270" s="122"/>
      <c r="Z270" s="122" t="s">
        <v>139</v>
      </c>
      <c r="AA270" s="122">
        <v>3908900</v>
      </c>
      <c r="AB270" s="122" t="s">
        <v>145</v>
      </c>
      <c r="AC270" s="122"/>
      <c r="AD270" s="122"/>
      <c r="AE270" s="129">
        <v>0.73627314814814815</v>
      </c>
      <c r="AF270" s="122" t="s">
        <v>141</v>
      </c>
      <c r="AG270" s="139" t="s">
        <v>148</v>
      </c>
    </row>
    <row r="271" spans="1:33" x14ac:dyDescent="0.3">
      <c r="A271" s="121">
        <v>1044162</v>
      </c>
      <c r="B271" s="122" t="s">
        <v>162</v>
      </c>
      <c r="C271" s="122" t="s">
        <v>66</v>
      </c>
      <c r="D271" s="123">
        <v>46124</v>
      </c>
      <c r="E271" s="123">
        <v>46124</v>
      </c>
      <c r="F271" s="122"/>
      <c r="G271" s="122">
        <v>881</v>
      </c>
      <c r="H271" s="122" t="s">
        <v>132</v>
      </c>
      <c r="I271" s="122">
        <v>3756</v>
      </c>
      <c r="J271" s="122">
        <v>23585</v>
      </c>
      <c r="K271" s="122"/>
      <c r="L271" s="122" t="s">
        <v>418</v>
      </c>
      <c r="M271" s="122" t="s">
        <v>160</v>
      </c>
      <c r="N271" s="122" t="s">
        <v>161</v>
      </c>
      <c r="O271" s="123">
        <v>46124</v>
      </c>
      <c r="P271" s="158">
        <v>188.7</v>
      </c>
      <c r="Q271" s="158" t="s">
        <v>67</v>
      </c>
      <c r="R271" s="158">
        <v>5.45</v>
      </c>
      <c r="S271" s="158">
        <v>2.4300000000000002</v>
      </c>
      <c r="T271" s="158">
        <v>0.44</v>
      </c>
      <c r="U271" s="158">
        <v>182.81</v>
      </c>
      <c r="V271" s="163">
        <v>0</v>
      </c>
      <c r="W271" s="122"/>
      <c r="X271" s="162">
        <v>20260413</v>
      </c>
      <c r="Y271" s="122"/>
      <c r="Z271" s="122" t="s">
        <v>139</v>
      </c>
      <c r="AA271" s="122">
        <v>3908900</v>
      </c>
      <c r="AB271" s="122" t="s">
        <v>148</v>
      </c>
      <c r="AC271" s="122"/>
      <c r="AD271" s="122"/>
      <c r="AE271" s="129">
        <v>0.73986111111111119</v>
      </c>
      <c r="AF271" s="122" t="s">
        <v>141</v>
      </c>
      <c r="AG271" s="139" t="s">
        <v>148</v>
      </c>
    </row>
    <row r="272" spans="1:33" x14ac:dyDescent="0.3">
      <c r="A272" s="121">
        <v>1044162</v>
      </c>
      <c r="B272" s="122" t="s">
        <v>162</v>
      </c>
      <c r="C272" s="122" t="s">
        <v>66</v>
      </c>
      <c r="D272" s="123">
        <v>46124</v>
      </c>
      <c r="E272" s="123">
        <v>46124</v>
      </c>
      <c r="F272" s="122"/>
      <c r="G272" s="122">
        <v>881</v>
      </c>
      <c r="H272" s="122" t="s">
        <v>132</v>
      </c>
      <c r="I272" s="122">
        <v>3758</v>
      </c>
      <c r="J272" s="122">
        <v>174700</v>
      </c>
      <c r="K272" s="122"/>
      <c r="L272" s="122" t="s">
        <v>165</v>
      </c>
      <c r="M272" s="122" t="s">
        <v>160</v>
      </c>
      <c r="N272" s="122" t="s">
        <v>161</v>
      </c>
      <c r="O272" s="123">
        <v>46124</v>
      </c>
      <c r="P272" s="158">
        <v>440.3</v>
      </c>
      <c r="Q272" s="158" t="s">
        <v>67</v>
      </c>
      <c r="R272" s="158">
        <v>12.72</v>
      </c>
      <c r="S272" s="158">
        <v>3.47</v>
      </c>
      <c r="T272" s="158">
        <v>0.62</v>
      </c>
      <c r="U272" s="158">
        <v>426.96</v>
      </c>
      <c r="V272" s="163">
        <v>0</v>
      </c>
      <c r="W272" s="122"/>
      <c r="X272" s="162">
        <v>20260413</v>
      </c>
      <c r="Y272" s="122"/>
      <c r="Z272" s="122" t="s">
        <v>139</v>
      </c>
      <c r="AA272" s="122">
        <v>3908900</v>
      </c>
      <c r="AB272" s="122" t="s">
        <v>147</v>
      </c>
      <c r="AC272" s="122"/>
      <c r="AD272" s="122"/>
      <c r="AE272" s="129">
        <v>0.74025462962962962</v>
      </c>
      <c r="AF272" s="122" t="s">
        <v>141</v>
      </c>
      <c r="AG272" s="139" t="s">
        <v>148</v>
      </c>
    </row>
    <row r="273" spans="1:33" x14ac:dyDescent="0.3">
      <c r="A273" s="121">
        <v>1044162</v>
      </c>
      <c r="B273" s="122" t="s">
        <v>162</v>
      </c>
      <c r="C273" s="122" t="s">
        <v>66</v>
      </c>
      <c r="D273" s="123">
        <v>46124</v>
      </c>
      <c r="E273" s="123">
        <v>46124</v>
      </c>
      <c r="F273" s="122"/>
      <c r="G273" s="122">
        <v>881</v>
      </c>
      <c r="H273" s="122" t="s">
        <v>132</v>
      </c>
      <c r="I273" s="122">
        <v>3760</v>
      </c>
      <c r="J273" s="122">
        <v>66525</v>
      </c>
      <c r="K273" s="122"/>
      <c r="L273" s="122" t="s">
        <v>419</v>
      </c>
      <c r="M273" s="122" t="s">
        <v>160</v>
      </c>
      <c r="N273" s="122" t="s">
        <v>161</v>
      </c>
      <c r="O273" s="123">
        <v>46124</v>
      </c>
      <c r="P273" s="158">
        <v>189.9</v>
      </c>
      <c r="Q273" s="158" t="s">
        <v>67</v>
      </c>
      <c r="R273" s="158">
        <v>5.49</v>
      </c>
      <c r="S273" s="158">
        <v>2.4500000000000002</v>
      </c>
      <c r="T273" s="158">
        <v>0.44</v>
      </c>
      <c r="U273" s="158">
        <v>183.97</v>
      </c>
      <c r="V273" s="163">
        <v>0</v>
      </c>
      <c r="W273" s="122"/>
      <c r="X273" s="162">
        <v>20260413</v>
      </c>
      <c r="Y273" s="122"/>
      <c r="Z273" s="122" t="s">
        <v>139</v>
      </c>
      <c r="AA273" s="122">
        <v>3908900</v>
      </c>
      <c r="AB273" s="122" t="s">
        <v>145</v>
      </c>
      <c r="AC273" s="122"/>
      <c r="AD273" s="122"/>
      <c r="AE273" s="129">
        <v>0.7464467592592593</v>
      </c>
      <c r="AF273" s="122" t="s">
        <v>141</v>
      </c>
      <c r="AG273" s="139" t="s">
        <v>148</v>
      </c>
    </row>
    <row r="274" spans="1:33" x14ac:dyDescent="0.3">
      <c r="A274" s="121">
        <v>1044162</v>
      </c>
      <c r="B274" s="122" t="s">
        <v>162</v>
      </c>
      <c r="C274" s="122" t="s">
        <v>66</v>
      </c>
      <c r="D274" s="123">
        <v>46124</v>
      </c>
      <c r="E274" s="123">
        <v>46124</v>
      </c>
      <c r="F274" s="122"/>
      <c r="G274" s="122">
        <v>881</v>
      </c>
      <c r="H274" s="122" t="s">
        <v>132</v>
      </c>
      <c r="I274" s="122">
        <v>3762</v>
      </c>
      <c r="J274" s="122">
        <v>6339</v>
      </c>
      <c r="K274" s="122">
        <v>3</v>
      </c>
      <c r="L274" s="122" t="s">
        <v>420</v>
      </c>
      <c r="M274" s="122" t="s">
        <v>160</v>
      </c>
      <c r="N274" s="122" t="s">
        <v>161</v>
      </c>
      <c r="O274" s="123">
        <v>46124</v>
      </c>
      <c r="P274" s="158">
        <v>629</v>
      </c>
      <c r="Q274" s="158" t="s">
        <v>67</v>
      </c>
      <c r="R274" s="158">
        <v>18.18</v>
      </c>
      <c r="S274" s="158">
        <v>4.97</v>
      </c>
      <c r="T274" s="158">
        <v>0.89</v>
      </c>
      <c r="U274" s="158">
        <v>609.92999999999995</v>
      </c>
      <c r="V274" s="163">
        <v>0</v>
      </c>
      <c r="W274" s="122"/>
      <c r="X274" s="162">
        <v>20260413</v>
      </c>
      <c r="Y274" s="122"/>
      <c r="Z274" s="122" t="s">
        <v>142</v>
      </c>
      <c r="AA274" s="122">
        <v>3908900</v>
      </c>
      <c r="AB274" s="122" t="s">
        <v>145</v>
      </c>
      <c r="AC274" s="122" t="s">
        <v>144</v>
      </c>
      <c r="AD274" s="122"/>
      <c r="AE274" s="129">
        <v>0.76193287037037039</v>
      </c>
      <c r="AF274" s="122" t="s">
        <v>141</v>
      </c>
      <c r="AG274" s="139" t="s">
        <v>148</v>
      </c>
    </row>
    <row r="275" spans="1:33" x14ac:dyDescent="0.3">
      <c r="A275" s="121">
        <v>1044162</v>
      </c>
      <c r="B275" s="122" t="s">
        <v>162</v>
      </c>
      <c r="C275" s="122" t="s">
        <v>66</v>
      </c>
      <c r="D275" s="123">
        <v>46124</v>
      </c>
      <c r="E275" s="123">
        <v>46124</v>
      </c>
      <c r="F275" s="122"/>
      <c r="G275" s="122">
        <v>881</v>
      </c>
      <c r="H275" s="122">
        <v>65656565</v>
      </c>
      <c r="I275" s="122">
        <v>3764</v>
      </c>
      <c r="J275" s="122">
        <v>453464</v>
      </c>
      <c r="K275" s="122"/>
      <c r="L275" s="122" t="s">
        <v>421</v>
      </c>
      <c r="M275" s="122" t="s">
        <v>160</v>
      </c>
      <c r="N275" s="122" t="s">
        <v>161</v>
      </c>
      <c r="O275" s="123">
        <v>46124</v>
      </c>
      <c r="P275" s="158">
        <v>500</v>
      </c>
      <c r="Q275" s="158" t="s">
        <v>67</v>
      </c>
      <c r="R275" s="158">
        <v>14.45</v>
      </c>
      <c r="S275" s="158">
        <v>6.45</v>
      </c>
      <c r="T275" s="158">
        <v>1.1599999999999999</v>
      </c>
      <c r="U275" s="158">
        <v>484.39</v>
      </c>
      <c r="V275" s="163">
        <v>0</v>
      </c>
      <c r="W275" s="122"/>
      <c r="X275" s="162">
        <v>20260413</v>
      </c>
      <c r="Y275" s="122"/>
      <c r="Z275" s="122" t="s">
        <v>139</v>
      </c>
      <c r="AA275" s="122">
        <v>3908900</v>
      </c>
      <c r="AB275" s="122" t="s">
        <v>147</v>
      </c>
      <c r="AC275" s="122"/>
      <c r="AD275" s="122" t="s">
        <v>154</v>
      </c>
      <c r="AE275" s="129">
        <v>0.77688657407407413</v>
      </c>
      <c r="AF275" s="122" t="s">
        <v>141</v>
      </c>
      <c r="AG275" s="139" t="s">
        <v>148</v>
      </c>
    </row>
    <row r="276" spans="1:33" x14ac:dyDescent="0.3">
      <c r="A276" s="121">
        <v>1044162</v>
      </c>
      <c r="B276" s="122" t="s">
        <v>162</v>
      </c>
      <c r="C276" s="122" t="s">
        <v>66</v>
      </c>
      <c r="D276" s="123">
        <v>46124</v>
      </c>
      <c r="E276" s="123">
        <v>46124</v>
      </c>
      <c r="F276" s="122"/>
      <c r="G276" s="122">
        <v>881</v>
      </c>
      <c r="H276" s="122">
        <v>65656565</v>
      </c>
      <c r="I276" s="122">
        <v>3767</v>
      </c>
      <c r="J276" s="122">
        <v>719207</v>
      </c>
      <c r="K276" s="122"/>
      <c r="L276" s="122" t="s">
        <v>421</v>
      </c>
      <c r="M276" s="122" t="s">
        <v>160</v>
      </c>
      <c r="N276" s="122" t="s">
        <v>161</v>
      </c>
      <c r="O276" s="123">
        <v>46124</v>
      </c>
      <c r="P276" s="158">
        <v>500</v>
      </c>
      <c r="Q276" s="158" t="s">
        <v>67</v>
      </c>
      <c r="R276" s="158">
        <v>14.45</v>
      </c>
      <c r="S276" s="158">
        <v>6.45</v>
      </c>
      <c r="T276" s="158">
        <v>1.1599999999999999</v>
      </c>
      <c r="U276" s="158">
        <v>484.39</v>
      </c>
      <c r="V276" s="163">
        <v>0</v>
      </c>
      <c r="W276" s="122"/>
      <c r="X276" s="162">
        <v>20260413</v>
      </c>
      <c r="Y276" s="122"/>
      <c r="Z276" s="122" t="s">
        <v>139</v>
      </c>
      <c r="AA276" s="122">
        <v>3908900</v>
      </c>
      <c r="AB276" s="122" t="s">
        <v>147</v>
      </c>
      <c r="AC276" s="122"/>
      <c r="AD276" s="122" t="s">
        <v>154</v>
      </c>
      <c r="AE276" s="129">
        <v>0.77795138888888893</v>
      </c>
      <c r="AF276" s="122" t="s">
        <v>141</v>
      </c>
      <c r="AG276" s="139" t="s">
        <v>148</v>
      </c>
    </row>
    <row r="277" spans="1:33" x14ac:dyDescent="0.3">
      <c r="A277" s="121">
        <v>1044162</v>
      </c>
      <c r="B277" s="122" t="s">
        <v>162</v>
      </c>
      <c r="C277" s="122" t="s">
        <v>66</v>
      </c>
      <c r="D277" s="123">
        <v>46124</v>
      </c>
      <c r="E277" s="123">
        <v>46124</v>
      </c>
      <c r="F277" s="122"/>
      <c r="G277" s="122">
        <v>881</v>
      </c>
      <c r="H277" s="122">
        <v>65656565</v>
      </c>
      <c r="I277" s="122">
        <v>3772</v>
      </c>
      <c r="J277" s="122">
        <v>938908</v>
      </c>
      <c r="K277" s="122"/>
      <c r="L277" s="122" t="s">
        <v>421</v>
      </c>
      <c r="M277" s="122" t="s">
        <v>160</v>
      </c>
      <c r="N277" s="122" t="s">
        <v>161</v>
      </c>
      <c r="O277" s="123">
        <v>46124</v>
      </c>
      <c r="P277" s="158">
        <v>240</v>
      </c>
      <c r="Q277" s="158" t="s">
        <v>67</v>
      </c>
      <c r="R277" s="158">
        <v>6.93</v>
      </c>
      <c r="S277" s="158">
        <v>3.09</v>
      </c>
      <c r="T277" s="158">
        <v>0.56000000000000005</v>
      </c>
      <c r="U277" s="158">
        <v>232.51</v>
      </c>
      <c r="V277" s="163">
        <v>0</v>
      </c>
      <c r="W277" s="122"/>
      <c r="X277" s="162">
        <v>20260413</v>
      </c>
      <c r="Y277" s="122"/>
      <c r="Z277" s="122" t="s">
        <v>139</v>
      </c>
      <c r="AA277" s="122">
        <v>3908900</v>
      </c>
      <c r="AB277" s="122" t="s">
        <v>147</v>
      </c>
      <c r="AC277" s="122"/>
      <c r="AD277" s="122" t="s">
        <v>154</v>
      </c>
      <c r="AE277" s="129">
        <v>0.77971064814814817</v>
      </c>
      <c r="AF277" s="122" t="s">
        <v>141</v>
      </c>
      <c r="AG277" s="139" t="s">
        <v>148</v>
      </c>
    </row>
    <row r="278" spans="1:33" x14ac:dyDescent="0.3">
      <c r="A278" s="121">
        <v>1044162</v>
      </c>
      <c r="B278" s="122" t="s">
        <v>162</v>
      </c>
      <c r="C278" s="122" t="s">
        <v>66</v>
      </c>
      <c r="D278" s="123">
        <v>46124</v>
      </c>
      <c r="E278" s="123">
        <v>46124</v>
      </c>
      <c r="F278" s="122"/>
      <c r="G278" s="122">
        <v>881</v>
      </c>
      <c r="H278" s="122">
        <v>65656565</v>
      </c>
      <c r="I278" s="122">
        <v>3775</v>
      </c>
      <c r="J278" s="122">
        <v>89182</v>
      </c>
      <c r="K278" s="122"/>
      <c r="L278" s="122" t="s">
        <v>422</v>
      </c>
      <c r="M278" s="122" t="s">
        <v>160</v>
      </c>
      <c r="N278" s="122" t="s">
        <v>161</v>
      </c>
      <c r="O278" s="123">
        <v>46124</v>
      </c>
      <c r="P278" s="158">
        <v>153.9</v>
      </c>
      <c r="Q278" s="158" t="s">
        <v>67</v>
      </c>
      <c r="R278" s="158">
        <v>4.4400000000000004</v>
      </c>
      <c r="S278" s="158">
        <v>1.98</v>
      </c>
      <c r="T278" s="158">
        <v>0.36</v>
      </c>
      <c r="U278" s="158">
        <v>149.1</v>
      </c>
      <c r="V278" s="163">
        <v>0</v>
      </c>
      <c r="W278" s="122"/>
      <c r="X278" s="162">
        <v>20260413</v>
      </c>
      <c r="Y278" s="122"/>
      <c r="Z278" s="122" t="s">
        <v>139</v>
      </c>
      <c r="AA278" s="122">
        <v>3908900</v>
      </c>
      <c r="AB278" s="122" t="s">
        <v>145</v>
      </c>
      <c r="AC278" s="122"/>
      <c r="AD278" s="122" t="s">
        <v>146</v>
      </c>
      <c r="AE278" s="129">
        <v>0.78460648148148149</v>
      </c>
      <c r="AF278" s="122" t="s">
        <v>141</v>
      </c>
      <c r="AG278" s="139" t="s">
        <v>148</v>
      </c>
    </row>
    <row r="279" spans="1:33" x14ac:dyDescent="0.3">
      <c r="A279" s="121">
        <v>1044162</v>
      </c>
      <c r="B279" s="122" t="s">
        <v>162</v>
      </c>
      <c r="C279" s="122" t="s">
        <v>66</v>
      </c>
      <c r="D279" s="123">
        <v>46124</v>
      </c>
      <c r="E279" s="123">
        <v>46124</v>
      </c>
      <c r="F279" s="122"/>
      <c r="G279" s="122">
        <v>881</v>
      </c>
      <c r="H279" s="122">
        <v>65656565</v>
      </c>
      <c r="I279" s="122">
        <v>3778</v>
      </c>
      <c r="J279" s="122">
        <v>219213</v>
      </c>
      <c r="K279" s="122"/>
      <c r="L279" s="122" t="s">
        <v>423</v>
      </c>
      <c r="M279" s="122" t="s">
        <v>160</v>
      </c>
      <c r="N279" s="122" t="s">
        <v>161</v>
      </c>
      <c r="O279" s="123">
        <v>46124</v>
      </c>
      <c r="P279" s="158">
        <v>429</v>
      </c>
      <c r="Q279" s="158" t="s">
        <v>67</v>
      </c>
      <c r="R279" s="158">
        <v>12.39</v>
      </c>
      <c r="S279" s="158">
        <v>5.53</v>
      </c>
      <c r="T279" s="158">
        <v>1</v>
      </c>
      <c r="U279" s="158">
        <v>415.61</v>
      </c>
      <c r="V279" s="163">
        <v>0</v>
      </c>
      <c r="W279" s="122"/>
      <c r="X279" s="162">
        <v>20260413</v>
      </c>
      <c r="Y279" s="122"/>
      <c r="Z279" s="122" t="s">
        <v>139</v>
      </c>
      <c r="AA279" s="122">
        <v>3908900</v>
      </c>
      <c r="AB279" s="122" t="s">
        <v>145</v>
      </c>
      <c r="AC279" s="122"/>
      <c r="AD279" s="122" t="s">
        <v>146</v>
      </c>
      <c r="AE279" s="129">
        <v>0.80005787037037035</v>
      </c>
      <c r="AF279" s="122" t="s">
        <v>141</v>
      </c>
      <c r="AG279" s="139" t="s">
        <v>148</v>
      </c>
    </row>
    <row r="280" spans="1:33" x14ac:dyDescent="0.3">
      <c r="A280" s="121">
        <v>1044162</v>
      </c>
      <c r="B280" s="122" t="s">
        <v>162</v>
      </c>
      <c r="C280" s="122" t="s">
        <v>66</v>
      </c>
      <c r="D280" s="123">
        <v>46124</v>
      </c>
      <c r="E280" s="123">
        <v>46124</v>
      </c>
      <c r="F280" s="122"/>
      <c r="G280" s="122">
        <v>881</v>
      </c>
      <c r="H280" s="122" t="s">
        <v>132</v>
      </c>
      <c r="I280" s="122">
        <v>3783</v>
      </c>
      <c r="J280" s="122">
        <v>649294</v>
      </c>
      <c r="K280" s="122"/>
      <c r="L280" s="122" t="s">
        <v>424</v>
      </c>
      <c r="M280" s="122" t="s">
        <v>160</v>
      </c>
      <c r="N280" s="122" t="s">
        <v>161</v>
      </c>
      <c r="O280" s="123">
        <v>46124</v>
      </c>
      <c r="P280" s="158">
        <v>629</v>
      </c>
      <c r="Q280" s="158" t="s">
        <v>67</v>
      </c>
      <c r="R280" s="158">
        <v>18.18</v>
      </c>
      <c r="S280" s="158">
        <v>8.1199999999999992</v>
      </c>
      <c r="T280" s="158">
        <v>1.46</v>
      </c>
      <c r="U280" s="158">
        <v>609.36</v>
      </c>
      <c r="V280" s="163">
        <v>0</v>
      </c>
      <c r="W280" s="122"/>
      <c r="X280" s="162">
        <v>20260413</v>
      </c>
      <c r="Y280" s="122"/>
      <c r="Z280" s="122" t="s">
        <v>139</v>
      </c>
      <c r="AA280" s="122">
        <v>3908900</v>
      </c>
      <c r="AB280" s="122" t="s">
        <v>145</v>
      </c>
      <c r="AC280" s="122"/>
      <c r="AD280" s="122"/>
      <c r="AE280" s="129">
        <v>0.82390046296296304</v>
      </c>
      <c r="AF280" s="122" t="s">
        <v>141</v>
      </c>
      <c r="AG280" s="139" t="s">
        <v>148</v>
      </c>
    </row>
    <row r="281" spans="1:33" x14ac:dyDescent="0.3">
      <c r="A281" s="121">
        <v>1044162</v>
      </c>
      <c r="B281" s="122" t="s">
        <v>162</v>
      </c>
      <c r="C281" s="122" t="s">
        <v>66</v>
      </c>
      <c r="D281" s="123">
        <v>46124</v>
      </c>
      <c r="E281" s="123">
        <v>46124</v>
      </c>
      <c r="F281" s="122"/>
      <c r="G281" s="122">
        <v>881</v>
      </c>
      <c r="H281" s="122" t="s">
        <v>132</v>
      </c>
      <c r="I281" s="122">
        <v>3789</v>
      </c>
      <c r="J281" s="122">
        <v>242286</v>
      </c>
      <c r="K281" s="122"/>
      <c r="L281" s="122" t="s">
        <v>425</v>
      </c>
      <c r="M281" s="122" t="s">
        <v>160</v>
      </c>
      <c r="N281" s="122" t="s">
        <v>161</v>
      </c>
      <c r="O281" s="123">
        <v>46124</v>
      </c>
      <c r="P281" s="158">
        <v>459</v>
      </c>
      <c r="Q281" s="158" t="s">
        <v>67</v>
      </c>
      <c r="R281" s="158">
        <v>13.27</v>
      </c>
      <c r="S281" s="158">
        <v>5.93</v>
      </c>
      <c r="T281" s="158">
        <v>1.07</v>
      </c>
      <c r="U281" s="158">
        <v>444.66</v>
      </c>
      <c r="V281" s="163">
        <v>0</v>
      </c>
      <c r="W281" s="122"/>
      <c r="X281" s="162">
        <v>20260413</v>
      </c>
      <c r="Y281" s="122"/>
      <c r="Z281" s="122" t="s">
        <v>139</v>
      </c>
      <c r="AA281" s="122">
        <v>3908900</v>
      </c>
      <c r="AB281" s="122" t="s">
        <v>145</v>
      </c>
      <c r="AC281" s="122"/>
      <c r="AD281" s="122"/>
      <c r="AE281" s="129">
        <v>0.82883101851851848</v>
      </c>
      <c r="AF281" s="122" t="s">
        <v>141</v>
      </c>
      <c r="AG281" s="139" t="s">
        <v>148</v>
      </c>
    </row>
    <row r="282" spans="1:33" x14ac:dyDescent="0.3">
      <c r="A282" s="121">
        <v>1044162</v>
      </c>
      <c r="B282" s="122" t="s">
        <v>162</v>
      </c>
      <c r="C282" s="122" t="s">
        <v>66</v>
      </c>
      <c r="D282" s="123">
        <v>46124</v>
      </c>
      <c r="E282" s="123">
        <v>46124</v>
      </c>
      <c r="F282" s="122"/>
      <c r="G282" s="122">
        <v>881</v>
      </c>
      <c r="H282" s="122">
        <v>65656565</v>
      </c>
      <c r="I282" s="122">
        <v>3791</v>
      </c>
      <c r="J282" s="122">
        <v>668093</v>
      </c>
      <c r="K282" s="122"/>
      <c r="L282" s="122" t="s">
        <v>426</v>
      </c>
      <c r="M282" s="122" t="s">
        <v>160</v>
      </c>
      <c r="N282" s="122" t="s">
        <v>161</v>
      </c>
      <c r="O282" s="123">
        <v>46124</v>
      </c>
      <c r="P282" s="158">
        <v>179.9</v>
      </c>
      <c r="Q282" s="158" t="s">
        <v>67</v>
      </c>
      <c r="R282" s="158">
        <v>5.19</v>
      </c>
      <c r="S282" s="158">
        <v>2.31</v>
      </c>
      <c r="T282" s="158">
        <v>0.42</v>
      </c>
      <c r="U282" s="158">
        <v>174.29</v>
      </c>
      <c r="V282" s="163">
        <v>0</v>
      </c>
      <c r="W282" s="122"/>
      <c r="X282" s="162">
        <v>20260413</v>
      </c>
      <c r="Y282" s="122"/>
      <c r="Z282" s="122" t="s">
        <v>139</v>
      </c>
      <c r="AA282" s="122">
        <v>3908900</v>
      </c>
      <c r="AB282" s="122" t="s">
        <v>145</v>
      </c>
      <c r="AC282" s="122"/>
      <c r="AD282" s="122" t="s">
        <v>146</v>
      </c>
      <c r="AE282" s="129">
        <v>0.8324421296296296</v>
      </c>
      <c r="AF282" s="122" t="s">
        <v>141</v>
      </c>
      <c r="AG282" s="139" t="s">
        <v>148</v>
      </c>
    </row>
    <row r="283" spans="1:33" x14ac:dyDescent="0.3">
      <c r="A283" s="121">
        <v>1044162</v>
      </c>
      <c r="B283" s="122" t="s">
        <v>162</v>
      </c>
      <c r="C283" s="122" t="s">
        <v>66</v>
      </c>
      <c r="D283" s="123">
        <v>46124</v>
      </c>
      <c r="E283" s="123">
        <v>46124</v>
      </c>
      <c r="F283" s="122"/>
      <c r="G283" s="122">
        <v>881</v>
      </c>
      <c r="H283" s="122" t="s">
        <v>132</v>
      </c>
      <c r="I283" s="122">
        <v>3794</v>
      </c>
      <c r="J283" s="122">
        <v>485208</v>
      </c>
      <c r="K283" s="122">
        <v>3</v>
      </c>
      <c r="L283" s="122" t="s">
        <v>427</v>
      </c>
      <c r="M283" s="122" t="s">
        <v>160</v>
      </c>
      <c r="N283" s="122" t="s">
        <v>161</v>
      </c>
      <c r="O283" s="123">
        <v>46124</v>
      </c>
      <c r="P283" s="158">
        <v>1498.8</v>
      </c>
      <c r="Q283" s="158" t="s">
        <v>67</v>
      </c>
      <c r="R283" s="158">
        <v>69.55</v>
      </c>
      <c r="S283" s="158">
        <v>11.85</v>
      </c>
      <c r="T283" s="158">
        <v>2.13</v>
      </c>
      <c r="U283" s="158">
        <v>1427.12</v>
      </c>
      <c r="V283" s="163">
        <v>0</v>
      </c>
      <c r="W283" s="122"/>
      <c r="X283" s="162">
        <v>20260413</v>
      </c>
      <c r="Y283" s="122"/>
      <c r="Z283" s="122" t="s">
        <v>142</v>
      </c>
      <c r="AA283" s="122">
        <v>3908900</v>
      </c>
      <c r="AB283" s="122" t="s">
        <v>148</v>
      </c>
      <c r="AC283" s="122" t="s">
        <v>151</v>
      </c>
      <c r="AD283" s="122"/>
      <c r="AE283" s="129">
        <v>0.85880787037037043</v>
      </c>
      <c r="AF283" s="122" t="s">
        <v>141</v>
      </c>
      <c r="AG283" s="139" t="s">
        <v>148</v>
      </c>
    </row>
    <row r="284" spans="1:33" x14ac:dyDescent="0.3">
      <c r="A284" s="121">
        <v>1044162</v>
      </c>
      <c r="B284" s="122" t="s">
        <v>162</v>
      </c>
      <c r="C284" s="122" t="s">
        <v>66</v>
      </c>
      <c r="D284" s="123">
        <v>46124</v>
      </c>
      <c r="E284" s="123">
        <v>46124</v>
      </c>
      <c r="F284" s="122"/>
      <c r="G284" s="122">
        <v>881</v>
      </c>
      <c r="H284" s="122" t="s">
        <v>132</v>
      </c>
      <c r="I284" s="122">
        <v>3796</v>
      </c>
      <c r="J284" s="122">
        <v>724931</v>
      </c>
      <c r="K284" s="122"/>
      <c r="L284" s="122" t="s">
        <v>428</v>
      </c>
      <c r="M284" s="122" t="s">
        <v>160</v>
      </c>
      <c r="N284" s="122" t="s">
        <v>161</v>
      </c>
      <c r="O284" s="123">
        <v>46124</v>
      </c>
      <c r="P284" s="158">
        <v>200.2</v>
      </c>
      <c r="Q284" s="158" t="s">
        <v>67</v>
      </c>
      <c r="R284" s="158">
        <v>5.79</v>
      </c>
      <c r="S284" s="158">
        <v>2.59</v>
      </c>
      <c r="T284" s="158">
        <v>0.47</v>
      </c>
      <c r="U284" s="158">
        <v>193.94</v>
      </c>
      <c r="V284" s="163">
        <v>0</v>
      </c>
      <c r="W284" s="122"/>
      <c r="X284" s="162">
        <v>20260413</v>
      </c>
      <c r="Y284" s="122"/>
      <c r="Z284" s="122" t="s">
        <v>139</v>
      </c>
      <c r="AA284" s="122">
        <v>3908900</v>
      </c>
      <c r="AB284" s="122" t="s">
        <v>145</v>
      </c>
      <c r="AC284" s="122"/>
      <c r="AD284" s="122"/>
      <c r="AE284" s="129">
        <v>0.85939814814814808</v>
      </c>
      <c r="AF284" s="122" t="s">
        <v>141</v>
      </c>
      <c r="AG284" s="139" t="s">
        <v>148</v>
      </c>
    </row>
    <row r="285" spans="1:33" x14ac:dyDescent="0.3">
      <c r="A285" s="121">
        <v>1044162</v>
      </c>
      <c r="B285" s="122" t="s">
        <v>162</v>
      </c>
      <c r="C285" s="122" t="s">
        <v>66</v>
      </c>
      <c r="D285" s="123">
        <v>46124</v>
      </c>
      <c r="E285" s="123">
        <v>46124</v>
      </c>
      <c r="F285" s="122"/>
      <c r="G285" s="122">
        <v>881</v>
      </c>
      <c r="H285" s="122" t="s">
        <v>132</v>
      </c>
      <c r="I285" s="122">
        <v>3798</v>
      </c>
      <c r="J285" s="122">
        <v>344631</v>
      </c>
      <c r="K285" s="122"/>
      <c r="L285" s="122" t="s">
        <v>429</v>
      </c>
      <c r="M285" s="122" t="s">
        <v>160</v>
      </c>
      <c r="N285" s="122" t="s">
        <v>161</v>
      </c>
      <c r="O285" s="123">
        <v>46124</v>
      </c>
      <c r="P285" s="158">
        <v>1149</v>
      </c>
      <c r="Q285" s="158" t="s">
        <v>67</v>
      </c>
      <c r="R285" s="158">
        <v>33.21</v>
      </c>
      <c r="S285" s="158">
        <v>14.83</v>
      </c>
      <c r="T285" s="158">
        <v>2.67</v>
      </c>
      <c r="U285" s="158">
        <v>1113.1199999999999</v>
      </c>
      <c r="V285" s="163">
        <v>0</v>
      </c>
      <c r="W285" s="122"/>
      <c r="X285" s="162">
        <v>20260413</v>
      </c>
      <c r="Y285" s="122"/>
      <c r="Z285" s="122" t="s">
        <v>139</v>
      </c>
      <c r="AA285" s="122">
        <v>3908900</v>
      </c>
      <c r="AB285" s="122" t="s">
        <v>155</v>
      </c>
      <c r="AC285" s="122"/>
      <c r="AD285" s="122"/>
      <c r="AE285" s="129">
        <v>0.8835763888888889</v>
      </c>
      <c r="AF285" s="122" t="s">
        <v>141</v>
      </c>
      <c r="AG285" s="139" t="s">
        <v>148</v>
      </c>
    </row>
    <row r="286" spans="1:33" x14ac:dyDescent="0.3">
      <c r="A286" s="121">
        <v>1044162</v>
      </c>
      <c r="B286" s="122" t="s">
        <v>162</v>
      </c>
      <c r="C286" s="122" t="s">
        <v>66</v>
      </c>
      <c r="D286" s="123">
        <v>46124</v>
      </c>
      <c r="E286" s="123">
        <v>46124</v>
      </c>
      <c r="F286" s="122"/>
      <c r="G286" s="122">
        <v>881</v>
      </c>
      <c r="H286" s="122" t="s">
        <v>132</v>
      </c>
      <c r="I286" s="122">
        <v>3800</v>
      </c>
      <c r="J286" s="122">
        <v>576844</v>
      </c>
      <c r="K286" s="122"/>
      <c r="L286" s="122" t="s">
        <v>430</v>
      </c>
      <c r="M286" s="122" t="s">
        <v>160</v>
      </c>
      <c r="N286" s="122" t="s">
        <v>161</v>
      </c>
      <c r="O286" s="123">
        <v>46124</v>
      </c>
      <c r="P286" s="158">
        <v>688</v>
      </c>
      <c r="Q286" s="158" t="s">
        <v>67</v>
      </c>
      <c r="R286" s="158">
        <v>19.88</v>
      </c>
      <c r="S286" s="158">
        <v>8.8699999999999992</v>
      </c>
      <c r="T286" s="158">
        <v>1.6</v>
      </c>
      <c r="U286" s="158">
        <v>666.52</v>
      </c>
      <c r="V286" s="161">
        <v>24021.67</v>
      </c>
      <c r="W286" s="123">
        <v>46125</v>
      </c>
      <c r="X286" s="162">
        <v>20260413</v>
      </c>
      <c r="Y286" s="122">
        <v>104101</v>
      </c>
      <c r="Z286" s="122" t="s">
        <v>139</v>
      </c>
      <c r="AA286" s="122">
        <v>3908900</v>
      </c>
      <c r="AB286" s="122" t="s">
        <v>148</v>
      </c>
      <c r="AC286" s="122"/>
      <c r="AD286" s="122"/>
      <c r="AE286" s="129">
        <v>0.88780092592592597</v>
      </c>
      <c r="AF286" s="122" t="s">
        <v>141</v>
      </c>
      <c r="AG286" s="139" t="s">
        <v>148</v>
      </c>
    </row>
    <row r="287" spans="1:33" x14ac:dyDescent="0.3">
      <c r="A287" s="121">
        <v>1044162</v>
      </c>
      <c r="B287" s="122" t="s">
        <v>159</v>
      </c>
      <c r="C287" s="122" t="s">
        <v>66</v>
      </c>
      <c r="D287" s="123">
        <v>46125</v>
      </c>
      <c r="E287" s="123">
        <v>46125</v>
      </c>
      <c r="F287" s="122"/>
      <c r="G287" s="122">
        <v>882</v>
      </c>
      <c r="H287" s="122" t="s">
        <v>132</v>
      </c>
      <c r="I287" s="122">
        <v>3825</v>
      </c>
      <c r="J287" s="122">
        <v>348070</v>
      </c>
      <c r="K287" s="122"/>
      <c r="L287" s="122" t="s">
        <v>431</v>
      </c>
      <c r="M287" s="122" t="s">
        <v>160</v>
      </c>
      <c r="N287" s="122" t="s">
        <v>161</v>
      </c>
      <c r="O287" s="123">
        <v>46125</v>
      </c>
      <c r="P287" s="158">
        <v>201.6</v>
      </c>
      <c r="Q287" s="158" t="s">
        <v>67</v>
      </c>
      <c r="R287" s="158">
        <v>5.83</v>
      </c>
      <c r="S287" s="158">
        <v>1.6</v>
      </c>
      <c r="T287" s="158">
        <v>0.28999999999999998</v>
      </c>
      <c r="U287" s="158">
        <v>195.48</v>
      </c>
      <c r="V287" s="161">
        <v>195.48</v>
      </c>
      <c r="W287" s="123">
        <v>46126</v>
      </c>
      <c r="X287" s="162">
        <v>20260414</v>
      </c>
      <c r="Y287" s="122">
        <v>104101</v>
      </c>
      <c r="Z287" s="122" t="s">
        <v>142</v>
      </c>
      <c r="AA287" s="122">
        <v>3908900</v>
      </c>
      <c r="AB287" s="122" t="s">
        <v>143</v>
      </c>
      <c r="AC287" s="122"/>
      <c r="AD287" s="122"/>
      <c r="AE287" s="129">
        <v>0.57354166666666673</v>
      </c>
      <c r="AF287" s="122" t="s">
        <v>141</v>
      </c>
      <c r="AG287" s="139" t="s">
        <v>148</v>
      </c>
    </row>
    <row r="288" spans="1:33" x14ac:dyDescent="0.3">
      <c r="A288" s="121">
        <v>1044162</v>
      </c>
      <c r="B288" s="122" t="s">
        <v>162</v>
      </c>
      <c r="C288" s="122" t="s">
        <v>66</v>
      </c>
      <c r="D288" s="123">
        <v>46125</v>
      </c>
      <c r="E288" s="123">
        <v>46125</v>
      </c>
      <c r="F288" s="122"/>
      <c r="G288" s="122">
        <v>882</v>
      </c>
      <c r="H288" s="122" t="s">
        <v>132</v>
      </c>
      <c r="I288" s="122">
        <v>3806</v>
      </c>
      <c r="J288" s="122">
        <v>303377</v>
      </c>
      <c r="K288" s="122"/>
      <c r="L288" s="122" t="s">
        <v>432</v>
      </c>
      <c r="M288" s="122" t="s">
        <v>160</v>
      </c>
      <c r="N288" s="122" t="s">
        <v>161</v>
      </c>
      <c r="O288" s="123">
        <v>46125</v>
      </c>
      <c r="P288" s="158">
        <v>568</v>
      </c>
      <c r="Q288" s="158" t="s">
        <v>67</v>
      </c>
      <c r="R288" s="158">
        <v>16.420000000000002</v>
      </c>
      <c r="S288" s="158">
        <v>7.33</v>
      </c>
      <c r="T288" s="158">
        <v>1.32</v>
      </c>
      <c r="U288" s="158">
        <v>550.26</v>
      </c>
      <c r="V288" s="163">
        <v>0</v>
      </c>
      <c r="W288" s="122"/>
      <c r="X288" s="162">
        <v>20260414</v>
      </c>
      <c r="Y288" s="122"/>
      <c r="Z288" s="122" t="s">
        <v>139</v>
      </c>
      <c r="AA288" s="122">
        <v>3908900</v>
      </c>
      <c r="AB288" s="122" t="s">
        <v>544</v>
      </c>
      <c r="AC288" s="122"/>
      <c r="AD288" s="122"/>
      <c r="AE288" s="129">
        <v>0.46358796296296295</v>
      </c>
      <c r="AF288" s="122" t="s">
        <v>141</v>
      </c>
      <c r="AG288" s="139" t="s">
        <v>148</v>
      </c>
    </row>
    <row r="289" spans="1:33" x14ac:dyDescent="0.3">
      <c r="A289" s="121">
        <v>1044162</v>
      </c>
      <c r="B289" s="122" t="s">
        <v>162</v>
      </c>
      <c r="C289" s="122" t="s">
        <v>66</v>
      </c>
      <c r="D289" s="123">
        <v>46125</v>
      </c>
      <c r="E289" s="123">
        <v>46125</v>
      </c>
      <c r="F289" s="122"/>
      <c r="G289" s="122">
        <v>882</v>
      </c>
      <c r="H289" s="122" t="s">
        <v>132</v>
      </c>
      <c r="I289" s="122">
        <v>3808</v>
      </c>
      <c r="J289" s="122">
        <v>4285</v>
      </c>
      <c r="K289" s="122">
        <v>5</v>
      </c>
      <c r="L289" s="122" t="s">
        <v>433</v>
      </c>
      <c r="M289" s="122" t="s">
        <v>160</v>
      </c>
      <c r="N289" s="122" t="s">
        <v>161</v>
      </c>
      <c r="O289" s="123">
        <v>46125</v>
      </c>
      <c r="P289" s="158">
        <v>1999</v>
      </c>
      <c r="Q289" s="158" t="s">
        <v>67</v>
      </c>
      <c r="R289" s="158">
        <v>57.77</v>
      </c>
      <c r="S289" s="158">
        <v>15.79</v>
      </c>
      <c r="T289" s="158">
        <v>2.84</v>
      </c>
      <c r="U289" s="158">
        <v>1938.39</v>
      </c>
      <c r="V289" s="163">
        <v>0</v>
      </c>
      <c r="W289" s="122"/>
      <c r="X289" s="162">
        <v>20260414</v>
      </c>
      <c r="Y289" s="122"/>
      <c r="Z289" s="122" t="s">
        <v>142</v>
      </c>
      <c r="AA289" s="122">
        <v>3908900</v>
      </c>
      <c r="AB289" s="122" t="s">
        <v>145</v>
      </c>
      <c r="AC289" s="122" t="s">
        <v>144</v>
      </c>
      <c r="AD289" s="122"/>
      <c r="AE289" s="129">
        <v>0.51304398148148145</v>
      </c>
      <c r="AF289" s="122" t="s">
        <v>141</v>
      </c>
      <c r="AG289" s="139" t="s">
        <v>148</v>
      </c>
    </row>
    <row r="290" spans="1:33" x14ac:dyDescent="0.3">
      <c r="A290" s="121">
        <v>1044162</v>
      </c>
      <c r="B290" s="122" t="s">
        <v>162</v>
      </c>
      <c r="C290" s="122" t="s">
        <v>66</v>
      </c>
      <c r="D290" s="123">
        <v>46125</v>
      </c>
      <c r="E290" s="123">
        <v>46125</v>
      </c>
      <c r="F290" s="122"/>
      <c r="G290" s="122">
        <v>882</v>
      </c>
      <c r="H290" s="122">
        <v>65656565</v>
      </c>
      <c r="I290" s="122">
        <v>3810</v>
      </c>
      <c r="J290" s="122">
        <v>632712</v>
      </c>
      <c r="K290" s="122"/>
      <c r="L290" s="122" t="s">
        <v>434</v>
      </c>
      <c r="M290" s="122" t="s">
        <v>160</v>
      </c>
      <c r="N290" s="122" t="s">
        <v>161</v>
      </c>
      <c r="O290" s="123">
        <v>46125</v>
      </c>
      <c r="P290" s="158">
        <v>179.9</v>
      </c>
      <c r="Q290" s="158" t="s">
        <v>67</v>
      </c>
      <c r="R290" s="158">
        <v>5.19</v>
      </c>
      <c r="S290" s="158">
        <v>2.31</v>
      </c>
      <c r="T290" s="158">
        <v>0.42</v>
      </c>
      <c r="U290" s="158">
        <v>174.29</v>
      </c>
      <c r="V290" s="163">
        <v>0</v>
      </c>
      <c r="W290" s="122"/>
      <c r="X290" s="162">
        <v>20260414</v>
      </c>
      <c r="Y290" s="122"/>
      <c r="Z290" s="122" t="s">
        <v>139</v>
      </c>
      <c r="AA290" s="122">
        <v>3908900</v>
      </c>
      <c r="AB290" s="122" t="s">
        <v>147</v>
      </c>
      <c r="AC290" s="122"/>
      <c r="AD290" s="122" t="s">
        <v>154</v>
      </c>
      <c r="AE290" s="129">
        <v>0.53284722222222225</v>
      </c>
      <c r="AF290" s="122" t="s">
        <v>141</v>
      </c>
      <c r="AG290" s="139" t="s">
        <v>148</v>
      </c>
    </row>
    <row r="291" spans="1:33" x14ac:dyDescent="0.3">
      <c r="A291" s="121">
        <v>1044162</v>
      </c>
      <c r="B291" s="122" t="s">
        <v>162</v>
      </c>
      <c r="C291" s="122" t="s">
        <v>66</v>
      </c>
      <c r="D291" s="123">
        <v>46125</v>
      </c>
      <c r="E291" s="123">
        <v>46125</v>
      </c>
      <c r="F291" s="122"/>
      <c r="G291" s="122">
        <v>882</v>
      </c>
      <c r="H291" s="122" t="s">
        <v>132</v>
      </c>
      <c r="I291" s="122">
        <v>3813</v>
      </c>
      <c r="J291" s="122">
        <v>476596</v>
      </c>
      <c r="K291" s="122"/>
      <c r="L291" s="122" t="s">
        <v>435</v>
      </c>
      <c r="M291" s="122" t="s">
        <v>160</v>
      </c>
      <c r="N291" s="122" t="s">
        <v>161</v>
      </c>
      <c r="O291" s="123">
        <v>46125</v>
      </c>
      <c r="P291" s="158">
        <v>918</v>
      </c>
      <c r="Q291" s="158" t="s">
        <v>67</v>
      </c>
      <c r="R291" s="158">
        <v>26.53</v>
      </c>
      <c r="S291" s="158">
        <v>7.25</v>
      </c>
      <c r="T291" s="158">
        <v>1.31</v>
      </c>
      <c r="U291" s="158">
        <v>890.16</v>
      </c>
      <c r="V291" s="163">
        <v>0</v>
      </c>
      <c r="W291" s="122"/>
      <c r="X291" s="162">
        <v>20260414</v>
      </c>
      <c r="Y291" s="122"/>
      <c r="Z291" s="122" t="s">
        <v>139</v>
      </c>
      <c r="AA291" s="122">
        <v>3908900</v>
      </c>
      <c r="AB291" s="122" t="s">
        <v>145</v>
      </c>
      <c r="AC291" s="122"/>
      <c r="AD291" s="122"/>
      <c r="AE291" s="129">
        <v>0.54346064814814821</v>
      </c>
      <c r="AF291" s="122" t="s">
        <v>141</v>
      </c>
      <c r="AG291" s="139" t="s">
        <v>148</v>
      </c>
    </row>
    <row r="292" spans="1:33" x14ac:dyDescent="0.3">
      <c r="A292" s="121">
        <v>1044162</v>
      </c>
      <c r="B292" s="122" t="s">
        <v>162</v>
      </c>
      <c r="C292" s="122" t="s">
        <v>66</v>
      </c>
      <c r="D292" s="123">
        <v>46125</v>
      </c>
      <c r="E292" s="123">
        <v>46125</v>
      </c>
      <c r="F292" s="122"/>
      <c r="G292" s="122">
        <v>882</v>
      </c>
      <c r="H292" s="122">
        <v>65656565</v>
      </c>
      <c r="I292" s="122">
        <v>3819</v>
      </c>
      <c r="J292" s="122">
        <v>513576</v>
      </c>
      <c r="K292" s="122"/>
      <c r="L292" s="122" t="s">
        <v>436</v>
      </c>
      <c r="M292" s="122" t="s">
        <v>160</v>
      </c>
      <c r="N292" s="122" t="s">
        <v>161</v>
      </c>
      <c r="O292" s="123">
        <v>46125</v>
      </c>
      <c r="P292" s="158">
        <v>649</v>
      </c>
      <c r="Q292" s="158" t="s">
        <v>67</v>
      </c>
      <c r="R292" s="158">
        <v>18.75</v>
      </c>
      <c r="S292" s="158">
        <v>8.3699999999999992</v>
      </c>
      <c r="T292" s="158">
        <v>1.51</v>
      </c>
      <c r="U292" s="158">
        <v>628.74</v>
      </c>
      <c r="V292" s="163">
        <v>0</v>
      </c>
      <c r="W292" s="122"/>
      <c r="X292" s="162">
        <v>20260414</v>
      </c>
      <c r="Y292" s="122"/>
      <c r="Z292" s="122" t="s">
        <v>139</v>
      </c>
      <c r="AA292" s="122">
        <v>3908900</v>
      </c>
      <c r="AB292" s="122" t="s">
        <v>145</v>
      </c>
      <c r="AC292" s="122"/>
      <c r="AD292" s="122" t="s">
        <v>146</v>
      </c>
      <c r="AE292" s="129">
        <v>0.55784722222222227</v>
      </c>
      <c r="AF292" s="122" t="s">
        <v>141</v>
      </c>
      <c r="AG292" s="139" t="s">
        <v>148</v>
      </c>
    </row>
    <row r="293" spans="1:33" x14ac:dyDescent="0.3">
      <c r="A293" s="121">
        <v>1044162</v>
      </c>
      <c r="B293" s="122" t="s">
        <v>162</v>
      </c>
      <c r="C293" s="122" t="s">
        <v>66</v>
      </c>
      <c r="D293" s="123">
        <v>46125</v>
      </c>
      <c r="E293" s="123">
        <v>46125</v>
      </c>
      <c r="F293" s="122"/>
      <c r="G293" s="122">
        <v>882</v>
      </c>
      <c r="H293" s="122">
        <v>65656565</v>
      </c>
      <c r="I293" s="122">
        <v>3822</v>
      </c>
      <c r="J293" s="122">
        <v>514889</v>
      </c>
      <c r="K293" s="122"/>
      <c r="L293" s="122" t="s">
        <v>436</v>
      </c>
      <c r="M293" s="122" t="s">
        <v>160</v>
      </c>
      <c r="N293" s="122" t="s">
        <v>161</v>
      </c>
      <c r="O293" s="123">
        <v>46125</v>
      </c>
      <c r="P293" s="158">
        <v>500</v>
      </c>
      <c r="Q293" s="158" t="s">
        <v>67</v>
      </c>
      <c r="R293" s="158">
        <v>14.45</v>
      </c>
      <c r="S293" s="158">
        <v>6.45</v>
      </c>
      <c r="T293" s="158">
        <v>1.1599999999999999</v>
      </c>
      <c r="U293" s="158">
        <v>484.39</v>
      </c>
      <c r="V293" s="163">
        <v>0</v>
      </c>
      <c r="W293" s="122"/>
      <c r="X293" s="162">
        <v>20260414</v>
      </c>
      <c r="Y293" s="122"/>
      <c r="Z293" s="122" t="s">
        <v>139</v>
      </c>
      <c r="AA293" s="122">
        <v>3908900</v>
      </c>
      <c r="AB293" s="122" t="s">
        <v>145</v>
      </c>
      <c r="AC293" s="122"/>
      <c r="AD293" s="122" t="s">
        <v>146</v>
      </c>
      <c r="AE293" s="129">
        <v>0.55835648148148154</v>
      </c>
      <c r="AF293" s="122" t="s">
        <v>141</v>
      </c>
      <c r="AG293" s="139" t="s">
        <v>148</v>
      </c>
    </row>
    <row r="294" spans="1:33" x14ac:dyDescent="0.3">
      <c r="A294" s="121">
        <v>1044162</v>
      </c>
      <c r="B294" s="122" t="s">
        <v>162</v>
      </c>
      <c r="C294" s="122" t="s">
        <v>66</v>
      </c>
      <c r="D294" s="123">
        <v>46125</v>
      </c>
      <c r="E294" s="123">
        <v>46125</v>
      </c>
      <c r="F294" s="122"/>
      <c r="G294" s="122">
        <v>882</v>
      </c>
      <c r="H294" s="122" t="s">
        <v>132</v>
      </c>
      <c r="I294" s="122">
        <v>3836</v>
      </c>
      <c r="J294" s="122">
        <v>531710</v>
      </c>
      <c r="K294" s="122"/>
      <c r="L294" s="122" t="s">
        <v>437</v>
      </c>
      <c r="M294" s="122" t="s">
        <v>160</v>
      </c>
      <c r="N294" s="122" t="s">
        <v>161</v>
      </c>
      <c r="O294" s="123">
        <v>46125</v>
      </c>
      <c r="P294" s="158">
        <v>949</v>
      </c>
      <c r="Q294" s="158" t="s">
        <v>67</v>
      </c>
      <c r="R294" s="158">
        <v>27.43</v>
      </c>
      <c r="S294" s="158">
        <v>12.25</v>
      </c>
      <c r="T294" s="158">
        <v>2.21</v>
      </c>
      <c r="U294" s="158">
        <v>919.36</v>
      </c>
      <c r="V294" s="163">
        <v>0</v>
      </c>
      <c r="W294" s="122"/>
      <c r="X294" s="162">
        <v>20260414</v>
      </c>
      <c r="Y294" s="122"/>
      <c r="Z294" s="122" t="s">
        <v>139</v>
      </c>
      <c r="AA294" s="122">
        <v>3908900</v>
      </c>
      <c r="AB294" s="122" t="s">
        <v>148</v>
      </c>
      <c r="AC294" s="122"/>
      <c r="AD294" s="122"/>
      <c r="AE294" s="129">
        <v>0.67945601851851845</v>
      </c>
      <c r="AF294" s="122" t="s">
        <v>141</v>
      </c>
      <c r="AG294" s="139" t="s">
        <v>148</v>
      </c>
    </row>
    <row r="295" spans="1:33" x14ac:dyDescent="0.3">
      <c r="A295" s="121">
        <v>1044162</v>
      </c>
      <c r="B295" s="122" t="s">
        <v>162</v>
      </c>
      <c r="C295" s="122" t="s">
        <v>66</v>
      </c>
      <c r="D295" s="123">
        <v>46125</v>
      </c>
      <c r="E295" s="123">
        <v>46125</v>
      </c>
      <c r="F295" s="122"/>
      <c r="G295" s="122">
        <v>882</v>
      </c>
      <c r="H295" s="122" t="s">
        <v>132</v>
      </c>
      <c r="I295" s="122">
        <v>3838</v>
      </c>
      <c r="J295" s="122">
        <v>458376</v>
      </c>
      <c r="K295" s="122"/>
      <c r="L295" s="122" t="s">
        <v>438</v>
      </c>
      <c r="M295" s="122" t="s">
        <v>160</v>
      </c>
      <c r="N295" s="122" t="s">
        <v>161</v>
      </c>
      <c r="O295" s="123">
        <v>46125</v>
      </c>
      <c r="P295" s="158">
        <v>659</v>
      </c>
      <c r="Q295" s="158" t="s">
        <v>67</v>
      </c>
      <c r="R295" s="158">
        <v>19.05</v>
      </c>
      <c r="S295" s="158">
        <v>8.51</v>
      </c>
      <c r="T295" s="158">
        <v>1.53</v>
      </c>
      <c r="U295" s="158">
        <v>638.41999999999996</v>
      </c>
      <c r="V295" s="163">
        <v>0</v>
      </c>
      <c r="W295" s="122"/>
      <c r="X295" s="162">
        <v>20260414</v>
      </c>
      <c r="Y295" s="122"/>
      <c r="Z295" s="122" t="s">
        <v>139</v>
      </c>
      <c r="AA295" s="122">
        <v>3908900</v>
      </c>
      <c r="AB295" s="122" t="s">
        <v>145</v>
      </c>
      <c r="AC295" s="122"/>
      <c r="AD295" s="122"/>
      <c r="AE295" s="129">
        <v>0.72916666666666663</v>
      </c>
      <c r="AF295" s="122" t="s">
        <v>141</v>
      </c>
      <c r="AG295" s="139" t="s">
        <v>148</v>
      </c>
    </row>
    <row r="296" spans="1:33" x14ac:dyDescent="0.3">
      <c r="A296" s="121">
        <v>1044162</v>
      </c>
      <c r="B296" s="122" t="s">
        <v>162</v>
      </c>
      <c r="C296" s="122" t="s">
        <v>66</v>
      </c>
      <c r="D296" s="123">
        <v>46125</v>
      </c>
      <c r="E296" s="123">
        <v>46125</v>
      </c>
      <c r="F296" s="122"/>
      <c r="G296" s="122">
        <v>882</v>
      </c>
      <c r="H296" s="122" t="s">
        <v>132</v>
      </c>
      <c r="I296" s="122">
        <v>3840</v>
      </c>
      <c r="J296" s="122">
        <v>284332</v>
      </c>
      <c r="K296" s="122"/>
      <c r="L296" s="122" t="s">
        <v>439</v>
      </c>
      <c r="M296" s="122" t="s">
        <v>160</v>
      </c>
      <c r="N296" s="122" t="s">
        <v>161</v>
      </c>
      <c r="O296" s="123">
        <v>46125</v>
      </c>
      <c r="P296" s="158">
        <v>89</v>
      </c>
      <c r="Q296" s="158" t="s">
        <v>67</v>
      </c>
      <c r="R296" s="158">
        <v>2.57</v>
      </c>
      <c r="S296" s="158">
        <v>0.52</v>
      </c>
      <c r="T296" s="158">
        <v>0.09</v>
      </c>
      <c r="U296" s="158">
        <v>86.34</v>
      </c>
      <c r="V296" s="163">
        <v>0</v>
      </c>
      <c r="W296" s="122"/>
      <c r="X296" s="162">
        <v>20260414</v>
      </c>
      <c r="Y296" s="122"/>
      <c r="Z296" s="122" t="s">
        <v>142</v>
      </c>
      <c r="AA296" s="122">
        <v>3908900</v>
      </c>
      <c r="AB296" s="122" t="s">
        <v>149</v>
      </c>
      <c r="AC296" s="122"/>
      <c r="AD296" s="122"/>
      <c r="AE296" s="129">
        <v>0.74854166666666666</v>
      </c>
      <c r="AF296" s="122" t="s">
        <v>141</v>
      </c>
      <c r="AG296" s="139" t="s">
        <v>148</v>
      </c>
    </row>
    <row r="297" spans="1:33" x14ac:dyDescent="0.3">
      <c r="A297" s="121">
        <v>1044162</v>
      </c>
      <c r="B297" s="122" t="s">
        <v>162</v>
      </c>
      <c r="C297" s="122" t="s">
        <v>66</v>
      </c>
      <c r="D297" s="123">
        <v>46125</v>
      </c>
      <c r="E297" s="123">
        <v>46125</v>
      </c>
      <c r="F297" s="122"/>
      <c r="G297" s="122">
        <v>882</v>
      </c>
      <c r="H297" s="122" t="s">
        <v>132</v>
      </c>
      <c r="I297" s="122">
        <v>3844</v>
      </c>
      <c r="J297" s="122">
        <v>603970</v>
      </c>
      <c r="K297" s="122"/>
      <c r="L297" s="122" t="s">
        <v>440</v>
      </c>
      <c r="M297" s="122" t="s">
        <v>160</v>
      </c>
      <c r="N297" s="122" t="s">
        <v>161</v>
      </c>
      <c r="O297" s="123">
        <v>46125</v>
      </c>
      <c r="P297" s="158">
        <v>1799</v>
      </c>
      <c r="Q297" s="158" t="s">
        <v>67</v>
      </c>
      <c r="R297" s="158">
        <v>51.99</v>
      </c>
      <c r="S297" s="158">
        <v>23.21</v>
      </c>
      <c r="T297" s="158">
        <v>4.18</v>
      </c>
      <c r="U297" s="158">
        <v>1742.83</v>
      </c>
      <c r="V297" s="163">
        <v>0</v>
      </c>
      <c r="W297" s="122"/>
      <c r="X297" s="162">
        <v>20260414</v>
      </c>
      <c r="Y297" s="122"/>
      <c r="Z297" s="122" t="s">
        <v>139</v>
      </c>
      <c r="AA297" s="122">
        <v>3908900</v>
      </c>
      <c r="AB297" s="122" t="s">
        <v>145</v>
      </c>
      <c r="AC297" s="122"/>
      <c r="AD297" s="122"/>
      <c r="AE297" s="129">
        <v>0.80424768518518519</v>
      </c>
      <c r="AF297" s="122" t="s">
        <v>141</v>
      </c>
      <c r="AG297" s="139" t="s">
        <v>148</v>
      </c>
    </row>
    <row r="298" spans="1:33" x14ac:dyDescent="0.3">
      <c r="A298" s="121">
        <v>1044162</v>
      </c>
      <c r="B298" s="122" t="s">
        <v>162</v>
      </c>
      <c r="C298" s="122" t="s">
        <v>66</v>
      </c>
      <c r="D298" s="123">
        <v>46125</v>
      </c>
      <c r="E298" s="123">
        <v>46125</v>
      </c>
      <c r="F298" s="122"/>
      <c r="G298" s="122">
        <v>882</v>
      </c>
      <c r="H298" s="122" t="s">
        <v>132</v>
      </c>
      <c r="I298" s="122">
        <v>3846</v>
      </c>
      <c r="J298" s="122">
        <v>5956</v>
      </c>
      <c r="K298" s="122">
        <v>6</v>
      </c>
      <c r="L298" s="122" t="s">
        <v>441</v>
      </c>
      <c r="M298" s="122" t="s">
        <v>160</v>
      </c>
      <c r="N298" s="122" t="s">
        <v>161</v>
      </c>
      <c r="O298" s="123">
        <v>46125</v>
      </c>
      <c r="P298" s="158">
        <v>1500</v>
      </c>
      <c r="Q298" s="158" t="s">
        <v>67</v>
      </c>
      <c r="R298" s="158">
        <v>43.35</v>
      </c>
      <c r="S298" s="158">
        <v>11.85</v>
      </c>
      <c r="T298" s="158">
        <v>2.13</v>
      </c>
      <c r="U298" s="158">
        <v>1454.52</v>
      </c>
      <c r="V298" s="163">
        <v>0</v>
      </c>
      <c r="W298" s="122"/>
      <c r="X298" s="162">
        <v>20260414</v>
      </c>
      <c r="Y298" s="122"/>
      <c r="Z298" s="122" t="s">
        <v>142</v>
      </c>
      <c r="AA298" s="122">
        <v>3908900</v>
      </c>
      <c r="AB298" s="122" t="s">
        <v>145</v>
      </c>
      <c r="AC298" s="122" t="s">
        <v>144</v>
      </c>
      <c r="AD298" s="122"/>
      <c r="AE298" s="129">
        <v>0.82024305555555566</v>
      </c>
      <c r="AF298" s="122" t="s">
        <v>141</v>
      </c>
      <c r="AG298" s="139" t="s">
        <v>148</v>
      </c>
    </row>
    <row r="299" spans="1:33" x14ac:dyDescent="0.3">
      <c r="A299" s="121">
        <v>1044162</v>
      </c>
      <c r="B299" s="122" t="s">
        <v>162</v>
      </c>
      <c r="C299" s="122" t="s">
        <v>66</v>
      </c>
      <c r="D299" s="123">
        <v>46125</v>
      </c>
      <c r="E299" s="123">
        <v>46125</v>
      </c>
      <c r="F299" s="122"/>
      <c r="G299" s="122">
        <v>882</v>
      </c>
      <c r="H299" s="122">
        <v>65656565</v>
      </c>
      <c r="I299" s="122">
        <v>3848</v>
      </c>
      <c r="J299" s="122">
        <v>750469</v>
      </c>
      <c r="K299" s="122"/>
      <c r="L299" s="122" t="s">
        <v>442</v>
      </c>
      <c r="M299" s="122" t="s">
        <v>160</v>
      </c>
      <c r="N299" s="122" t="s">
        <v>161</v>
      </c>
      <c r="O299" s="123">
        <v>46125</v>
      </c>
      <c r="P299" s="158">
        <v>299</v>
      </c>
      <c r="Q299" s="158" t="s">
        <v>67</v>
      </c>
      <c r="R299" s="158">
        <v>8.64</v>
      </c>
      <c r="S299" s="158">
        <v>3.86</v>
      </c>
      <c r="T299" s="158">
        <v>0.69</v>
      </c>
      <c r="U299" s="158">
        <v>289.67</v>
      </c>
      <c r="V299" s="163">
        <v>0</v>
      </c>
      <c r="W299" s="122"/>
      <c r="X299" s="162">
        <v>20260414</v>
      </c>
      <c r="Y299" s="122"/>
      <c r="Z299" s="122" t="s">
        <v>139</v>
      </c>
      <c r="AA299" s="122">
        <v>3908900</v>
      </c>
      <c r="AB299" s="122" t="s">
        <v>145</v>
      </c>
      <c r="AC299" s="122"/>
      <c r="AD299" s="122" t="s">
        <v>146</v>
      </c>
      <c r="AE299" s="129">
        <v>0.82070601851851854</v>
      </c>
      <c r="AF299" s="122" t="s">
        <v>141</v>
      </c>
      <c r="AG299" s="139" t="s">
        <v>148</v>
      </c>
    </row>
    <row r="300" spans="1:33" x14ac:dyDescent="0.3">
      <c r="A300" s="121">
        <v>1044162</v>
      </c>
      <c r="B300" s="122" t="s">
        <v>162</v>
      </c>
      <c r="C300" s="122" t="s">
        <v>66</v>
      </c>
      <c r="D300" s="123">
        <v>46125</v>
      </c>
      <c r="E300" s="123">
        <v>46125</v>
      </c>
      <c r="F300" s="122"/>
      <c r="G300" s="122">
        <v>882</v>
      </c>
      <c r="H300" s="122" t="s">
        <v>132</v>
      </c>
      <c r="I300" s="122">
        <v>3852</v>
      </c>
      <c r="J300" s="122">
        <v>425990</v>
      </c>
      <c r="K300" s="122"/>
      <c r="L300" s="122" t="s">
        <v>443</v>
      </c>
      <c r="M300" s="122" t="s">
        <v>160</v>
      </c>
      <c r="N300" s="122" t="s">
        <v>161</v>
      </c>
      <c r="O300" s="123">
        <v>46125</v>
      </c>
      <c r="P300" s="158">
        <v>459</v>
      </c>
      <c r="Q300" s="158" t="s">
        <v>67</v>
      </c>
      <c r="R300" s="158">
        <v>13.27</v>
      </c>
      <c r="S300" s="158">
        <v>3.63</v>
      </c>
      <c r="T300" s="158">
        <v>0.65</v>
      </c>
      <c r="U300" s="158">
        <v>445.08</v>
      </c>
      <c r="V300" s="163">
        <v>0</v>
      </c>
      <c r="W300" s="122"/>
      <c r="X300" s="162">
        <v>20260414</v>
      </c>
      <c r="Y300" s="122"/>
      <c r="Z300" s="122" t="s">
        <v>142</v>
      </c>
      <c r="AA300" s="122">
        <v>3908900</v>
      </c>
      <c r="AB300" s="122" t="s">
        <v>148</v>
      </c>
      <c r="AC300" s="122"/>
      <c r="AD300" s="122"/>
      <c r="AE300" s="129">
        <v>0.85181712962962963</v>
      </c>
      <c r="AF300" s="122" t="s">
        <v>141</v>
      </c>
      <c r="AG300" s="139" t="s">
        <v>148</v>
      </c>
    </row>
    <row r="301" spans="1:33" x14ac:dyDescent="0.3">
      <c r="A301" s="121">
        <v>1044162</v>
      </c>
      <c r="B301" s="122" t="s">
        <v>162</v>
      </c>
      <c r="C301" s="122" t="s">
        <v>66</v>
      </c>
      <c r="D301" s="123">
        <v>46125</v>
      </c>
      <c r="E301" s="123">
        <v>46125</v>
      </c>
      <c r="F301" s="122"/>
      <c r="G301" s="122">
        <v>882</v>
      </c>
      <c r="H301" s="122" t="s">
        <v>132</v>
      </c>
      <c r="I301" s="122">
        <v>3854</v>
      </c>
      <c r="J301" s="122">
        <v>364152</v>
      </c>
      <c r="K301" s="122"/>
      <c r="L301" s="122" t="s">
        <v>444</v>
      </c>
      <c r="M301" s="122" t="s">
        <v>160</v>
      </c>
      <c r="N301" s="122" t="s">
        <v>161</v>
      </c>
      <c r="O301" s="123">
        <v>46125</v>
      </c>
      <c r="P301" s="158">
        <v>178</v>
      </c>
      <c r="Q301" s="158" t="s">
        <v>67</v>
      </c>
      <c r="R301" s="158">
        <v>5.14</v>
      </c>
      <c r="S301" s="158">
        <v>2.29</v>
      </c>
      <c r="T301" s="158">
        <v>0.41</v>
      </c>
      <c r="U301" s="158">
        <v>172.45</v>
      </c>
      <c r="V301" s="161">
        <v>10414.9</v>
      </c>
      <c r="W301" s="123">
        <v>46126</v>
      </c>
      <c r="X301" s="162">
        <v>20260414</v>
      </c>
      <c r="Y301" s="122">
        <v>104101</v>
      </c>
      <c r="Z301" s="122" t="s">
        <v>139</v>
      </c>
      <c r="AA301" s="122">
        <v>3908900</v>
      </c>
      <c r="AB301" s="122" t="s">
        <v>147</v>
      </c>
      <c r="AC301" s="122"/>
      <c r="AD301" s="122"/>
      <c r="AE301" s="129">
        <v>0.85687500000000005</v>
      </c>
      <c r="AF301" s="122" t="s">
        <v>141</v>
      </c>
      <c r="AG301" s="139" t="s">
        <v>148</v>
      </c>
    </row>
    <row r="302" spans="1:33" x14ac:dyDescent="0.3">
      <c r="A302" s="121">
        <v>1044162</v>
      </c>
      <c r="B302" s="122" t="s">
        <v>159</v>
      </c>
      <c r="C302" s="122" t="s">
        <v>66</v>
      </c>
      <c r="D302" s="123">
        <v>46126</v>
      </c>
      <c r="E302" s="123">
        <v>46126</v>
      </c>
      <c r="F302" s="122"/>
      <c r="G302" s="122">
        <v>883</v>
      </c>
      <c r="H302" s="122" t="s">
        <v>132</v>
      </c>
      <c r="I302" s="122">
        <v>3897</v>
      </c>
      <c r="J302" s="122">
        <v>120819</v>
      </c>
      <c r="K302" s="122"/>
      <c r="L302" s="122" t="s">
        <v>445</v>
      </c>
      <c r="M302" s="122" t="s">
        <v>160</v>
      </c>
      <c r="N302" s="122" t="s">
        <v>161</v>
      </c>
      <c r="O302" s="123">
        <v>46126</v>
      </c>
      <c r="P302" s="158">
        <v>1008</v>
      </c>
      <c r="Q302" s="158" t="s">
        <v>67</v>
      </c>
      <c r="R302" s="158">
        <v>29.13</v>
      </c>
      <c r="S302" s="158">
        <v>11.49</v>
      </c>
      <c r="T302" s="158">
        <v>2.0699999999999998</v>
      </c>
      <c r="U302" s="158">
        <v>976.8</v>
      </c>
      <c r="V302" s="163">
        <v>0</v>
      </c>
      <c r="W302" s="122"/>
      <c r="X302" s="162">
        <v>20260415</v>
      </c>
      <c r="Y302" s="122"/>
      <c r="Z302" s="122" t="s">
        <v>139</v>
      </c>
      <c r="AA302" s="122">
        <v>3908900</v>
      </c>
      <c r="AB302" s="122" t="s">
        <v>140</v>
      </c>
      <c r="AC302" s="122"/>
      <c r="AD302" s="122"/>
      <c r="AE302" s="129">
        <v>0.87377314814814822</v>
      </c>
      <c r="AF302" s="122" t="s">
        <v>141</v>
      </c>
      <c r="AG302" s="139" t="s">
        <v>148</v>
      </c>
    </row>
    <row r="303" spans="1:33" x14ac:dyDescent="0.3">
      <c r="A303" s="121">
        <v>1044162</v>
      </c>
      <c r="B303" s="122" t="s">
        <v>159</v>
      </c>
      <c r="C303" s="122" t="s">
        <v>66</v>
      </c>
      <c r="D303" s="123">
        <v>46126</v>
      </c>
      <c r="E303" s="123">
        <v>46126</v>
      </c>
      <c r="F303" s="122"/>
      <c r="G303" s="122">
        <v>883</v>
      </c>
      <c r="H303" s="122" t="s">
        <v>132</v>
      </c>
      <c r="I303" s="122">
        <v>3899</v>
      </c>
      <c r="J303" s="122">
        <v>344170</v>
      </c>
      <c r="K303" s="122">
        <v>2</v>
      </c>
      <c r="L303" s="122" t="s">
        <v>446</v>
      </c>
      <c r="M303" s="122" t="s">
        <v>160</v>
      </c>
      <c r="N303" s="122" t="s">
        <v>161</v>
      </c>
      <c r="O303" s="123">
        <v>46126</v>
      </c>
      <c r="P303" s="158">
        <v>89</v>
      </c>
      <c r="Q303" s="158" t="s">
        <v>67</v>
      </c>
      <c r="R303" s="158">
        <v>2.57</v>
      </c>
      <c r="S303" s="158">
        <v>0.7</v>
      </c>
      <c r="T303" s="158">
        <v>0.13</v>
      </c>
      <c r="U303" s="158">
        <v>86.3</v>
      </c>
      <c r="V303" s="161">
        <v>1063.0999999999999</v>
      </c>
      <c r="W303" s="123">
        <v>46127</v>
      </c>
      <c r="X303" s="162">
        <v>20260415</v>
      </c>
      <c r="Y303" s="122">
        <v>104101</v>
      </c>
      <c r="Z303" s="122" t="s">
        <v>142</v>
      </c>
      <c r="AA303" s="122">
        <v>3908900</v>
      </c>
      <c r="AB303" s="122" t="s">
        <v>143</v>
      </c>
      <c r="AC303" s="122" t="s">
        <v>144</v>
      </c>
      <c r="AD303" s="122"/>
      <c r="AE303" s="129">
        <v>0.89090277777777782</v>
      </c>
      <c r="AF303" s="122" t="s">
        <v>141</v>
      </c>
      <c r="AG303" s="139" t="s">
        <v>148</v>
      </c>
    </row>
    <row r="304" spans="1:33" x14ac:dyDescent="0.3">
      <c r="A304" s="121">
        <v>1044162</v>
      </c>
      <c r="B304" s="122" t="s">
        <v>162</v>
      </c>
      <c r="C304" s="122" t="s">
        <v>66</v>
      </c>
      <c r="D304" s="123">
        <v>46126</v>
      </c>
      <c r="E304" s="123">
        <v>46126</v>
      </c>
      <c r="F304" s="122"/>
      <c r="G304" s="122">
        <v>883</v>
      </c>
      <c r="H304" s="122" t="s">
        <v>132</v>
      </c>
      <c r="I304" s="122">
        <v>3859</v>
      </c>
      <c r="J304" s="122">
        <v>344241</v>
      </c>
      <c r="K304" s="122"/>
      <c r="L304" s="122" t="s">
        <v>447</v>
      </c>
      <c r="M304" s="122" t="s">
        <v>160</v>
      </c>
      <c r="N304" s="122" t="s">
        <v>161</v>
      </c>
      <c r="O304" s="123">
        <v>46126</v>
      </c>
      <c r="P304" s="158">
        <v>629</v>
      </c>
      <c r="Q304" s="158" t="s">
        <v>67</v>
      </c>
      <c r="R304" s="158">
        <v>18.18</v>
      </c>
      <c r="S304" s="158">
        <v>8.1199999999999992</v>
      </c>
      <c r="T304" s="158">
        <v>1.46</v>
      </c>
      <c r="U304" s="158">
        <v>609.36</v>
      </c>
      <c r="V304" s="163">
        <v>0</v>
      </c>
      <c r="W304" s="122"/>
      <c r="X304" s="162">
        <v>20260415</v>
      </c>
      <c r="Y304" s="122"/>
      <c r="Z304" s="122" t="s">
        <v>139</v>
      </c>
      <c r="AA304" s="122">
        <v>3908900</v>
      </c>
      <c r="AB304" s="122" t="s">
        <v>145</v>
      </c>
      <c r="AC304" s="122"/>
      <c r="AD304" s="122"/>
      <c r="AE304" s="129">
        <v>0.43659722222222225</v>
      </c>
      <c r="AF304" s="122" t="s">
        <v>141</v>
      </c>
      <c r="AG304" s="139" t="s">
        <v>148</v>
      </c>
    </row>
    <row r="305" spans="1:33" x14ac:dyDescent="0.3">
      <c r="A305" s="121">
        <v>1044162</v>
      </c>
      <c r="B305" s="122" t="s">
        <v>162</v>
      </c>
      <c r="C305" s="122" t="s">
        <v>66</v>
      </c>
      <c r="D305" s="123">
        <v>46126</v>
      </c>
      <c r="E305" s="123">
        <v>46126</v>
      </c>
      <c r="F305" s="122"/>
      <c r="G305" s="122">
        <v>883</v>
      </c>
      <c r="H305" s="122">
        <v>65656565</v>
      </c>
      <c r="I305" s="122">
        <v>3861</v>
      </c>
      <c r="J305" s="122">
        <v>960774</v>
      </c>
      <c r="K305" s="122"/>
      <c r="L305" s="122" t="s">
        <v>169</v>
      </c>
      <c r="M305" s="122" t="s">
        <v>160</v>
      </c>
      <c r="N305" s="122" t="s">
        <v>161</v>
      </c>
      <c r="O305" s="123">
        <v>46126</v>
      </c>
      <c r="P305" s="158">
        <v>300</v>
      </c>
      <c r="Q305" s="158" t="s">
        <v>67</v>
      </c>
      <c r="R305" s="158">
        <v>8.67</v>
      </c>
      <c r="S305" s="158">
        <v>3.87</v>
      </c>
      <c r="T305" s="158">
        <v>0.7</v>
      </c>
      <c r="U305" s="158">
        <v>290.63</v>
      </c>
      <c r="V305" s="163">
        <v>0</v>
      </c>
      <c r="W305" s="122"/>
      <c r="X305" s="162">
        <v>20260415</v>
      </c>
      <c r="Y305" s="122"/>
      <c r="Z305" s="122" t="s">
        <v>139</v>
      </c>
      <c r="AA305" s="122">
        <v>3908900</v>
      </c>
      <c r="AB305" s="122" t="s">
        <v>145</v>
      </c>
      <c r="AC305" s="122"/>
      <c r="AD305" s="122" t="s">
        <v>146</v>
      </c>
      <c r="AE305" s="129">
        <v>0.50262731481481482</v>
      </c>
      <c r="AF305" s="122" t="s">
        <v>141</v>
      </c>
      <c r="AG305" s="139" t="s">
        <v>148</v>
      </c>
    </row>
    <row r="306" spans="1:33" x14ac:dyDescent="0.3">
      <c r="A306" s="121">
        <v>1044162</v>
      </c>
      <c r="B306" s="122" t="s">
        <v>162</v>
      </c>
      <c r="C306" s="122" t="s">
        <v>66</v>
      </c>
      <c r="D306" s="123">
        <v>46126</v>
      </c>
      <c r="E306" s="123">
        <v>46126</v>
      </c>
      <c r="F306" s="122"/>
      <c r="G306" s="122">
        <v>883</v>
      </c>
      <c r="H306" s="122" t="s">
        <v>132</v>
      </c>
      <c r="I306" s="122">
        <v>3864</v>
      </c>
      <c r="J306" s="122">
        <v>120533</v>
      </c>
      <c r="K306" s="122"/>
      <c r="L306" s="122" t="s">
        <v>164</v>
      </c>
      <c r="M306" s="122" t="s">
        <v>160</v>
      </c>
      <c r="N306" s="122" t="s">
        <v>161</v>
      </c>
      <c r="O306" s="123">
        <v>46126</v>
      </c>
      <c r="P306" s="158">
        <v>1499</v>
      </c>
      <c r="Q306" s="158" t="s">
        <v>67</v>
      </c>
      <c r="R306" s="158">
        <v>43.32</v>
      </c>
      <c r="S306" s="158">
        <v>11.84</v>
      </c>
      <c r="T306" s="158">
        <v>2.13</v>
      </c>
      <c r="U306" s="158">
        <v>1453.55</v>
      </c>
      <c r="V306" s="163">
        <v>0</v>
      </c>
      <c r="W306" s="122"/>
      <c r="X306" s="162">
        <v>20260415</v>
      </c>
      <c r="Y306" s="122"/>
      <c r="Z306" s="122" t="s">
        <v>139</v>
      </c>
      <c r="AA306" s="122">
        <v>3908900</v>
      </c>
      <c r="AB306" s="122" t="s">
        <v>147</v>
      </c>
      <c r="AC306" s="122"/>
      <c r="AD306" s="122"/>
      <c r="AE306" s="129">
        <v>0.50314814814814812</v>
      </c>
      <c r="AF306" s="122" t="s">
        <v>141</v>
      </c>
      <c r="AG306" s="139" t="s">
        <v>148</v>
      </c>
    </row>
    <row r="307" spans="1:33" x14ac:dyDescent="0.3">
      <c r="A307" s="121">
        <v>1044162</v>
      </c>
      <c r="B307" s="122" t="s">
        <v>162</v>
      </c>
      <c r="C307" s="122" t="s">
        <v>66</v>
      </c>
      <c r="D307" s="123">
        <v>46126</v>
      </c>
      <c r="E307" s="123">
        <v>46126</v>
      </c>
      <c r="F307" s="122"/>
      <c r="G307" s="122">
        <v>883</v>
      </c>
      <c r="H307" s="122" t="s">
        <v>132</v>
      </c>
      <c r="I307" s="122">
        <v>3866</v>
      </c>
      <c r="J307" s="122">
        <v>818444</v>
      </c>
      <c r="K307" s="122">
        <v>3</v>
      </c>
      <c r="L307" s="122" t="s">
        <v>448</v>
      </c>
      <c r="M307" s="122" t="s">
        <v>160</v>
      </c>
      <c r="N307" s="122" t="s">
        <v>161</v>
      </c>
      <c r="O307" s="123">
        <v>46126</v>
      </c>
      <c r="P307" s="158">
        <v>1799</v>
      </c>
      <c r="Q307" s="158" t="s">
        <v>67</v>
      </c>
      <c r="R307" s="158">
        <v>83.47</v>
      </c>
      <c r="S307" s="158">
        <v>10.61</v>
      </c>
      <c r="T307" s="158">
        <v>1.91</v>
      </c>
      <c r="U307" s="158">
        <v>1713.62</v>
      </c>
      <c r="V307" s="163">
        <v>0</v>
      </c>
      <c r="W307" s="122"/>
      <c r="X307" s="162">
        <v>20260415</v>
      </c>
      <c r="Y307" s="122"/>
      <c r="Z307" s="122" t="s">
        <v>142</v>
      </c>
      <c r="AA307" s="122">
        <v>3908900</v>
      </c>
      <c r="AB307" s="122" t="s">
        <v>148</v>
      </c>
      <c r="AC307" s="122" t="s">
        <v>151</v>
      </c>
      <c r="AD307" s="122"/>
      <c r="AE307" s="129">
        <v>0.51920138888888889</v>
      </c>
      <c r="AF307" s="122" t="s">
        <v>141</v>
      </c>
      <c r="AG307" s="139" t="s">
        <v>148</v>
      </c>
    </row>
    <row r="308" spans="1:33" x14ac:dyDescent="0.3">
      <c r="A308" s="121">
        <v>1044162</v>
      </c>
      <c r="B308" s="122" t="s">
        <v>162</v>
      </c>
      <c r="C308" s="122" t="s">
        <v>66</v>
      </c>
      <c r="D308" s="123">
        <v>46126</v>
      </c>
      <c r="E308" s="123">
        <v>46126</v>
      </c>
      <c r="F308" s="122"/>
      <c r="G308" s="122">
        <v>883</v>
      </c>
      <c r="H308" s="122" t="s">
        <v>132</v>
      </c>
      <c r="I308" s="122">
        <v>3868</v>
      </c>
      <c r="J308" s="122">
        <v>544785</v>
      </c>
      <c r="K308" s="122"/>
      <c r="L308" s="122" t="s">
        <v>449</v>
      </c>
      <c r="M308" s="122" t="s">
        <v>160</v>
      </c>
      <c r="N308" s="122" t="s">
        <v>161</v>
      </c>
      <c r="O308" s="123">
        <v>46126</v>
      </c>
      <c r="P308" s="158">
        <v>498</v>
      </c>
      <c r="Q308" s="158" t="s">
        <v>67</v>
      </c>
      <c r="R308" s="158">
        <v>14.39</v>
      </c>
      <c r="S308" s="158">
        <v>6.42</v>
      </c>
      <c r="T308" s="158">
        <v>1.1599999999999999</v>
      </c>
      <c r="U308" s="158">
        <v>482.45</v>
      </c>
      <c r="V308" s="163">
        <v>0</v>
      </c>
      <c r="W308" s="122"/>
      <c r="X308" s="162">
        <v>20260415</v>
      </c>
      <c r="Y308" s="122"/>
      <c r="Z308" s="122" t="s">
        <v>139</v>
      </c>
      <c r="AA308" s="122">
        <v>3908900</v>
      </c>
      <c r="AB308" s="122" t="s">
        <v>145</v>
      </c>
      <c r="AC308" s="122"/>
      <c r="AD308" s="122"/>
      <c r="AE308" s="129">
        <v>0.52587962962962964</v>
      </c>
      <c r="AF308" s="122" t="s">
        <v>141</v>
      </c>
      <c r="AG308" s="139" t="s">
        <v>148</v>
      </c>
    </row>
    <row r="309" spans="1:33" x14ac:dyDescent="0.3">
      <c r="A309" s="121">
        <v>1044162</v>
      </c>
      <c r="B309" s="122" t="s">
        <v>162</v>
      </c>
      <c r="C309" s="122" t="s">
        <v>66</v>
      </c>
      <c r="D309" s="123">
        <v>46126</v>
      </c>
      <c r="E309" s="123">
        <v>46126</v>
      </c>
      <c r="F309" s="122"/>
      <c r="G309" s="122">
        <v>883</v>
      </c>
      <c r="H309" s="122" t="s">
        <v>132</v>
      </c>
      <c r="I309" s="122">
        <v>3870</v>
      </c>
      <c r="J309" s="122">
        <v>107018</v>
      </c>
      <c r="K309" s="122"/>
      <c r="L309" s="122" t="s">
        <v>450</v>
      </c>
      <c r="M309" s="122" t="s">
        <v>160</v>
      </c>
      <c r="N309" s="122" t="s">
        <v>161</v>
      </c>
      <c r="O309" s="123">
        <v>46126</v>
      </c>
      <c r="P309" s="158">
        <v>1348</v>
      </c>
      <c r="Q309" s="158" t="s">
        <v>67</v>
      </c>
      <c r="R309" s="158">
        <v>38.96</v>
      </c>
      <c r="S309" s="158">
        <v>17.39</v>
      </c>
      <c r="T309" s="158">
        <v>3.13</v>
      </c>
      <c r="U309" s="158">
        <v>1305.9100000000001</v>
      </c>
      <c r="V309" s="163">
        <v>0</v>
      </c>
      <c r="W309" s="122"/>
      <c r="X309" s="162">
        <v>20260415</v>
      </c>
      <c r="Y309" s="122"/>
      <c r="Z309" s="122" t="s">
        <v>139</v>
      </c>
      <c r="AA309" s="122">
        <v>3908900</v>
      </c>
      <c r="AB309" s="122" t="s">
        <v>145</v>
      </c>
      <c r="AC309" s="122"/>
      <c r="AD309" s="122"/>
      <c r="AE309" s="129">
        <v>0.55924768518518519</v>
      </c>
      <c r="AF309" s="122" t="s">
        <v>141</v>
      </c>
      <c r="AG309" s="139" t="s">
        <v>148</v>
      </c>
    </row>
    <row r="310" spans="1:33" x14ac:dyDescent="0.3">
      <c r="A310" s="121">
        <v>1044162</v>
      </c>
      <c r="B310" s="122" t="s">
        <v>162</v>
      </c>
      <c r="C310" s="122" t="s">
        <v>66</v>
      </c>
      <c r="D310" s="123">
        <v>46126</v>
      </c>
      <c r="E310" s="123">
        <v>46126</v>
      </c>
      <c r="F310" s="122"/>
      <c r="G310" s="122">
        <v>883</v>
      </c>
      <c r="H310" s="122" t="s">
        <v>132</v>
      </c>
      <c r="I310" s="122">
        <v>3872</v>
      </c>
      <c r="J310" s="122">
        <v>229966</v>
      </c>
      <c r="K310" s="122"/>
      <c r="L310" s="122" t="s">
        <v>451</v>
      </c>
      <c r="M310" s="122" t="s">
        <v>160</v>
      </c>
      <c r="N310" s="122" t="s">
        <v>161</v>
      </c>
      <c r="O310" s="123">
        <v>46126</v>
      </c>
      <c r="P310" s="158">
        <v>1699</v>
      </c>
      <c r="Q310" s="158" t="s">
        <v>67</v>
      </c>
      <c r="R310" s="158">
        <v>49.1</v>
      </c>
      <c r="S310" s="158">
        <v>21.92</v>
      </c>
      <c r="T310" s="158">
        <v>3.95</v>
      </c>
      <c r="U310" s="158">
        <v>1645.95</v>
      </c>
      <c r="V310" s="163">
        <v>0</v>
      </c>
      <c r="W310" s="122"/>
      <c r="X310" s="162">
        <v>20260415</v>
      </c>
      <c r="Y310" s="122"/>
      <c r="Z310" s="122" t="s">
        <v>139</v>
      </c>
      <c r="AA310" s="122">
        <v>3908900</v>
      </c>
      <c r="AB310" s="122" t="s">
        <v>148</v>
      </c>
      <c r="AC310" s="122"/>
      <c r="AD310" s="122"/>
      <c r="AE310" s="129">
        <v>0.59930555555555554</v>
      </c>
      <c r="AF310" s="122" t="s">
        <v>141</v>
      </c>
      <c r="AG310" s="139" t="s">
        <v>148</v>
      </c>
    </row>
    <row r="311" spans="1:33" x14ac:dyDescent="0.3">
      <c r="A311" s="121">
        <v>1044162</v>
      </c>
      <c r="B311" s="122" t="s">
        <v>162</v>
      </c>
      <c r="C311" s="122" t="s">
        <v>66</v>
      </c>
      <c r="D311" s="123">
        <v>46126</v>
      </c>
      <c r="E311" s="123">
        <v>46126</v>
      </c>
      <c r="F311" s="122"/>
      <c r="G311" s="122">
        <v>883</v>
      </c>
      <c r="H311" s="122" t="s">
        <v>132</v>
      </c>
      <c r="I311" s="122">
        <v>3884</v>
      </c>
      <c r="J311" s="122">
        <v>65290</v>
      </c>
      <c r="K311" s="122"/>
      <c r="L311" s="122" t="s">
        <v>452</v>
      </c>
      <c r="M311" s="122" t="s">
        <v>160</v>
      </c>
      <c r="N311" s="122" t="s">
        <v>161</v>
      </c>
      <c r="O311" s="123">
        <v>46126</v>
      </c>
      <c r="P311" s="158">
        <v>1498</v>
      </c>
      <c r="Q311" s="158" t="s">
        <v>67</v>
      </c>
      <c r="R311" s="158">
        <v>43.29</v>
      </c>
      <c r="S311" s="158">
        <v>19.32</v>
      </c>
      <c r="T311" s="158">
        <v>3.48</v>
      </c>
      <c r="U311" s="158">
        <v>1451.23</v>
      </c>
      <c r="V311" s="163">
        <v>0</v>
      </c>
      <c r="W311" s="122"/>
      <c r="X311" s="162">
        <v>20260415</v>
      </c>
      <c r="Y311" s="122"/>
      <c r="Z311" s="122" t="s">
        <v>139</v>
      </c>
      <c r="AA311" s="122">
        <v>3908900</v>
      </c>
      <c r="AB311" s="122" t="s">
        <v>152</v>
      </c>
      <c r="AC311" s="122"/>
      <c r="AD311" s="122"/>
      <c r="AE311" s="129">
        <v>0.65016203703703701</v>
      </c>
      <c r="AF311" s="122" t="s">
        <v>141</v>
      </c>
      <c r="AG311" s="139" t="s">
        <v>148</v>
      </c>
    </row>
    <row r="312" spans="1:33" x14ac:dyDescent="0.3">
      <c r="A312" s="121">
        <v>1044162</v>
      </c>
      <c r="B312" s="122" t="s">
        <v>162</v>
      </c>
      <c r="C312" s="122" t="s">
        <v>66</v>
      </c>
      <c r="D312" s="123">
        <v>46126</v>
      </c>
      <c r="E312" s="123">
        <v>46126</v>
      </c>
      <c r="F312" s="122"/>
      <c r="G312" s="122">
        <v>883</v>
      </c>
      <c r="H312" s="122" t="s">
        <v>132</v>
      </c>
      <c r="I312" s="122">
        <v>3886</v>
      </c>
      <c r="J312" s="122">
        <v>373859</v>
      </c>
      <c r="K312" s="122"/>
      <c r="L312" s="122" t="s">
        <v>453</v>
      </c>
      <c r="M312" s="122" t="s">
        <v>160</v>
      </c>
      <c r="N312" s="122" t="s">
        <v>161</v>
      </c>
      <c r="O312" s="123">
        <v>46126</v>
      </c>
      <c r="P312" s="158">
        <v>1149</v>
      </c>
      <c r="Q312" s="158" t="s">
        <v>67</v>
      </c>
      <c r="R312" s="158">
        <v>33.21</v>
      </c>
      <c r="S312" s="158">
        <v>14.83</v>
      </c>
      <c r="T312" s="158">
        <v>2.67</v>
      </c>
      <c r="U312" s="158">
        <v>1113.1199999999999</v>
      </c>
      <c r="V312" s="163">
        <v>0</v>
      </c>
      <c r="W312" s="122"/>
      <c r="X312" s="162">
        <v>20260415</v>
      </c>
      <c r="Y312" s="122"/>
      <c r="Z312" s="122" t="s">
        <v>139</v>
      </c>
      <c r="AA312" s="122">
        <v>3908900</v>
      </c>
      <c r="AB312" s="122" t="s">
        <v>147</v>
      </c>
      <c r="AC312" s="122"/>
      <c r="AD312" s="122"/>
      <c r="AE312" s="129">
        <v>0.76436342592592599</v>
      </c>
      <c r="AF312" s="122" t="s">
        <v>141</v>
      </c>
      <c r="AG312" s="139" t="s">
        <v>148</v>
      </c>
    </row>
    <row r="313" spans="1:33" x14ac:dyDescent="0.3">
      <c r="A313" s="121">
        <v>1044162</v>
      </c>
      <c r="B313" s="122" t="s">
        <v>162</v>
      </c>
      <c r="C313" s="122" t="s">
        <v>66</v>
      </c>
      <c r="D313" s="123">
        <v>46126</v>
      </c>
      <c r="E313" s="123">
        <v>46126</v>
      </c>
      <c r="F313" s="122"/>
      <c r="G313" s="122">
        <v>883</v>
      </c>
      <c r="H313" s="122" t="s">
        <v>132</v>
      </c>
      <c r="I313" s="122">
        <v>3888</v>
      </c>
      <c r="J313" s="122">
        <v>6627</v>
      </c>
      <c r="K313" s="122">
        <v>2</v>
      </c>
      <c r="L313" s="122" t="s">
        <v>454</v>
      </c>
      <c r="M313" s="122" t="s">
        <v>160</v>
      </c>
      <c r="N313" s="122" t="s">
        <v>161</v>
      </c>
      <c r="O313" s="123">
        <v>46126</v>
      </c>
      <c r="P313" s="158">
        <v>529</v>
      </c>
      <c r="Q313" s="158" t="s">
        <v>67</v>
      </c>
      <c r="R313" s="158">
        <v>15.29</v>
      </c>
      <c r="S313" s="158">
        <v>3.12</v>
      </c>
      <c r="T313" s="158">
        <v>0.56000000000000005</v>
      </c>
      <c r="U313" s="158">
        <v>513.15</v>
      </c>
      <c r="V313" s="163">
        <v>0</v>
      </c>
      <c r="W313" s="122"/>
      <c r="X313" s="162">
        <v>20260415</v>
      </c>
      <c r="Y313" s="122"/>
      <c r="Z313" s="122" t="s">
        <v>142</v>
      </c>
      <c r="AA313" s="122">
        <v>3908900</v>
      </c>
      <c r="AB313" s="122" t="s">
        <v>145</v>
      </c>
      <c r="AC313" s="122" t="s">
        <v>144</v>
      </c>
      <c r="AD313" s="122"/>
      <c r="AE313" s="129">
        <v>0.82516203703703705</v>
      </c>
      <c r="AF313" s="122" t="s">
        <v>141</v>
      </c>
      <c r="AG313" s="139" t="s">
        <v>148</v>
      </c>
    </row>
    <row r="314" spans="1:33" x14ac:dyDescent="0.3">
      <c r="A314" s="121">
        <v>1044162</v>
      </c>
      <c r="B314" s="122" t="s">
        <v>162</v>
      </c>
      <c r="C314" s="122" t="s">
        <v>66</v>
      </c>
      <c r="D314" s="123">
        <v>46126</v>
      </c>
      <c r="E314" s="123">
        <v>46126</v>
      </c>
      <c r="F314" s="122"/>
      <c r="G314" s="122">
        <v>883</v>
      </c>
      <c r="H314" s="122" t="s">
        <v>132</v>
      </c>
      <c r="I314" s="122">
        <v>3890</v>
      </c>
      <c r="J314" s="122">
        <v>195920</v>
      </c>
      <c r="K314" s="122"/>
      <c r="L314" s="122" t="s">
        <v>166</v>
      </c>
      <c r="M314" s="122" t="s">
        <v>160</v>
      </c>
      <c r="N314" s="122" t="s">
        <v>161</v>
      </c>
      <c r="O314" s="123">
        <v>46126</v>
      </c>
      <c r="P314" s="158">
        <v>806</v>
      </c>
      <c r="Q314" s="158" t="s">
        <v>67</v>
      </c>
      <c r="R314" s="158">
        <v>23.29</v>
      </c>
      <c r="S314" s="158">
        <v>6.36</v>
      </c>
      <c r="T314" s="158">
        <v>1.1399999999999999</v>
      </c>
      <c r="U314" s="158">
        <v>781.57</v>
      </c>
      <c r="V314" s="163">
        <v>0</v>
      </c>
      <c r="W314" s="122"/>
      <c r="X314" s="162">
        <v>20260415</v>
      </c>
      <c r="Y314" s="122"/>
      <c r="Z314" s="122" t="s">
        <v>139</v>
      </c>
      <c r="AA314" s="122">
        <v>3908900</v>
      </c>
      <c r="AB314" s="122" t="s">
        <v>147</v>
      </c>
      <c r="AC314" s="122"/>
      <c r="AD314" s="122"/>
      <c r="AE314" s="129">
        <v>0.83215277777777785</v>
      </c>
      <c r="AF314" s="122" t="s">
        <v>141</v>
      </c>
      <c r="AG314" s="139" t="s">
        <v>148</v>
      </c>
    </row>
    <row r="315" spans="1:33" x14ac:dyDescent="0.3">
      <c r="A315" s="121">
        <v>1044162</v>
      </c>
      <c r="B315" s="122" t="s">
        <v>162</v>
      </c>
      <c r="C315" s="122" t="s">
        <v>66</v>
      </c>
      <c r="D315" s="123">
        <v>46126</v>
      </c>
      <c r="E315" s="123">
        <v>46126</v>
      </c>
      <c r="F315" s="122"/>
      <c r="G315" s="122">
        <v>883</v>
      </c>
      <c r="H315" s="122">
        <v>65656565</v>
      </c>
      <c r="I315" s="122">
        <v>3892</v>
      </c>
      <c r="J315" s="122">
        <v>368110</v>
      </c>
      <c r="K315" s="122"/>
      <c r="L315" s="122" t="s">
        <v>455</v>
      </c>
      <c r="M315" s="122" t="s">
        <v>160</v>
      </c>
      <c r="N315" s="122" t="s">
        <v>161</v>
      </c>
      <c r="O315" s="123">
        <v>46126</v>
      </c>
      <c r="P315" s="158">
        <v>179.9</v>
      </c>
      <c r="Q315" s="158" t="s">
        <v>67</v>
      </c>
      <c r="R315" s="158">
        <v>5.19</v>
      </c>
      <c r="S315" s="158">
        <v>2.31</v>
      </c>
      <c r="T315" s="158">
        <v>0.42</v>
      </c>
      <c r="U315" s="158">
        <v>174.29</v>
      </c>
      <c r="V315" s="163">
        <v>0</v>
      </c>
      <c r="W315" s="122"/>
      <c r="X315" s="162">
        <v>20260415</v>
      </c>
      <c r="Y315" s="122"/>
      <c r="Z315" s="122" t="s">
        <v>139</v>
      </c>
      <c r="AA315" s="122">
        <v>3908900</v>
      </c>
      <c r="AB315" s="122" t="s">
        <v>145</v>
      </c>
      <c r="AC315" s="122"/>
      <c r="AD315" s="122" t="s">
        <v>146</v>
      </c>
      <c r="AE315" s="129">
        <v>0.83877314814814818</v>
      </c>
      <c r="AF315" s="122" t="s">
        <v>141</v>
      </c>
      <c r="AG315" s="139" t="s">
        <v>148</v>
      </c>
    </row>
    <row r="316" spans="1:33" x14ac:dyDescent="0.3">
      <c r="A316" s="121">
        <v>1044162</v>
      </c>
      <c r="B316" s="122" t="s">
        <v>162</v>
      </c>
      <c r="C316" s="122" t="s">
        <v>66</v>
      </c>
      <c r="D316" s="123">
        <v>46126</v>
      </c>
      <c r="E316" s="123">
        <v>46126</v>
      </c>
      <c r="F316" s="122"/>
      <c r="G316" s="122">
        <v>883</v>
      </c>
      <c r="H316" s="122" t="s">
        <v>132</v>
      </c>
      <c r="I316" s="122">
        <v>3895</v>
      </c>
      <c r="J316" s="122">
        <v>202653</v>
      </c>
      <c r="K316" s="122"/>
      <c r="L316" s="122" t="s">
        <v>164</v>
      </c>
      <c r="M316" s="122" t="s">
        <v>160</v>
      </c>
      <c r="N316" s="122" t="s">
        <v>161</v>
      </c>
      <c r="O316" s="123">
        <v>46126</v>
      </c>
      <c r="P316" s="158">
        <v>1529</v>
      </c>
      <c r="Q316" s="158" t="s">
        <v>67</v>
      </c>
      <c r="R316" s="158">
        <v>44.19</v>
      </c>
      <c r="S316" s="158">
        <v>12.08</v>
      </c>
      <c r="T316" s="158">
        <v>2.17</v>
      </c>
      <c r="U316" s="158">
        <v>1482.64</v>
      </c>
      <c r="V316" s="163">
        <v>0</v>
      </c>
      <c r="W316" s="122"/>
      <c r="X316" s="162">
        <v>20260415</v>
      </c>
      <c r="Y316" s="122"/>
      <c r="Z316" s="122" t="s">
        <v>139</v>
      </c>
      <c r="AA316" s="122">
        <v>3908900</v>
      </c>
      <c r="AB316" s="122" t="s">
        <v>147</v>
      </c>
      <c r="AC316" s="122"/>
      <c r="AD316" s="122"/>
      <c r="AE316" s="129">
        <v>0.85128472222222218</v>
      </c>
      <c r="AF316" s="122" t="s">
        <v>141</v>
      </c>
      <c r="AG316" s="139" t="s">
        <v>148</v>
      </c>
    </row>
    <row r="317" spans="1:33" x14ac:dyDescent="0.3">
      <c r="A317" s="121">
        <v>1044162</v>
      </c>
      <c r="B317" s="122" t="s">
        <v>162</v>
      </c>
      <c r="C317" s="122" t="s">
        <v>66</v>
      </c>
      <c r="D317" s="123">
        <v>46126</v>
      </c>
      <c r="E317" s="123">
        <v>46126</v>
      </c>
      <c r="F317" s="122"/>
      <c r="G317" s="122">
        <v>883</v>
      </c>
      <c r="H317" s="122" t="s">
        <v>132</v>
      </c>
      <c r="I317" s="122">
        <v>3901</v>
      </c>
      <c r="J317" s="122">
        <v>46304</v>
      </c>
      <c r="K317" s="122"/>
      <c r="L317" s="122" t="s">
        <v>456</v>
      </c>
      <c r="M317" s="122" t="s">
        <v>160</v>
      </c>
      <c r="N317" s="122" t="s">
        <v>161</v>
      </c>
      <c r="O317" s="123">
        <v>46126</v>
      </c>
      <c r="P317" s="158">
        <v>1799</v>
      </c>
      <c r="Q317" s="158" t="s">
        <v>67</v>
      </c>
      <c r="R317" s="158">
        <v>51.99</v>
      </c>
      <c r="S317" s="158">
        <v>23.21</v>
      </c>
      <c r="T317" s="158">
        <v>4.18</v>
      </c>
      <c r="U317" s="158">
        <v>1742.83</v>
      </c>
      <c r="V317" s="161">
        <v>14760.3</v>
      </c>
      <c r="W317" s="123">
        <v>46127</v>
      </c>
      <c r="X317" s="162">
        <v>20260415</v>
      </c>
      <c r="Y317" s="122">
        <v>104101</v>
      </c>
      <c r="Z317" s="122" t="s">
        <v>139</v>
      </c>
      <c r="AA317" s="122">
        <v>3908900</v>
      </c>
      <c r="AB317" s="122" t="s">
        <v>147</v>
      </c>
      <c r="AC317" s="122"/>
      <c r="AD317" s="122"/>
      <c r="AE317" s="129">
        <v>0.89495370370370375</v>
      </c>
      <c r="AF317" s="122" t="s">
        <v>141</v>
      </c>
      <c r="AG317" s="139" t="s">
        <v>148</v>
      </c>
    </row>
    <row r="318" spans="1:33" x14ac:dyDescent="0.3">
      <c r="A318" s="121">
        <v>1044162</v>
      </c>
      <c r="B318" s="122" t="s">
        <v>159</v>
      </c>
      <c r="C318" s="122" t="s">
        <v>66</v>
      </c>
      <c r="D318" s="123">
        <v>46127</v>
      </c>
      <c r="E318" s="123">
        <v>46127</v>
      </c>
      <c r="F318" s="122"/>
      <c r="G318" s="122">
        <v>884</v>
      </c>
      <c r="H318" s="122" t="s">
        <v>132</v>
      </c>
      <c r="I318" s="122">
        <v>3938</v>
      </c>
      <c r="J318" s="122" t="s">
        <v>176</v>
      </c>
      <c r="K318" s="122">
        <v>2</v>
      </c>
      <c r="L318" s="122" t="s">
        <v>457</v>
      </c>
      <c r="M318" s="122" t="s">
        <v>160</v>
      </c>
      <c r="N318" s="122" t="s">
        <v>161</v>
      </c>
      <c r="O318" s="123">
        <v>46127</v>
      </c>
      <c r="P318" s="158">
        <v>329</v>
      </c>
      <c r="Q318" s="158" t="s">
        <v>67</v>
      </c>
      <c r="R318" s="158">
        <v>9.51</v>
      </c>
      <c r="S318" s="158">
        <v>2.6</v>
      </c>
      <c r="T318" s="158">
        <v>0.47</v>
      </c>
      <c r="U318" s="158">
        <v>319.02</v>
      </c>
      <c r="V318" s="163">
        <v>0</v>
      </c>
      <c r="W318" s="122"/>
      <c r="X318" s="162">
        <v>20260416</v>
      </c>
      <c r="Y318" s="122"/>
      <c r="Z318" s="122" t="s">
        <v>142</v>
      </c>
      <c r="AA318" s="122">
        <v>3908900</v>
      </c>
      <c r="AB318" s="122" t="s">
        <v>150</v>
      </c>
      <c r="AC318" s="122" t="s">
        <v>144</v>
      </c>
      <c r="AD318" s="122"/>
      <c r="AE318" s="129">
        <v>0.84357638888888886</v>
      </c>
      <c r="AF318" s="122" t="s">
        <v>141</v>
      </c>
      <c r="AG318" s="139" t="s">
        <v>148</v>
      </c>
    </row>
    <row r="319" spans="1:33" x14ac:dyDescent="0.3">
      <c r="A319" s="121">
        <v>1044162</v>
      </c>
      <c r="B319" s="122" t="s">
        <v>159</v>
      </c>
      <c r="C319" s="122" t="s">
        <v>66</v>
      </c>
      <c r="D319" s="123">
        <v>46127</v>
      </c>
      <c r="E319" s="123">
        <v>46127</v>
      </c>
      <c r="F319" s="122"/>
      <c r="G319" s="122">
        <v>884</v>
      </c>
      <c r="H319" s="122" t="s">
        <v>132</v>
      </c>
      <c r="I319" s="122">
        <v>3940</v>
      </c>
      <c r="J319" s="122">
        <v>763973</v>
      </c>
      <c r="K319" s="122">
        <v>3</v>
      </c>
      <c r="L319" s="122" t="s">
        <v>458</v>
      </c>
      <c r="M319" s="122" t="s">
        <v>160</v>
      </c>
      <c r="N319" s="122" t="s">
        <v>161</v>
      </c>
      <c r="O319" s="123">
        <v>46127</v>
      </c>
      <c r="P319" s="158">
        <v>1799</v>
      </c>
      <c r="Q319" s="158" t="s">
        <v>67</v>
      </c>
      <c r="R319" s="158">
        <v>83.47</v>
      </c>
      <c r="S319" s="158">
        <v>6.12</v>
      </c>
      <c r="T319" s="158">
        <v>1.1000000000000001</v>
      </c>
      <c r="U319" s="158">
        <v>1714.43</v>
      </c>
      <c r="V319" s="161">
        <v>2033.45</v>
      </c>
      <c r="W319" s="123">
        <v>46128</v>
      </c>
      <c r="X319" s="162">
        <v>20260416</v>
      </c>
      <c r="Y319" s="122">
        <v>104101</v>
      </c>
      <c r="Z319" s="122" t="s">
        <v>142</v>
      </c>
      <c r="AA319" s="122">
        <v>3908900</v>
      </c>
      <c r="AB319" s="122" t="s">
        <v>148</v>
      </c>
      <c r="AC319" s="122" t="s">
        <v>151</v>
      </c>
      <c r="AD319" s="122"/>
      <c r="AE319" s="129">
        <v>0.84832175925925923</v>
      </c>
      <c r="AF319" s="122" t="s">
        <v>141</v>
      </c>
      <c r="AG319" s="139" t="s">
        <v>148</v>
      </c>
    </row>
    <row r="320" spans="1:33" x14ac:dyDescent="0.3">
      <c r="A320" s="121">
        <v>1044162</v>
      </c>
      <c r="B320" s="122" t="s">
        <v>162</v>
      </c>
      <c r="C320" s="122" t="s">
        <v>66</v>
      </c>
      <c r="D320" s="123">
        <v>46127</v>
      </c>
      <c r="E320" s="123">
        <v>46127</v>
      </c>
      <c r="F320" s="122"/>
      <c r="G320" s="122">
        <v>884</v>
      </c>
      <c r="H320" s="122">
        <v>65656565</v>
      </c>
      <c r="I320" s="122">
        <v>3906</v>
      </c>
      <c r="J320" s="122">
        <v>968699</v>
      </c>
      <c r="K320" s="122"/>
      <c r="L320" s="122" t="s">
        <v>459</v>
      </c>
      <c r="M320" s="122" t="s">
        <v>160</v>
      </c>
      <c r="N320" s="122" t="s">
        <v>161</v>
      </c>
      <c r="O320" s="123">
        <v>46127</v>
      </c>
      <c r="P320" s="158">
        <v>29.9</v>
      </c>
      <c r="Q320" s="158" t="s">
        <v>67</v>
      </c>
      <c r="R320" s="158">
        <v>0.86</v>
      </c>
      <c r="S320" s="158">
        <v>0.38</v>
      </c>
      <c r="T320" s="158">
        <v>7.0000000000000007E-2</v>
      </c>
      <c r="U320" s="158">
        <v>28.97</v>
      </c>
      <c r="V320" s="163">
        <v>0</v>
      </c>
      <c r="W320" s="122"/>
      <c r="X320" s="162">
        <v>20260416</v>
      </c>
      <c r="Y320" s="122"/>
      <c r="Z320" s="122" t="s">
        <v>139</v>
      </c>
      <c r="AA320" s="122">
        <v>3908900</v>
      </c>
      <c r="AB320" s="122" t="s">
        <v>145</v>
      </c>
      <c r="AC320" s="122"/>
      <c r="AD320" s="122" t="s">
        <v>146</v>
      </c>
      <c r="AE320" s="129">
        <v>0.45251157407407411</v>
      </c>
      <c r="AF320" s="122" t="s">
        <v>141</v>
      </c>
      <c r="AG320" s="139" t="s">
        <v>148</v>
      </c>
    </row>
    <row r="321" spans="1:33" x14ac:dyDescent="0.3">
      <c r="A321" s="121">
        <v>1044162</v>
      </c>
      <c r="B321" s="122" t="s">
        <v>162</v>
      </c>
      <c r="C321" s="122" t="s">
        <v>66</v>
      </c>
      <c r="D321" s="123">
        <v>46127</v>
      </c>
      <c r="E321" s="123">
        <v>46127</v>
      </c>
      <c r="F321" s="122"/>
      <c r="G321" s="122">
        <v>884</v>
      </c>
      <c r="H321" s="122" t="s">
        <v>132</v>
      </c>
      <c r="I321" s="122">
        <v>3909</v>
      </c>
      <c r="J321" s="122">
        <v>51506</v>
      </c>
      <c r="K321" s="122"/>
      <c r="L321" s="122" t="s">
        <v>460</v>
      </c>
      <c r="M321" s="122" t="s">
        <v>160</v>
      </c>
      <c r="N321" s="122" t="s">
        <v>161</v>
      </c>
      <c r="O321" s="123">
        <v>46127</v>
      </c>
      <c r="P321" s="158">
        <v>568</v>
      </c>
      <c r="Q321" s="158" t="s">
        <v>67</v>
      </c>
      <c r="R321" s="158">
        <v>16.420000000000002</v>
      </c>
      <c r="S321" s="158">
        <v>4.49</v>
      </c>
      <c r="T321" s="158">
        <v>0.81</v>
      </c>
      <c r="U321" s="158">
        <v>550.77</v>
      </c>
      <c r="V321" s="163">
        <v>0</v>
      </c>
      <c r="W321" s="122"/>
      <c r="X321" s="162">
        <v>20260416</v>
      </c>
      <c r="Y321" s="122"/>
      <c r="Z321" s="122" t="s">
        <v>142</v>
      </c>
      <c r="AA321" s="122">
        <v>3908900</v>
      </c>
      <c r="AB321" s="122" t="s">
        <v>98</v>
      </c>
      <c r="AC321" s="122"/>
      <c r="AD321" s="122"/>
      <c r="AE321" s="129">
        <v>0.46571759259259254</v>
      </c>
      <c r="AF321" s="122" t="s">
        <v>141</v>
      </c>
      <c r="AG321" s="139" t="s">
        <v>148</v>
      </c>
    </row>
    <row r="322" spans="1:33" x14ac:dyDescent="0.3">
      <c r="A322" s="121">
        <v>1044162</v>
      </c>
      <c r="B322" s="122" t="s">
        <v>162</v>
      </c>
      <c r="C322" s="122" t="s">
        <v>66</v>
      </c>
      <c r="D322" s="123">
        <v>46127</v>
      </c>
      <c r="E322" s="123">
        <v>46127</v>
      </c>
      <c r="F322" s="122"/>
      <c r="G322" s="122">
        <v>884</v>
      </c>
      <c r="H322" s="122" t="s">
        <v>132</v>
      </c>
      <c r="I322" s="122">
        <v>3911</v>
      </c>
      <c r="J322" s="122">
        <v>550574</v>
      </c>
      <c r="K322" s="122"/>
      <c r="L322" s="122" t="s">
        <v>461</v>
      </c>
      <c r="M322" s="122" t="s">
        <v>160</v>
      </c>
      <c r="N322" s="122" t="s">
        <v>161</v>
      </c>
      <c r="O322" s="123">
        <v>46127</v>
      </c>
      <c r="P322" s="158">
        <v>1049</v>
      </c>
      <c r="Q322" s="158" t="s">
        <v>67</v>
      </c>
      <c r="R322" s="158">
        <v>30.32</v>
      </c>
      <c r="S322" s="158">
        <v>4.09</v>
      </c>
      <c r="T322" s="158">
        <v>0.74</v>
      </c>
      <c r="U322" s="158">
        <v>1017.94</v>
      </c>
      <c r="V322" s="163">
        <v>0</v>
      </c>
      <c r="W322" s="122"/>
      <c r="X322" s="162">
        <v>20260416</v>
      </c>
      <c r="Y322" s="122"/>
      <c r="Z322" s="122" t="s">
        <v>142</v>
      </c>
      <c r="AA322" s="122">
        <v>3908900</v>
      </c>
      <c r="AB322" s="122" t="s">
        <v>147</v>
      </c>
      <c r="AC322" s="122"/>
      <c r="AD322" s="122"/>
      <c r="AE322" s="129">
        <v>0.49649305555555556</v>
      </c>
      <c r="AF322" s="122" t="s">
        <v>141</v>
      </c>
      <c r="AG322" s="139" t="s">
        <v>148</v>
      </c>
    </row>
    <row r="323" spans="1:33" x14ac:dyDescent="0.3">
      <c r="A323" s="121">
        <v>1044162</v>
      </c>
      <c r="B323" s="122" t="s">
        <v>162</v>
      </c>
      <c r="C323" s="122" t="s">
        <v>66</v>
      </c>
      <c r="D323" s="123">
        <v>46127</v>
      </c>
      <c r="E323" s="123">
        <v>46127</v>
      </c>
      <c r="F323" s="122"/>
      <c r="G323" s="122">
        <v>884</v>
      </c>
      <c r="H323" s="122" t="s">
        <v>132</v>
      </c>
      <c r="I323" s="122">
        <v>3915</v>
      </c>
      <c r="J323" s="122">
        <v>7551</v>
      </c>
      <c r="K323" s="122"/>
      <c r="L323" s="122" t="s">
        <v>462</v>
      </c>
      <c r="M323" s="122" t="s">
        <v>160</v>
      </c>
      <c r="N323" s="122" t="s">
        <v>161</v>
      </c>
      <c r="O323" s="123">
        <v>46127</v>
      </c>
      <c r="P323" s="158">
        <v>89</v>
      </c>
      <c r="Q323" s="158" t="s">
        <v>67</v>
      </c>
      <c r="R323" s="158">
        <v>2.57</v>
      </c>
      <c r="S323" s="158">
        <v>0.7</v>
      </c>
      <c r="T323" s="158">
        <v>0.13</v>
      </c>
      <c r="U323" s="158">
        <v>86.3</v>
      </c>
      <c r="V323" s="163">
        <v>0</v>
      </c>
      <c r="W323" s="122"/>
      <c r="X323" s="162">
        <v>20260416</v>
      </c>
      <c r="Y323" s="122"/>
      <c r="Z323" s="122" t="s">
        <v>142</v>
      </c>
      <c r="AA323" s="122">
        <v>3908900</v>
      </c>
      <c r="AB323" s="122" t="s">
        <v>98</v>
      </c>
      <c r="AC323" s="122"/>
      <c r="AD323" s="122"/>
      <c r="AE323" s="129">
        <v>0.63520833333333326</v>
      </c>
      <c r="AF323" s="122" t="s">
        <v>141</v>
      </c>
      <c r="AG323" s="139" t="s">
        <v>148</v>
      </c>
    </row>
    <row r="324" spans="1:33" x14ac:dyDescent="0.3">
      <c r="A324" s="121">
        <v>1044162</v>
      </c>
      <c r="B324" s="122" t="s">
        <v>162</v>
      </c>
      <c r="C324" s="122" t="s">
        <v>66</v>
      </c>
      <c r="D324" s="123">
        <v>46127</v>
      </c>
      <c r="E324" s="123">
        <v>46127</v>
      </c>
      <c r="F324" s="122"/>
      <c r="G324" s="122">
        <v>884</v>
      </c>
      <c r="H324" s="122" t="s">
        <v>132</v>
      </c>
      <c r="I324" s="122">
        <v>3917</v>
      </c>
      <c r="J324" s="122">
        <v>87870</v>
      </c>
      <c r="K324" s="122"/>
      <c r="L324" s="122" t="s">
        <v>463</v>
      </c>
      <c r="M324" s="122" t="s">
        <v>160</v>
      </c>
      <c r="N324" s="122" t="s">
        <v>161</v>
      </c>
      <c r="O324" s="123">
        <v>46127</v>
      </c>
      <c r="P324" s="158">
        <v>629</v>
      </c>
      <c r="Q324" s="158" t="s">
        <v>67</v>
      </c>
      <c r="R324" s="158">
        <v>18.18</v>
      </c>
      <c r="S324" s="158">
        <v>8.1199999999999992</v>
      </c>
      <c r="T324" s="158">
        <v>1.46</v>
      </c>
      <c r="U324" s="158">
        <v>609.36</v>
      </c>
      <c r="V324" s="163">
        <v>0</v>
      </c>
      <c r="W324" s="122"/>
      <c r="X324" s="162">
        <v>20260416</v>
      </c>
      <c r="Y324" s="122"/>
      <c r="Z324" s="122" t="s">
        <v>139</v>
      </c>
      <c r="AA324" s="122">
        <v>3908900</v>
      </c>
      <c r="AB324" s="122" t="s">
        <v>147</v>
      </c>
      <c r="AC324" s="122"/>
      <c r="AD324" s="122"/>
      <c r="AE324" s="129">
        <v>0.64754629629629623</v>
      </c>
      <c r="AF324" s="122" t="s">
        <v>141</v>
      </c>
      <c r="AG324" s="139" t="s">
        <v>148</v>
      </c>
    </row>
    <row r="325" spans="1:33" x14ac:dyDescent="0.3">
      <c r="A325" s="121">
        <v>1044162</v>
      </c>
      <c r="B325" s="122" t="s">
        <v>162</v>
      </c>
      <c r="C325" s="122" t="s">
        <v>66</v>
      </c>
      <c r="D325" s="123">
        <v>46127</v>
      </c>
      <c r="E325" s="123">
        <v>46127</v>
      </c>
      <c r="F325" s="122"/>
      <c r="G325" s="122">
        <v>884</v>
      </c>
      <c r="H325" s="122" t="s">
        <v>132</v>
      </c>
      <c r="I325" s="122">
        <v>3928</v>
      </c>
      <c r="J325" s="122">
        <v>186620</v>
      </c>
      <c r="K325" s="122"/>
      <c r="L325" s="122" t="s">
        <v>464</v>
      </c>
      <c r="M325" s="122" t="s">
        <v>160</v>
      </c>
      <c r="N325" s="122" t="s">
        <v>161</v>
      </c>
      <c r="O325" s="123">
        <v>46127</v>
      </c>
      <c r="P325" s="158">
        <v>100</v>
      </c>
      <c r="Q325" s="158" t="s">
        <v>67</v>
      </c>
      <c r="R325" s="158">
        <v>2.89</v>
      </c>
      <c r="S325" s="158">
        <v>1.29</v>
      </c>
      <c r="T325" s="158">
        <v>0.23</v>
      </c>
      <c r="U325" s="158">
        <v>96.88</v>
      </c>
      <c r="V325" s="163">
        <v>0</v>
      </c>
      <c r="W325" s="122"/>
      <c r="X325" s="162">
        <v>20260416</v>
      </c>
      <c r="Y325" s="122"/>
      <c r="Z325" s="122" t="s">
        <v>139</v>
      </c>
      <c r="AA325" s="122">
        <v>3908900</v>
      </c>
      <c r="AB325" s="122" t="s">
        <v>155</v>
      </c>
      <c r="AC325" s="122"/>
      <c r="AD325" s="122"/>
      <c r="AE325" s="129">
        <v>0.7377893518518519</v>
      </c>
      <c r="AF325" s="122" t="s">
        <v>141</v>
      </c>
      <c r="AG325" s="139" t="s">
        <v>148</v>
      </c>
    </row>
    <row r="326" spans="1:33" x14ac:dyDescent="0.3">
      <c r="A326" s="121">
        <v>1044162</v>
      </c>
      <c r="B326" s="122" t="s">
        <v>162</v>
      </c>
      <c r="C326" s="122" t="s">
        <v>66</v>
      </c>
      <c r="D326" s="123">
        <v>46127</v>
      </c>
      <c r="E326" s="123">
        <v>46127</v>
      </c>
      <c r="F326" s="122"/>
      <c r="G326" s="122">
        <v>884</v>
      </c>
      <c r="H326" s="122" t="s">
        <v>132</v>
      </c>
      <c r="I326" s="122">
        <v>3930</v>
      </c>
      <c r="J326" s="122">
        <v>205193</v>
      </c>
      <c r="K326" s="122"/>
      <c r="L326" s="122" t="s">
        <v>465</v>
      </c>
      <c r="M326" s="122" t="s">
        <v>160</v>
      </c>
      <c r="N326" s="122" t="s">
        <v>161</v>
      </c>
      <c r="O326" s="123">
        <v>46127</v>
      </c>
      <c r="P326" s="158">
        <v>45</v>
      </c>
      <c r="Q326" s="158" t="s">
        <v>67</v>
      </c>
      <c r="R326" s="158">
        <v>1.3</v>
      </c>
      <c r="S326" s="158">
        <v>0.57999999999999996</v>
      </c>
      <c r="T326" s="158">
        <v>0.1</v>
      </c>
      <c r="U326" s="158">
        <v>43.6</v>
      </c>
      <c r="V326" s="163">
        <v>0</v>
      </c>
      <c r="W326" s="122"/>
      <c r="X326" s="162">
        <v>20260416</v>
      </c>
      <c r="Y326" s="122"/>
      <c r="Z326" s="122" t="s">
        <v>139</v>
      </c>
      <c r="AA326" s="122">
        <v>3908900</v>
      </c>
      <c r="AB326" s="122" t="s">
        <v>147</v>
      </c>
      <c r="AC326" s="122"/>
      <c r="AD326" s="122"/>
      <c r="AE326" s="129">
        <v>0.73807870370370365</v>
      </c>
      <c r="AF326" s="122" t="s">
        <v>141</v>
      </c>
      <c r="AG326" s="139" t="s">
        <v>148</v>
      </c>
    </row>
    <row r="327" spans="1:33" x14ac:dyDescent="0.3">
      <c r="A327" s="121">
        <v>1044162</v>
      </c>
      <c r="B327" s="122" t="s">
        <v>162</v>
      </c>
      <c r="C327" s="122" t="s">
        <v>66</v>
      </c>
      <c r="D327" s="123">
        <v>46127</v>
      </c>
      <c r="E327" s="123">
        <v>46127</v>
      </c>
      <c r="F327" s="122"/>
      <c r="G327" s="122">
        <v>884</v>
      </c>
      <c r="H327" s="122" t="s">
        <v>132</v>
      </c>
      <c r="I327" s="122">
        <v>3932</v>
      </c>
      <c r="J327" s="122">
        <v>174421</v>
      </c>
      <c r="K327" s="122"/>
      <c r="L327" s="122" t="s">
        <v>168</v>
      </c>
      <c r="M327" s="122" t="s">
        <v>160</v>
      </c>
      <c r="N327" s="122" t="s">
        <v>161</v>
      </c>
      <c r="O327" s="123">
        <v>46127</v>
      </c>
      <c r="P327" s="158">
        <v>863</v>
      </c>
      <c r="Q327" s="158" t="s">
        <v>67</v>
      </c>
      <c r="R327" s="158">
        <v>24.94</v>
      </c>
      <c r="S327" s="158">
        <v>6.82</v>
      </c>
      <c r="T327" s="158">
        <v>1.23</v>
      </c>
      <c r="U327" s="158">
        <v>836.83</v>
      </c>
      <c r="V327" s="163">
        <v>0</v>
      </c>
      <c r="W327" s="122"/>
      <c r="X327" s="162">
        <v>20260416</v>
      </c>
      <c r="Y327" s="122"/>
      <c r="Z327" s="122" t="s">
        <v>139</v>
      </c>
      <c r="AA327" s="122">
        <v>3908900</v>
      </c>
      <c r="AB327" s="122" t="s">
        <v>147</v>
      </c>
      <c r="AC327" s="122"/>
      <c r="AD327" s="122"/>
      <c r="AE327" s="129">
        <v>0.73842592592592593</v>
      </c>
      <c r="AF327" s="122" t="s">
        <v>141</v>
      </c>
      <c r="AG327" s="139" t="s">
        <v>148</v>
      </c>
    </row>
    <row r="328" spans="1:33" x14ac:dyDescent="0.3">
      <c r="A328" s="121">
        <v>1044162</v>
      </c>
      <c r="B328" s="122" t="s">
        <v>162</v>
      </c>
      <c r="C328" s="122" t="s">
        <v>66</v>
      </c>
      <c r="D328" s="123">
        <v>46127</v>
      </c>
      <c r="E328" s="123">
        <v>46127</v>
      </c>
      <c r="F328" s="122"/>
      <c r="G328" s="122">
        <v>884</v>
      </c>
      <c r="H328" s="122" t="s">
        <v>132</v>
      </c>
      <c r="I328" s="122">
        <v>3934</v>
      </c>
      <c r="J328" s="122">
        <v>368729</v>
      </c>
      <c r="K328" s="122"/>
      <c r="L328" s="122" t="s">
        <v>313</v>
      </c>
      <c r="M328" s="122" t="s">
        <v>160</v>
      </c>
      <c r="N328" s="122" t="s">
        <v>161</v>
      </c>
      <c r="O328" s="123">
        <v>46127</v>
      </c>
      <c r="P328" s="158">
        <v>89</v>
      </c>
      <c r="Q328" s="158" t="s">
        <v>67</v>
      </c>
      <c r="R328" s="158">
        <v>2.57</v>
      </c>
      <c r="S328" s="158">
        <v>1.1499999999999999</v>
      </c>
      <c r="T328" s="158">
        <v>0.21</v>
      </c>
      <c r="U328" s="158">
        <v>86.22</v>
      </c>
      <c r="V328" s="163">
        <v>0</v>
      </c>
      <c r="W328" s="122"/>
      <c r="X328" s="162">
        <v>20260416</v>
      </c>
      <c r="Y328" s="122"/>
      <c r="Z328" s="122" t="s">
        <v>139</v>
      </c>
      <c r="AA328" s="122">
        <v>3908900</v>
      </c>
      <c r="AB328" s="122" t="s">
        <v>148</v>
      </c>
      <c r="AC328" s="122"/>
      <c r="AD328" s="122"/>
      <c r="AE328" s="129">
        <v>0.78680555555555554</v>
      </c>
      <c r="AF328" s="122" t="s">
        <v>141</v>
      </c>
      <c r="AG328" s="139" t="s">
        <v>148</v>
      </c>
    </row>
    <row r="329" spans="1:33" x14ac:dyDescent="0.3">
      <c r="A329" s="121">
        <v>1044162</v>
      </c>
      <c r="B329" s="122" t="s">
        <v>162</v>
      </c>
      <c r="C329" s="122" t="s">
        <v>66</v>
      </c>
      <c r="D329" s="123">
        <v>46127</v>
      </c>
      <c r="E329" s="123">
        <v>46127</v>
      </c>
      <c r="F329" s="122"/>
      <c r="G329" s="122">
        <v>884</v>
      </c>
      <c r="H329" s="122" t="s">
        <v>132</v>
      </c>
      <c r="I329" s="122">
        <v>3936</v>
      </c>
      <c r="J329" s="122">
        <v>922808</v>
      </c>
      <c r="K329" s="122"/>
      <c r="L329" s="122" t="s">
        <v>466</v>
      </c>
      <c r="M329" s="122" t="s">
        <v>160</v>
      </c>
      <c r="N329" s="122" t="s">
        <v>161</v>
      </c>
      <c r="O329" s="123">
        <v>46127</v>
      </c>
      <c r="P329" s="158">
        <v>300</v>
      </c>
      <c r="Q329" s="158" t="s">
        <v>67</v>
      </c>
      <c r="R329" s="158">
        <v>8.67</v>
      </c>
      <c r="S329" s="158">
        <v>2.37</v>
      </c>
      <c r="T329" s="158">
        <v>0.43</v>
      </c>
      <c r="U329" s="158">
        <v>290.89999999999998</v>
      </c>
      <c r="V329" s="163">
        <v>0</v>
      </c>
      <c r="W329" s="122"/>
      <c r="X329" s="162">
        <v>20260416</v>
      </c>
      <c r="Y329" s="122"/>
      <c r="Z329" s="122" t="s">
        <v>142</v>
      </c>
      <c r="AA329" s="122">
        <v>3908900</v>
      </c>
      <c r="AB329" s="122" t="s">
        <v>149</v>
      </c>
      <c r="AC329" s="122"/>
      <c r="AD329" s="122"/>
      <c r="AE329" s="129">
        <v>0.84281249999999996</v>
      </c>
      <c r="AF329" s="122" t="s">
        <v>141</v>
      </c>
      <c r="AG329" s="139" t="s">
        <v>148</v>
      </c>
    </row>
    <row r="330" spans="1:33" x14ac:dyDescent="0.3">
      <c r="A330" s="121">
        <v>1044162</v>
      </c>
      <c r="B330" s="122" t="s">
        <v>162</v>
      </c>
      <c r="C330" s="122" t="s">
        <v>66</v>
      </c>
      <c r="D330" s="123">
        <v>46127</v>
      </c>
      <c r="E330" s="123">
        <v>46127</v>
      </c>
      <c r="F330" s="122"/>
      <c r="G330" s="122">
        <v>884</v>
      </c>
      <c r="H330" s="122" t="s">
        <v>132</v>
      </c>
      <c r="I330" s="122">
        <v>3942</v>
      </c>
      <c r="J330" s="122">
        <v>604608</v>
      </c>
      <c r="K330" s="122"/>
      <c r="L330" s="122" t="s">
        <v>467</v>
      </c>
      <c r="M330" s="122" t="s">
        <v>160</v>
      </c>
      <c r="N330" s="122" t="s">
        <v>161</v>
      </c>
      <c r="O330" s="123">
        <v>46127</v>
      </c>
      <c r="P330" s="158">
        <v>114.9</v>
      </c>
      <c r="Q330" s="158" t="s">
        <v>67</v>
      </c>
      <c r="R330" s="158">
        <v>3.32</v>
      </c>
      <c r="S330" s="158">
        <v>1.48</v>
      </c>
      <c r="T330" s="158">
        <v>0.27</v>
      </c>
      <c r="U330" s="158">
        <v>111.31</v>
      </c>
      <c r="V330" s="163">
        <v>0</v>
      </c>
      <c r="W330" s="122"/>
      <c r="X330" s="162">
        <v>20260416</v>
      </c>
      <c r="Y330" s="122"/>
      <c r="Z330" s="122" t="s">
        <v>139</v>
      </c>
      <c r="AA330" s="122">
        <v>3908900</v>
      </c>
      <c r="AB330" s="122" t="s">
        <v>145</v>
      </c>
      <c r="AC330" s="122"/>
      <c r="AD330" s="122"/>
      <c r="AE330" s="129">
        <v>0.88545138888888886</v>
      </c>
      <c r="AF330" s="122" t="s">
        <v>141</v>
      </c>
      <c r="AG330" s="139" t="s">
        <v>148</v>
      </c>
    </row>
    <row r="331" spans="1:33" x14ac:dyDescent="0.3">
      <c r="A331" s="121">
        <v>1044162</v>
      </c>
      <c r="B331" s="122" t="s">
        <v>162</v>
      </c>
      <c r="C331" s="122" t="s">
        <v>66</v>
      </c>
      <c r="D331" s="123">
        <v>46127</v>
      </c>
      <c r="E331" s="123">
        <v>46127</v>
      </c>
      <c r="F331" s="122"/>
      <c r="G331" s="122">
        <v>884</v>
      </c>
      <c r="H331" s="122" t="s">
        <v>132</v>
      </c>
      <c r="I331" s="122">
        <v>3944</v>
      </c>
      <c r="J331" s="122">
        <v>2652</v>
      </c>
      <c r="K331" s="122">
        <v>4</v>
      </c>
      <c r="L331" s="122" t="s">
        <v>468</v>
      </c>
      <c r="M331" s="122" t="s">
        <v>160</v>
      </c>
      <c r="N331" s="122" t="s">
        <v>161</v>
      </c>
      <c r="O331" s="123">
        <v>46127</v>
      </c>
      <c r="P331" s="158">
        <v>2748</v>
      </c>
      <c r="Q331" s="158" t="s">
        <v>67</v>
      </c>
      <c r="R331" s="158">
        <v>79.42</v>
      </c>
      <c r="S331" s="158">
        <v>21.71</v>
      </c>
      <c r="T331" s="158">
        <v>3.91</v>
      </c>
      <c r="U331" s="158">
        <v>2664.67</v>
      </c>
      <c r="V331" s="163">
        <v>0</v>
      </c>
      <c r="W331" s="122"/>
      <c r="X331" s="162">
        <v>20260416</v>
      </c>
      <c r="Y331" s="122"/>
      <c r="Z331" s="122" t="s">
        <v>142</v>
      </c>
      <c r="AA331" s="122">
        <v>3908900</v>
      </c>
      <c r="AB331" s="122" t="s">
        <v>145</v>
      </c>
      <c r="AC331" s="122" t="s">
        <v>144</v>
      </c>
      <c r="AD331" s="122"/>
      <c r="AE331" s="129">
        <v>0.89225694444444448</v>
      </c>
      <c r="AF331" s="122" t="s">
        <v>141</v>
      </c>
      <c r="AG331" s="139" t="s">
        <v>148</v>
      </c>
    </row>
    <row r="332" spans="1:33" x14ac:dyDescent="0.3">
      <c r="A332" s="121">
        <v>1044162</v>
      </c>
      <c r="B332" s="122" t="s">
        <v>162</v>
      </c>
      <c r="C332" s="122" t="s">
        <v>66</v>
      </c>
      <c r="D332" s="123">
        <v>46127</v>
      </c>
      <c r="E332" s="123">
        <v>46127</v>
      </c>
      <c r="F332" s="122"/>
      <c r="G332" s="122">
        <v>884</v>
      </c>
      <c r="H332" s="122" t="s">
        <v>132</v>
      </c>
      <c r="I332" s="122">
        <v>3946</v>
      </c>
      <c r="J332" s="122">
        <v>963105</v>
      </c>
      <c r="K332" s="122">
        <v>2</v>
      </c>
      <c r="L332" s="122" t="s">
        <v>469</v>
      </c>
      <c r="M332" s="122" t="s">
        <v>160</v>
      </c>
      <c r="N332" s="122" t="s">
        <v>161</v>
      </c>
      <c r="O332" s="123">
        <v>46127</v>
      </c>
      <c r="P332" s="158">
        <v>200</v>
      </c>
      <c r="Q332" s="158" t="s">
        <v>67</v>
      </c>
      <c r="R332" s="158">
        <v>5.78</v>
      </c>
      <c r="S332" s="158">
        <v>1.58</v>
      </c>
      <c r="T332" s="158">
        <v>0.28000000000000003</v>
      </c>
      <c r="U332" s="158">
        <v>193.94</v>
      </c>
      <c r="V332" s="161">
        <v>6617.69</v>
      </c>
      <c r="W332" s="123">
        <v>46128</v>
      </c>
      <c r="X332" s="162">
        <v>20260416</v>
      </c>
      <c r="Y332" s="122">
        <v>104101</v>
      </c>
      <c r="Z332" s="122" t="s">
        <v>142</v>
      </c>
      <c r="AA332" s="122">
        <v>3908900</v>
      </c>
      <c r="AB332" s="122" t="s">
        <v>149</v>
      </c>
      <c r="AC332" s="122" t="s">
        <v>144</v>
      </c>
      <c r="AD332" s="122"/>
      <c r="AE332" s="129">
        <v>0.8928356481481482</v>
      </c>
      <c r="AF332" s="122" t="s">
        <v>141</v>
      </c>
      <c r="AG332" s="139" t="s">
        <v>148</v>
      </c>
    </row>
    <row r="333" spans="1:33" x14ac:dyDescent="0.3">
      <c r="A333" s="121">
        <v>1044162</v>
      </c>
      <c r="B333" s="122" t="s">
        <v>162</v>
      </c>
      <c r="C333" s="122" t="s">
        <v>66</v>
      </c>
      <c r="D333" s="123">
        <v>46128</v>
      </c>
      <c r="E333" s="123">
        <v>46128</v>
      </c>
      <c r="F333" s="122"/>
      <c r="G333" s="122">
        <v>885</v>
      </c>
      <c r="H333" s="122">
        <v>65656565</v>
      </c>
      <c r="I333" s="122">
        <v>3955</v>
      </c>
      <c r="J333" s="122">
        <v>707294</v>
      </c>
      <c r="K333" s="122"/>
      <c r="L333" s="122" t="s">
        <v>470</v>
      </c>
      <c r="M333" s="122" t="s">
        <v>160</v>
      </c>
      <c r="N333" s="122" t="s">
        <v>161</v>
      </c>
      <c r="O333" s="123">
        <v>46128</v>
      </c>
      <c r="P333" s="158">
        <v>500</v>
      </c>
      <c r="Q333" s="158" t="s">
        <v>67</v>
      </c>
      <c r="R333" s="158">
        <v>14.45</v>
      </c>
      <c r="S333" s="158">
        <v>6.45</v>
      </c>
      <c r="T333" s="158">
        <v>1.1599999999999999</v>
      </c>
      <c r="U333" s="158">
        <v>484.39</v>
      </c>
      <c r="V333" s="163">
        <v>0</v>
      </c>
      <c r="W333" s="122"/>
      <c r="X333" s="162">
        <v>20260417</v>
      </c>
      <c r="Y333" s="122"/>
      <c r="Z333" s="122" t="s">
        <v>139</v>
      </c>
      <c r="AA333" s="122">
        <v>3908900</v>
      </c>
      <c r="AB333" s="122" t="s">
        <v>145</v>
      </c>
      <c r="AC333" s="122"/>
      <c r="AD333" s="122" t="s">
        <v>146</v>
      </c>
      <c r="AE333" s="129">
        <v>0.45681712962962967</v>
      </c>
      <c r="AF333" s="122" t="s">
        <v>141</v>
      </c>
      <c r="AG333" s="139" t="s">
        <v>148</v>
      </c>
    </row>
    <row r="334" spans="1:33" x14ac:dyDescent="0.3">
      <c r="A334" s="121">
        <v>1044162</v>
      </c>
      <c r="B334" s="122" t="s">
        <v>162</v>
      </c>
      <c r="C334" s="122" t="s">
        <v>66</v>
      </c>
      <c r="D334" s="123">
        <v>46128</v>
      </c>
      <c r="E334" s="123">
        <v>46128</v>
      </c>
      <c r="F334" s="122"/>
      <c r="G334" s="122">
        <v>885</v>
      </c>
      <c r="H334" s="122">
        <v>65656565</v>
      </c>
      <c r="I334" s="122">
        <v>3958</v>
      </c>
      <c r="J334" s="122">
        <v>649040</v>
      </c>
      <c r="K334" s="122"/>
      <c r="L334" s="122" t="s">
        <v>470</v>
      </c>
      <c r="M334" s="122" t="s">
        <v>160</v>
      </c>
      <c r="N334" s="122" t="s">
        <v>161</v>
      </c>
      <c r="O334" s="123">
        <v>46128</v>
      </c>
      <c r="P334" s="158">
        <v>449</v>
      </c>
      <c r="Q334" s="158" t="s">
        <v>67</v>
      </c>
      <c r="R334" s="158">
        <v>12.97</v>
      </c>
      <c r="S334" s="158">
        <v>5.79</v>
      </c>
      <c r="T334" s="158">
        <v>1.04</v>
      </c>
      <c r="U334" s="158">
        <v>434.99</v>
      </c>
      <c r="V334" s="163">
        <v>0</v>
      </c>
      <c r="W334" s="122"/>
      <c r="X334" s="162">
        <v>20260417</v>
      </c>
      <c r="Y334" s="122"/>
      <c r="Z334" s="122" t="s">
        <v>139</v>
      </c>
      <c r="AA334" s="122">
        <v>3908900</v>
      </c>
      <c r="AB334" s="122" t="s">
        <v>145</v>
      </c>
      <c r="AC334" s="122"/>
      <c r="AD334" s="122" t="s">
        <v>146</v>
      </c>
      <c r="AE334" s="129">
        <v>0.45719907407407406</v>
      </c>
      <c r="AF334" s="122" t="s">
        <v>141</v>
      </c>
      <c r="AG334" s="139" t="s">
        <v>148</v>
      </c>
    </row>
    <row r="335" spans="1:33" x14ac:dyDescent="0.3">
      <c r="A335" s="121">
        <v>1044162</v>
      </c>
      <c r="B335" s="122" t="s">
        <v>162</v>
      </c>
      <c r="C335" s="122" t="s">
        <v>66</v>
      </c>
      <c r="D335" s="123">
        <v>46128</v>
      </c>
      <c r="E335" s="123">
        <v>46128</v>
      </c>
      <c r="F335" s="122"/>
      <c r="G335" s="122">
        <v>885</v>
      </c>
      <c r="H335" s="122" t="s">
        <v>132</v>
      </c>
      <c r="I335" s="122">
        <v>3961</v>
      </c>
      <c r="J335" s="122">
        <v>114614</v>
      </c>
      <c r="K335" s="122"/>
      <c r="L335" s="122" t="s">
        <v>471</v>
      </c>
      <c r="M335" s="122" t="s">
        <v>160</v>
      </c>
      <c r="N335" s="122" t="s">
        <v>161</v>
      </c>
      <c r="O335" s="123">
        <v>46128</v>
      </c>
      <c r="P335" s="158">
        <v>629</v>
      </c>
      <c r="Q335" s="158" t="s">
        <v>67</v>
      </c>
      <c r="R335" s="158">
        <v>18.18</v>
      </c>
      <c r="S335" s="158">
        <v>8.1199999999999992</v>
      </c>
      <c r="T335" s="158">
        <v>1.46</v>
      </c>
      <c r="U335" s="158">
        <v>609.36</v>
      </c>
      <c r="V335" s="163">
        <v>0</v>
      </c>
      <c r="W335" s="122"/>
      <c r="X335" s="162">
        <v>20260417</v>
      </c>
      <c r="Y335" s="122"/>
      <c r="Z335" s="122" t="s">
        <v>139</v>
      </c>
      <c r="AA335" s="122">
        <v>3908900</v>
      </c>
      <c r="AB335" s="122" t="s">
        <v>145</v>
      </c>
      <c r="AC335" s="122"/>
      <c r="AD335" s="122"/>
      <c r="AE335" s="129">
        <v>0.62416666666666665</v>
      </c>
      <c r="AF335" s="122" t="s">
        <v>141</v>
      </c>
      <c r="AG335" s="139" t="s">
        <v>148</v>
      </c>
    </row>
    <row r="336" spans="1:33" x14ac:dyDescent="0.3">
      <c r="A336" s="121">
        <v>1044162</v>
      </c>
      <c r="B336" s="122" t="s">
        <v>162</v>
      </c>
      <c r="C336" s="122" t="s">
        <v>66</v>
      </c>
      <c r="D336" s="123">
        <v>46128</v>
      </c>
      <c r="E336" s="123">
        <v>46128</v>
      </c>
      <c r="F336" s="122"/>
      <c r="G336" s="122">
        <v>885</v>
      </c>
      <c r="H336" s="122">
        <v>65656565</v>
      </c>
      <c r="I336" s="122">
        <v>3974</v>
      </c>
      <c r="J336" s="122">
        <v>325948</v>
      </c>
      <c r="K336" s="122"/>
      <c r="L336" s="122" t="s">
        <v>472</v>
      </c>
      <c r="M336" s="122" t="s">
        <v>160</v>
      </c>
      <c r="N336" s="122" t="s">
        <v>161</v>
      </c>
      <c r="O336" s="123">
        <v>46128</v>
      </c>
      <c r="P336" s="158">
        <v>500</v>
      </c>
      <c r="Q336" s="158" t="s">
        <v>67</v>
      </c>
      <c r="R336" s="158">
        <v>14.45</v>
      </c>
      <c r="S336" s="158">
        <v>6.45</v>
      </c>
      <c r="T336" s="158">
        <v>1.1599999999999999</v>
      </c>
      <c r="U336" s="158">
        <v>484.39</v>
      </c>
      <c r="V336" s="163">
        <v>0</v>
      </c>
      <c r="W336" s="122"/>
      <c r="X336" s="162">
        <v>20260417</v>
      </c>
      <c r="Y336" s="122"/>
      <c r="Z336" s="122" t="s">
        <v>139</v>
      </c>
      <c r="AA336" s="122">
        <v>3908900</v>
      </c>
      <c r="AB336" s="122" t="s">
        <v>145</v>
      </c>
      <c r="AC336" s="122"/>
      <c r="AD336" s="122" t="s">
        <v>146</v>
      </c>
      <c r="AE336" s="129">
        <v>0.73903935185185177</v>
      </c>
      <c r="AF336" s="122" t="s">
        <v>141</v>
      </c>
      <c r="AG336" s="139" t="s">
        <v>148</v>
      </c>
    </row>
    <row r="337" spans="1:33" x14ac:dyDescent="0.3">
      <c r="A337" s="121">
        <v>1044162</v>
      </c>
      <c r="B337" s="122" t="s">
        <v>162</v>
      </c>
      <c r="C337" s="122" t="s">
        <v>66</v>
      </c>
      <c r="D337" s="123">
        <v>46128</v>
      </c>
      <c r="E337" s="123">
        <v>46128</v>
      </c>
      <c r="F337" s="122"/>
      <c r="G337" s="122">
        <v>885</v>
      </c>
      <c r="H337" s="122">
        <v>65656565</v>
      </c>
      <c r="I337" s="122">
        <v>3977</v>
      </c>
      <c r="J337" s="122">
        <v>386259</v>
      </c>
      <c r="K337" s="122"/>
      <c r="L337" s="122" t="s">
        <v>472</v>
      </c>
      <c r="M337" s="122" t="s">
        <v>160</v>
      </c>
      <c r="N337" s="122" t="s">
        <v>161</v>
      </c>
      <c r="O337" s="123">
        <v>46128</v>
      </c>
      <c r="P337" s="158">
        <v>500</v>
      </c>
      <c r="Q337" s="158" t="s">
        <v>67</v>
      </c>
      <c r="R337" s="158">
        <v>14.45</v>
      </c>
      <c r="S337" s="158">
        <v>6.45</v>
      </c>
      <c r="T337" s="158">
        <v>1.1599999999999999</v>
      </c>
      <c r="U337" s="158">
        <v>484.39</v>
      </c>
      <c r="V337" s="163">
        <v>0</v>
      </c>
      <c r="W337" s="122"/>
      <c r="X337" s="162">
        <v>20260417</v>
      </c>
      <c r="Y337" s="122"/>
      <c r="Z337" s="122" t="s">
        <v>139</v>
      </c>
      <c r="AA337" s="122">
        <v>3908900</v>
      </c>
      <c r="AB337" s="122" t="s">
        <v>145</v>
      </c>
      <c r="AC337" s="122"/>
      <c r="AD337" s="122" t="s">
        <v>146</v>
      </c>
      <c r="AE337" s="129">
        <v>0.73949074074074073</v>
      </c>
      <c r="AF337" s="122" t="s">
        <v>141</v>
      </c>
      <c r="AG337" s="139" t="s">
        <v>148</v>
      </c>
    </row>
    <row r="338" spans="1:33" x14ac:dyDescent="0.3">
      <c r="A338" s="121">
        <v>1044162</v>
      </c>
      <c r="B338" s="122" t="s">
        <v>162</v>
      </c>
      <c r="C338" s="122" t="s">
        <v>66</v>
      </c>
      <c r="D338" s="123">
        <v>46128</v>
      </c>
      <c r="E338" s="123">
        <v>46128</v>
      </c>
      <c r="F338" s="122"/>
      <c r="G338" s="122">
        <v>885</v>
      </c>
      <c r="H338" s="122">
        <v>65656565</v>
      </c>
      <c r="I338" s="122">
        <v>3980</v>
      </c>
      <c r="J338" s="122">
        <v>387519</v>
      </c>
      <c r="K338" s="122"/>
      <c r="L338" s="122" t="s">
        <v>472</v>
      </c>
      <c r="M338" s="122" t="s">
        <v>160</v>
      </c>
      <c r="N338" s="122" t="s">
        <v>161</v>
      </c>
      <c r="O338" s="123">
        <v>46128</v>
      </c>
      <c r="P338" s="158">
        <v>149</v>
      </c>
      <c r="Q338" s="158" t="s">
        <v>67</v>
      </c>
      <c r="R338" s="158">
        <v>4.3</v>
      </c>
      <c r="S338" s="158">
        <v>1.92</v>
      </c>
      <c r="T338" s="158">
        <v>0.35</v>
      </c>
      <c r="U338" s="158">
        <v>144.35</v>
      </c>
      <c r="V338" s="163">
        <v>0</v>
      </c>
      <c r="W338" s="122"/>
      <c r="X338" s="162">
        <v>20260417</v>
      </c>
      <c r="Y338" s="122"/>
      <c r="Z338" s="122" t="s">
        <v>139</v>
      </c>
      <c r="AA338" s="122">
        <v>3908900</v>
      </c>
      <c r="AB338" s="122" t="s">
        <v>145</v>
      </c>
      <c r="AC338" s="122"/>
      <c r="AD338" s="122" t="s">
        <v>146</v>
      </c>
      <c r="AE338" s="129">
        <v>0.73996527777777776</v>
      </c>
      <c r="AF338" s="122" t="s">
        <v>141</v>
      </c>
      <c r="AG338" s="139" t="s">
        <v>148</v>
      </c>
    </row>
    <row r="339" spans="1:33" x14ac:dyDescent="0.3">
      <c r="A339" s="121">
        <v>1044162</v>
      </c>
      <c r="B339" s="122" t="s">
        <v>162</v>
      </c>
      <c r="C339" s="122" t="s">
        <v>66</v>
      </c>
      <c r="D339" s="123">
        <v>46128</v>
      </c>
      <c r="E339" s="123">
        <v>46128</v>
      </c>
      <c r="F339" s="122"/>
      <c r="G339" s="122">
        <v>885</v>
      </c>
      <c r="H339" s="122" t="s">
        <v>132</v>
      </c>
      <c r="I339" s="122">
        <v>3983</v>
      </c>
      <c r="J339" s="122">
        <v>18244</v>
      </c>
      <c r="K339" s="122">
        <v>3</v>
      </c>
      <c r="L339" s="122" t="s">
        <v>473</v>
      </c>
      <c r="M339" s="122" t="s">
        <v>160</v>
      </c>
      <c r="N339" s="122" t="s">
        <v>161</v>
      </c>
      <c r="O339" s="123">
        <v>46128</v>
      </c>
      <c r="P339" s="158">
        <v>629</v>
      </c>
      <c r="Q339" s="158" t="s">
        <v>67</v>
      </c>
      <c r="R339" s="158">
        <v>29.19</v>
      </c>
      <c r="S339" s="158">
        <v>3.71</v>
      </c>
      <c r="T339" s="158">
        <v>0.67</v>
      </c>
      <c r="U339" s="158">
        <v>599.14</v>
      </c>
      <c r="V339" s="163">
        <v>0</v>
      </c>
      <c r="W339" s="122"/>
      <c r="X339" s="162">
        <v>20260417</v>
      </c>
      <c r="Y339" s="122"/>
      <c r="Z339" s="122" t="s">
        <v>142</v>
      </c>
      <c r="AA339" s="122">
        <v>3908900</v>
      </c>
      <c r="AB339" s="122" t="s">
        <v>148</v>
      </c>
      <c r="AC339" s="122" t="s">
        <v>151</v>
      </c>
      <c r="AD339" s="122"/>
      <c r="AE339" s="129">
        <v>0.82209490740740743</v>
      </c>
      <c r="AF339" s="122" t="s">
        <v>141</v>
      </c>
      <c r="AG339" s="139" t="s">
        <v>148</v>
      </c>
    </row>
    <row r="340" spans="1:33" x14ac:dyDescent="0.3">
      <c r="A340" s="121">
        <v>1044162</v>
      </c>
      <c r="B340" s="122" t="s">
        <v>162</v>
      </c>
      <c r="C340" s="122" t="s">
        <v>66</v>
      </c>
      <c r="D340" s="123">
        <v>46128</v>
      </c>
      <c r="E340" s="123">
        <v>46128</v>
      </c>
      <c r="F340" s="122"/>
      <c r="G340" s="122">
        <v>885</v>
      </c>
      <c r="H340" s="122" t="s">
        <v>132</v>
      </c>
      <c r="I340" s="122">
        <v>3986</v>
      </c>
      <c r="J340" s="122">
        <v>529206</v>
      </c>
      <c r="K340" s="122"/>
      <c r="L340" s="122" t="s">
        <v>474</v>
      </c>
      <c r="M340" s="122" t="s">
        <v>160</v>
      </c>
      <c r="N340" s="122" t="s">
        <v>161</v>
      </c>
      <c r="O340" s="123">
        <v>46128</v>
      </c>
      <c r="P340" s="158">
        <v>500</v>
      </c>
      <c r="Q340" s="158" t="s">
        <v>67</v>
      </c>
      <c r="R340" s="158">
        <v>14.45</v>
      </c>
      <c r="S340" s="158">
        <v>6.45</v>
      </c>
      <c r="T340" s="158">
        <v>1.1599999999999999</v>
      </c>
      <c r="U340" s="158">
        <v>484.39</v>
      </c>
      <c r="V340" s="163">
        <v>0</v>
      </c>
      <c r="W340" s="122"/>
      <c r="X340" s="162">
        <v>20260417</v>
      </c>
      <c r="Y340" s="122"/>
      <c r="Z340" s="122" t="s">
        <v>139</v>
      </c>
      <c r="AA340" s="122">
        <v>3908900</v>
      </c>
      <c r="AB340" s="122" t="s">
        <v>155</v>
      </c>
      <c r="AC340" s="122"/>
      <c r="AD340" s="122"/>
      <c r="AE340" s="129">
        <v>0.83480324074074075</v>
      </c>
      <c r="AF340" s="122" t="s">
        <v>141</v>
      </c>
      <c r="AG340" s="139" t="s">
        <v>148</v>
      </c>
    </row>
    <row r="341" spans="1:33" x14ac:dyDescent="0.3">
      <c r="A341" s="121">
        <v>1044162</v>
      </c>
      <c r="B341" s="122" t="s">
        <v>162</v>
      </c>
      <c r="C341" s="122" t="s">
        <v>66</v>
      </c>
      <c r="D341" s="123">
        <v>46128</v>
      </c>
      <c r="E341" s="123">
        <v>46128</v>
      </c>
      <c r="F341" s="122"/>
      <c r="G341" s="122">
        <v>885</v>
      </c>
      <c r="H341" s="122" t="s">
        <v>132</v>
      </c>
      <c r="I341" s="122">
        <v>3989</v>
      </c>
      <c r="J341" s="122" t="s">
        <v>177</v>
      </c>
      <c r="K341" s="122"/>
      <c r="L341" s="122" t="s">
        <v>475</v>
      </c>
      <c r="M341" s="122" t="s">
        <v>160</v>
      </c>
      <c r="N341" s="122" t="s">
        <v>161</v>
      </c>
      <c r="O341" s="123">
        <v>46128</v>
      </c>
      <c r="P341" s="158">
        <v>218.9</v>
      </c>
      <c r="Q341" s="158" t="s">
        <v>67</v>
      </c>
      <c r="R341" s="158">
        <v>6.33</v>
      </c>
      <c r="S341" s="158">
        <v>1.73</v>
      </c>
      <c r="T341" s="158">
        <v>0.31</v>
      </c>
      <c r="U341" s="158">
        <v>212.26</v>
      </c>
      <c r="V341" s="161">
        <v>3937.66</v>
      </c>
      <c r="W341" s="123">
        <v>46129</v>
      </c>
      <c r="X341" s="162">
        <v>20260417</v>
      </c>
      <c r="Y341" s="122">
        <v>104101</v>
      </c>
      <c r="Z341" s="122" t="s">
        <v>142</v>
      </c>
      <c r="AA341" s="122">
        <v>3908900</v>
      </c>
      <c r="AB341" s="122" t="s">
        <v>145</v>
      </c>
      <c r="AC341" s="122"/>
      <c r="AD341" s="122"/>
      <c r="AE341" s="129">
        <v>0.8365393518518518</v>
      </c>
      <c r="AF341" s="122" t="s">
        <v>141</v>
      </c>
      <c r="AG341" s="139" t="s">
        <v>148</v>
      </c>
    </row>
    <row r="342" spans="1:33" x14ac:dyDescent="0.3">
      <c r="A342" s="121">
        <v>1044162</v>
      </c>
      <c r="B342" s="122" t="s">
        <v>162</v>
      </c>
      <c r="C342" s="122" t="s">
        <v>66</v>
      </c>
      <c r="D342" s="123">
        <v>46129</v>
      </c>
      <c r="E342" s="123">
        <v>46129</v>
      </c>
      <c r="F342" s="122"/>
      <c r="G342" s="122">
        <v>886</v>
      </c>
      <c r="H342" s="122" t="s">
        <v>132</v>
      </c>
      <c r="I342" s="122">
        <v>3994</v>
      </c>
      <c r="J342" s="122">
        <v>394862</v>
      </c>
      <c r="K342" s="122"/>
      <c r="L342" s="122" t="s">
        <v>476</v>
      </c>
      <c r="M342" s="122" t="s">
        <v>170</v>
      </c>
      <c r="N342" s="122" t="s">
        <v>161</v>
      </c>
      <c r="O342" s="123">
        <v>46129</v>
      </c>
      <c r="P342" s="158">
        <v>688</v>
      </c>
      <c r="Q342" s="158" t="s">
        <v>67</v>
      </c>
      <c r="R342" s="158">
        <v>19.88</v>
      </c>
      <c r="S342" s="158">
        <v>8.8699999999999992</v>
      </c>
      <c r="T342" s="158">
        <v>1.6</v>
      </c>
      <c r="U342" s="158">
        <v>666.52</v>
      </c>
      <c r="V342" s="163">
        <v>0</v>
      </c>
      <c r="W342" s="122"/>
      <c r="X342" s="162">
        <v>20260420</v>
      </c>
      <c r="Y342" s="122"/>
      <c r="Z342" s="122"/>
      <c r="AA342" s="122">
        <v>3908900</v>
      </c>
      <c r="AB342" s="122" t="s">
        <v>147</v>
      </c>
      <c r="AC342" s="122"/>
      <c r="AD342" s="122"/>
      <c r="AE342" s="129">
        <v>0.43821759259259263</v>
      </c>
      <c r="AF342" s="122" t="s">
        <v>141</v>
      </c>
      <c r="AG342" s="139" t="s">
        <v>148</v>
      </c>
    </row>
    <row r="343" spans="1:33" x14ac:dyDescent="0.3">
      <c r="A343" s="121">
        <v>1044162</v>
      </c>
      <c r="B343" s="122" t="s">
        <v>162</v>
      </c>
      <c r="C343" s="122" t="s">
        <v>66</v>
      </c>
      <c r="D343" s="123">
        <v>46129</v>
      </c>
      <c r="E343" s="123">
        <v>46129</v>
      </c>
      <c r="F343" s="122"/>
      <c r="G343" s="122">
        <v>886</v>
      </c>
      <c r="H343" s="122" t="s">
        <v>132</v>
      </c>
      <c r="I343" s="122">
        <v>3996</v>
      </c>
      <c r="J343" s="122">
        <v>357783</v>
      </c>
      <c r="K343" s="122">
        <v>3</v>
      </c>
      <c r="L343" s="122" t="s">
        <v>477</v>
      </c>
      <c r="M343" s="122" t="s">
        <v>160</v>
      </c>
      <c r="N343" s="122" t="s">
        <v>161</v>
      </c>
      <c r="O343" s="123">
        <v>46129</v>
      </c>
      <c r="P343" s="158">
        <v>629</v>
      </c>
      <c r="Q343" s="158" t="s">
        <v>67</v>
      </c>
      <c r="R343" s="158">
        <v>18.18</v>
      </c>
      <c r="S343" s="158">
        <v>3.71</v>
      </c>
      <c r="T343" s="158">
        <v>0.67</v>
      </c>
      <c r="U343" s="158">
        <v>610.15</v>
      </c>
      <c r="V343" s="163">
        <v>0</v>
      </c>
      <c r="W343" s="122"/>
      <c r="X343" s="162">
        <v>20260420</v>
      </c>
      <c r="Y343" s="122"/>
      <c r="Z343" s="122" t="s">
        <v>142</v>
      </c>
      <c r="AA343" s="122">
        <v>3908900</v>
      </c>
      <c r="AB343" s="122" t="s">
        <v>149</v>
      </c>
      <c r="AC343" s="122" t="s">
        <v>144</v>
      </c>
      <c r="AD343" s="122"/>
      <c r="AE343" s="129">
        <v>0.56853009259259257</v>
      </c>
      <c r="AF343" s="122" t="s">
        <v>141</v>
      </c>
      <c r="AG343" s="139" t="s">
        <v>148</v>
      </c>
    </row>
    <row r="344" spans="1:33" x14ac:dyDescent="0.3">
      <c r="A344" s="121">
        <v>1044162</v>
      </c>
      <c r="B344" s="122" t="s">
        <v>162</v>
      </c>
      <c r="C344" s="122" t="s">
        <v>66</v>
      </c>
      <c r="D344" s="123">
        <v>46129</v>
      </c>
      <c r="E344" s="123">
        <v>46129</v>
      </c>
      <c r="F344" s="122"/>
      <c r="G344" s="122">
        <v>886</v>
      </c>
      <c r="H344" s="122" t="s">
        <v>132</v>
      </c>
      <c r="I344" s="122">
        <v>4007</v>
      </c>
      <c r="J344" s="122">
        <v>380367</v>
      </c>
      <c r="K344" s="122"/>
      <c r="L344" s="122" t="s">
        <v>478</v>
      </c>
      <c r="M344" s="122" t="s">
        <v>160</v>
      </c>
      <c r="N344" s="122" t="s">
        <v>161</v>
      </c>
      <c r="O344" s="123">
        <v>46129</v>
      </c>
      <c r="P344" s="158">
        <v>629</v>
      </c>
      <c r="Q344" s="158" t="s">
        <v>67</v>
      </c>
      <c r="R344" s="158">
        <v>18.18</v>
      </c>
      <c r="S344" s="158">
        <v>2.4500000000000002</v>
      </c>
      <c r="T344" s="158">
        <v>0.44</v>
      </c>
      <c r="U344" s="158">
        <v>610.38</v>
      </c>
      <c r="V344" s="163">
        <v>0</v>
      </c>
      <c r="W344" s="122"/>
      <c r="X344" s="162">
        <v>20260420</v>
      </c>
      <c r="Y344" s="122"/>
      <c r="Z344" s="122" t="s">
        <v>142</v>
      </c>
      <c r="AA344" s="122">
        <v>3908900</v>
      </c>
      <c r="AB344" s="122" t="s">
        <v>147</v>
      </c>
      <c r="AC344" s="122"/>
      <c r="AD344" s="122"/>
      <c r="AE344" s="129">
        <v>0.65133101851851849</v>
      </c>
      <c r="AF344" s="122" t="s">
        <v>141</v>
      </c>
      <c r="AG344" s="139" t="s">
        <v>148</v>
      </c>
    </row>
    <row r="345" spans="1:33" x14ac:dyDescent="0.3">
      <c r="A345" s="121">
        <v>1044162</v>
      </c>
      <c r="B345" s="122" t="s">
        <v>162</v>
      </c>
      <c r="C345" s="122" t="s">
        <v>66</v>
      </c>
      <c r="D345" s="123">
        <v>46129</v>
      </c>
      <c r="E345" s="123">
        <v>46129</v>
      </c>
      <c r="F345" s="122"/>
      <c r="G345" s="122">
        <v>886</v>
      </c>
      <c r="H345" s="122">
        <v>65656565</v>
      </c>
      <c r="I345" s="122">
        <v>4015</v>
      </c>
      <c r="J345" s="122">
        <v>716129</v>
      </c>
      <c r="K345" s="122"/>
      <c r="L345" s="122" t="s">
        <v>479</v>
      </c>
      <c r="M345" s="122" t="s">
        <v>160</v>
      </c>
      <c r="N345" s="122" t="s">
        <v>161</v>
      </c>
      <c r="O345" s="123">
        <v>46129</v>
      </c>
      <c r="P345" s="158">
        <v>400</v>
      </c>
      <c r="Q345" s="158" t="s">
        <v>67</v>
      </c>
      <c r="R345" s="158">
        <v>11.56</v>
      </c>
      <c r="S345" s="158">
        <v>5.16</v>
      </c>
      <c r="T345" s="158">
        <v>0.93</v>
      </c>
      <c r="U345" s="158">
        <v>387.51</v>
      </c>
      <c r="V345" s="163">
        <v>0</v>
      </c>
      <c r="W345" s="122"/>
      <c r="X345" s="162">
        <v>20260420</v>
      </c>
      <c r="Y345" s="122"/>
      <c r="Z345" s="122" t="s">
        <v>139</v>
      </c>
      <c r="AA345" s="122">
        <v>3908900</v>
      </c>
      <c r="AB345" s="122" t="s">
        <v>145</v>
      </c>
      <c r="AC345" s="122"/>
      <c r="AD345" s="122" t="s">
        <v>146</v>
      </c>
      <c r="AE345" s="129">
        <v>0.6824189814814815</v>
      </c>
      <c r="AF345" s="122" t="s">
        <v>141</v>
      </c>
      <c r="AG345" s="139" t="s">
        <v>148</v>
      </c>
    </row>
    <row r="346" spans="1:33" x14ac:dyDescent="0.3">
      <c r="A346" s="121">
        <v>1044162</v>
      </c>
      <c r="B346" s="122" t="s">
        <v>162</v>
      </c>
      <c r="C346" s="122" t="s">
        <v>66</v>
      </c>
      <c r="D346" s="123">
        <v>46129</v>
      </c>
      <c r="E346" s="123">
        <v>46129</v>
      </c>
      <c r="F346" s="122"/>
      <c r="G346" s="122">
        <v>886</v>
      </c>
      <c r="H346" s="122">
        <v>65656565</v>
      </c>
      <c r="I346" s="122">
        <v>4018</v>
      </c>
      <c r="J346" s="122">
        <v>774752</v>
      </c>
      <c r="K346" s="122"/>
      <c r="L346" s="122" t="s">
        <v>479</v>
      </c>
      <c r="M346" s="122" t="s">
        <v>160</v>
      </c>
      <c r="N346" s="122" t="s">
        <v>161</v>
      </c>
      <c r="O346" s="123">
        <v>46129</v>
      </c>
      <c r="P346" s="158">
        <v>129</v>
      </c>
      <c r="Q346" s="158" t="s">
        <v>67</v>
      </c>
      <c r="R346" s="158">
        <v>3.72</v>
      </c>
      <c r="S346" s="158">
        <v>1.66</v>
      </c>
      <c r="T346" s="158">
        <v>0.3</v>
      </c>
      <c r="U346" s="158">
        <v>124.98</v>
      </c>
      <c r="V346" s="163">
        <v>0</v>
      </c>
      <c r="W346" s="122"/>
      <c r="X346" s="162">
        <v>20260420</v>
      </c>
      <c r="Y346" s="122"/>
      <c r="Z346" s="122" t="s">
        <v>139</v>
      </c>
      <c r="AA346" s="122">
        <v>3908900</v>
      </c>
      <c r="AB346" s="122" t="s">
        <v>145</v>
      </c>
      <c r="AC346" s="122"/>
      <c r="AD346" s="122" t="s">
        <v>146</v>
      </c>
      <c r="AE346" s="129">
        <v>0.68333333333333324</v>
      </c>
      <c r="AF346" s="122" t="s">
        <v>141</v>
      </c>
      <c r="AG346" s="139" t="s">
        <v>148</v>
      </c>
    </row>
    <row r="347" spans="1:33" x14ac:dyDescent="0.3">
      <c r="A347" s="121">
        <v>1044162</v>
      </c>
      <c r="B347" s="122" t="s">
        <v>162</v>
      </c>
      <c r="C347" s="122" t="s">
        <v>66</v>
      </c>
      <c r="D347" s="123">
        <v>46129</v>
      </c>
      <c r="E347" s="123">
        <v>46129</v>
      </c>
      <c r="F347" s="122"/>
      <c r="G347" s="122">
        <v>886</v>
      </c>
      <c r="H347" s="122" t="s">
        <v>132</v>
      </c>
      <c r="I347" s="122">
        <v>4021</v>
      </c>
      <c r="J347" s="122">
        <v>823599</v>
      </c>
      <c r="K347" s="122"/>
      <c r="L347" s="122" t="s">
        <v>480</v>
      </c>
      <c r="M347" s="122" t="s">
        <v>160</v>
      </c>
      <c r="N347" s="122" t="s">
        <v>161</v>
      </c>
      <c r="O347" s="123">
        <v>46129</v>
      </c>
      <c r="P347" s="158">
        <v>500</v>
      </c>
      <c r="Q347" s="158" t="s">
        <v>67</v>
      </c>
      <c r="R347" s="158">
        <v>14.45</v>
      </c>
      <c r="S347" s="158">
        <v>6.45</v>
      </c>
      <c r="T347" s="158">
        <v>1.1599999999999999</v>
      </c>
      <c r="U347" s="158">
        <v>484.39</v>
      </c>
      <c r="V347" s="163">
        <v>0</v>
      </c>
      <c r="W347" s="122"/>
      <c r="X347" s="162">
        <v>20260420</v>
      </c>
      <c r="Y347" s="122"/>
      <c r="Z347" s="122" t="s">
        <v>139</v>
      </c>
      <c r="AA347" s="122">
        <v>3908900</v>
      </c>
      <c r="AB347" s="122" t="s">
        <v>155</v>
      </c>
      <c r="AC347" s="122"/>
      <c r="AD347" s="122"/>
      <c r="AE347" s="129">
        <v>0.72729166666666656</v>
      </c>
      <c r="AF347" s="122" t="s">
        <v>141</v>
      </c>
      <c r="AG347" s="139" t="s">
        <v>148</v>
      </c>
    </row>
    <row r="348" spans="1:33" x14ac:dyDescent="0.3">
      <c r="A348" s="121">
        <v>1044162</v>
      </c>
      <c r="B348" s="122" t="s">
        <v>162</v>
      </c>
      <c r="C348" s="122" t="s">
        <v>66</v>
      </c>
      <c r="D348" s="123">
        <v>46129</v>
      </c>
      <c r="E348" s="123">
        <v>46129</v>
      </c>
      <c r="F348" s="122"/>
      <c r="G348" s="122">
        <v>886</v>
      </c>
      <c r="H348" s="122" t="s">
        <v>132</v>
      </c>
      <c r="I348" s="122">
        <v>4023</v>
      </c>
      <c r="J348" s="122">
        <v>429973</v>
      </c>
      <c r="K348" s="122">
        <v>7</v>
      </c>
      <c r="L348" s="122" t="s">
        <v>481</v>
      </c>
      <c r="M348" s="122" t="s">
        <v>160</v>
      </c>
      <c r="N348" s="122" t="s">
        <v>161</v>
      </c>
      <c r="O348" s="123">
        <v>46129</v>
      </c>
      <c r="P348" s="158">
        <v>1008</v>
      </c>
      <c r="Q348" s="158" t="s">
        <v>67</v>
      </c>
      <c r="R348" s="158">
        <v>29.13</v>
      </c>
      <c r="S348" s="158">
        <v>7.96</v>
      </c>
      <c r="T348" s="158">
        <v>1.43</v>
      </c>
      <c r="U348" s="158">
        <v>977.44</v>
      </c>
      <c r="V348" s="163">
        <v>0</v>
      </c>
      <c r="W348" s="122"/>
      <c r="X348" s="162">
        <v>20260420</v>
      </c>
      <c r="Y348" s="122"/>
      <c r="Z348" s="122" t="s">
        <v>142</v>
      </c>
      <c r="AA348" s="122">
        <v>3908900</v>
      </c>
      <c r="AB348" s="122" t="s">
        <v>149</v>
      </c>
      <c r="AC348" s="122" t="s">
        <v>144</v>
      </c>
      <c r="AD348" s="122"/>
      <c r="AE348" s="129">
        <v>0.74900462962962966</v>
      </c>
      <c r="AF348" s="122" t="s">
        <v>141</v>
      </c>
      <c r="AG348" s="139" t="s">
        <v>148</v>
      </c>
    </row>
    <row r="349" spans="1:33" x14ac:dyDescent="0.3">
      <c r="A349" s="121">
        <v>1044162</v>
      </c>
      <c r="B349" s="122" t="s">
        <v>162</v>
      </c>
      <c r="C349" s="122" t="s">
        <v>66</v>
      </c>
      <c r="D349" s="123">
        <v>46129</v>
      </c>
      <c r="E349" s="123">
        <v>46129</v>
      </c>
      <c r="F349" s="122"/>
      <c r="G349" s="122">
        <v>886</v>
      </c>
      <c r="H349" s="122" t="s">
        <v>132</v>
      </c>
      <c r="I349" s="122">
        <v>4025</v>
      </c>
      <c r="J349" s="122">
        <v>97774</v>
      </c>
      <c r="K349" s="122"/>
      <c r="L349" s="122" t="s">
        <v>482</v>
      </c>
      <c r="M349" s="122" t="s">
        <v>160</v>
      </c>
      <c r="N349" s="122" t="s">
        <v>161</v>
      </c>
      <c r="O349" s="123">
        <v>46129</v>
      </c>
      <c r="P349" s="158">
        <v>49.75</v>
      </c>
      <c r="Q349" s="158" t="s">
        <v>67</v>
      </c>
      <c r="R349" s="158">
        <v>1.44</v>
      </c>
      <c r="S349" s="158">
        <v>0.64</v>
      </c>
      <c r="T349" s="158">
        <v>0.12</v>
      </c>
      <c r="U349" s="158">
        <v>48.19</v>
      </c>
      <c r="V349" s="163">
        <v>0</v>
      </c>
      <c r="W349" s="122"/>
      <c r="X349" s="162">
        <v>20260420</v>
      </c>
      <c r="Y349" s="122"/>
      <c r="Z349" s="122" t="s">
        <v>139</v>
      </c>
      <c r="AA349" s="122">
        <v>3908900</v>
      </c>
      <c r="AB349" s="122" t="s">
        <v>148</v>
      </c>
      <c r="AC349" s="122"/>
      <c r="AD349" s="122"/>
      <c r="AE349" s="129">
        <v>0.78212962962962962</v>
      </c>
      <c r="AF349" s="122" t="s">
        <v>141</v>
      </c>
      <c r="AG349" s="139" t="s">
        <v>148</v>
      </c>
    </row>
    <row r="350" spans="1:33" x14ac:dyDescent="0.3">
      <c r="A350" s="121">
        <v>1044162</v>
      </c>
      <c r="B350" s="122" t="s">
        <v>162</v>
      </c>
      <c r="C350" s="122" t="s">
        <v>66</v>
      </c>
      <c r="D350" s="123">
        <v>46129</v>
      </c>
      <c r="E350" s="123">
        <v>46129</v>
      </c>
      <c r="F350" s="122"/>
      <c r="G350" s="122">
        <v>886</v>
      </c>
      <c r="H350" s="122" t="s">
        <v>132</v>
      </c>
      <c r="I350" s="122">
        <v>4027</v>
      </c>
      <c r="J350" s="122">
        <v>987432</v>
      </c>
      <c r="K350" s="122"/>
      <c r="L350" s="122" t="s">
        <v>483</v>
      </c>
      <c r="M350" s="122" t="s">
        <v>160</v>
      </c>
      <c r="N350" s="122" t="s">
        <v>161</v>
      </c>
      <c r="O350" s="123">
        <v>46129</v>
      </c>
      <c r="P350" s="158">
        <v>459</v>
      </c>
      <c r="Q350" s="158" t="s">
        <v>67</v>
      </c>
      <c r="R350" s="158">
        <v>13.27</v>
      </c>
      <c r="S350" s="158">
        <v>5.93</v>
      </c>
      <c r="T350" s="158">
        <v>1.07</v>
      </c>
      <c r="U350" s="158">
        <v>444.66</v>
      </c>
      <c r="V350" s="163">
        <v>0</v>
      </c>
      <c r="W350" s="122"/>
      <c r="X350" s="162">
        <v>20260420</v>
      </c>
      <c r="Y350" s="122"/>
      <c r="Z350" s="122" t="s">
        <v>139</v>
      </c>
      <c r="AA350" s="122">
        <v>3908900</v>
      </c>
      <c r="AB350" s="122" t="s">
        <v>145</v>
      </c>
      <c r="AC350" s="122"/>
      <c r="AD350" s="122"/>
      <c r="AE350" s="129">
        <v>0.81172453703703706</v>
      </c>
      <c r="AF350" s="122" t="s">
        <v>141</v>
      </c>
      <c r="AG350" s="139" t="s">
        <v>148</v>
      </c>
    </row>
    <row r="351" spans="1:33" x14ac:dyDescent="0.3">
      <c r="A351" s="121">
        <v>1044162</v>
      </c>
      <c r="B351" s="122" t="s">
        <v>162</v>
      </c>
      <c r="C351" s="122" t="s">
        <v>66</v>
      </c>
      <c r="D351" s="123">
        <v>46129</v>
      </c>
      <c r="E351" s="123">
        <v>46129</v>
      </c>
      <c r="F351" s="122"/>
      <c r="G351" s="122">
        <v>886</v>
      </c>
      <c r="H351" s="122" t="s">
        <v>132</v>
      </c>
      <c r="I351" s="122">
        <v>4029</v>
      </c>
      <c r="J351" s="122">
        <v>452818</v>
      </c>
      <c r="K351" s="122"/>
      <c r="L351" s="122" t="s">
        <v>484</v>
      </c>
      <c r="M351" s="122" t="s">
        <v>160</v>
      </c>
      <c r="N351" s="122" t="s">
        <v>161</v>
      </c>
      <c r="O351" s="123">
        <v>46129</v>
      </c>
      <c r="P351" s="158">
        <v>629</v>
      </c>
      <c r="Q351" s="158" t="s">
        <v>67</v>
      </c>
      <c r="R351" s="158">
        <v>18.18</v>
      </c>
      <c r="S351" s="158">
        <v>8.1199999999999992</v>
      </c>
      <c r="T351" s="158">
        <v>1.46</v>
      </c>
      <c r="U351" s="158">
        <v>609.36</v>
      </c>
      <c r="V351" s="161">
        <v>4963.58</v>
      </c>
      <c r="W351" s="123">
        <v>46132</v>
      </c>
      <c r="X351" s="162">
        <v>20260420</v>
      </c>
      <c r="Y351" s="122">
        <v>104101</v>
      </c>
      <c r="Z351" s="122" t="s">
        <v>139</v>
      </c>
      <c r="AA351" s="122">
        <v>3908900</v>
      </c>
      <c r="AB351" s="122" t="s">
        <v>148</v>
      </c>
      <c r="AC351" s="122"/>
      <c r="AD351" s="122"/>
      <c r="AE351" s="129">
        <v>0.84267361111111105</v>
      </c>
      <c r="AF351" s="122" t="s">
        <v>141</v>
      </c>
      <c r="AG351" s="139" t="s">
        <v>148</v>
      </c>
    </row>
    <row r="352" spans="1:33" x14ac:dyDescent="0.3">
      <c r="A352" s="121">
        <v>1044162</v>
      </c>
      <c r="B352" s="122" t="s">
        <v>159</v>
      </c>
      <c r="C352" s="122" t="s">
        <v>66</v>
      </c>
      <c r="D352" s="123">
        <v>46130</v>
      </c>
      <c r="E352" s="123">
        <v>46130</v>
      </c>
      <c r="F352" s="122"/>
      <c r="G352" s="122">
        <v>887</v>
      </c>
      <c r="H352" s="122" t="s">
        <v>132</v>
      </c>
      <c r="I352" s="122">
        <v>4074</v>
      </c>
      <c r="J352" s="122">
        <v>480267</v>
      </c>
      <c r="K352" s="122">
        <v>2</v>
      </c>
      <c r="L352" s="122" t="s">
        <v>485</v>
      </c>
      <c r="M352" s="122" t="s">
        <v>160</v>
      </c>
      <c r="N352" s="122" t="s">
        <v>161</v>
      </c>
      <c r="O352" s="123">
        <v>46130</v>
      </c>
      <c r="P352" s="158">
        <v>1898</v>
      </c>
      <c r="Q352" s="158" t="s">
        <v>67</v>
      </c>
      <c r="R352" s="158">
        <v>54.85</v>
      </c>
      <c r="S352" s="158">
        <v>14.99</v>
      </c>
      <c r="T352" s="158">
        <v>2.7</v>
      </c>
      <c r="U352" s="158">
        <v>1840.45</v>
      </c>
      <c r="V352" s="161">
        <v>1840.45</v>
      </c>
      <c r="W352" s="123">
        <v>46132</v>
      </c>
      <c r="X352" s="162">
        <v>20260420</v>
      </c>
      <c r="Y352" s="122">
        <v>104101</v>
      </c>
      <c r="Z352" s="122" t="s">
        <v>142</v>
      </c>
      <c r="AA352" s="122">
        <v>3908900</v>
      </c>
      <c r="AB352" s="122" t="s">
        <v>143</v>
      </c>
      <c r="AC352" s="122" t="s">
        <v>144</v>
      </c>
      <c r="AD352" s="122"/>
      <c r="AE352" s="129">
        <v>0.80221064814814813</v>
      </c>
      <c r="AF352" s="122" t="s">
        <v>141</v>
      </c>
      <c r="AG352" s="139" t="s">
        <v>148</v>
      </c>
    </row>
    <row r="353" spans="1:33" x14ac:dyDescent="0.3">
      <c r="A353" s="121">
        <v>1044162</v>
      </c>
      <c r="B353" s="122" t="s">
        <v>162</v>
      </c>
      <c r="C353" s="122" t="s">
        <v>66</v>
      </c>
      <c r="D353" s="123">
        <v>46130</v>
      </c>
      <c r="E353" s="123">
        <v>46130</v>
      </c>
      <c r="F353" s="122"/>
      <c r="G353" s="122">
        <v>887</v>
      </c>
      <c r="H353" s="122" t="s">
        <v>132</v>
      </c>
      <c r="I353" s="122">
        <v>4034</v>
      </c>
      <c r="J353" s="122">
        <v>910042</v>
      </c>
      <c r="K353" s="122"/>
      <c r="L353" s="122" t="s">
        <v>486</v>
      </c>
      <c r="M353" s="122" t="s">
        <v>160</v>
      </c>
      <c r="N353" s="122" t="s">
        <v>161</v>
      </c>
      <c r="O353" s="123">
        <v>46130</v>
      </c>
      <c r="P353" s="158">
        <v>568</v>
      </c>
      <c r="Q353" s="158" t="s">
        <v>67</v>
      </c>
      <c r="R353" s="158">
        <v>16.420000000000002</v>
      </c>
      <c r="S353" s="158">
        <v>7.33</v>
      </c>
      <c r="T353" s="158">
        <v>1.32</v>
      </c>
      <c r="U353" s="158">
        <v>550.26</v>
      </c>
      <c r="V353" s="163">
        <v>0</v>
      </c>
      <c r="W353" s="122"/>
      <c r="X353" s="162">
        <v>20260420</v>
      </c>
      <c r="Y353" s="122"/>
      <c r="Z353" s="122" t="s">
        <v>139</v>
      </c>
      <c r="AA353" s="122">
        <v>3908900</v>
      </c>
      <c r="AB353" s="122" t="s">
        <v>145</v>
      </c>
      <c r="AC353" s="122"/>
      <c r="AD353" s="122"/>
      <c r="AE353" s="129">
        <v>0.51792824074074073</v>
      </c>
      <c r="AF353" s="122" t="s">
        <v>141</v>
      </c>
      <c r="AG353" s="139" t="s">
        <v>148</v>
      </c>
    </row>
    <row r="354" spans="1:33" x14ac:dyDescent="0.3">
      <c r="A354" s="121">
        <v>1044162</v>
      </c>
      <c r="B354" s="122" t="s">
        <v>162</v>
      </c>
      <c r="C354" s="122" t="s">
        <v>66</v>
      </c>
      <c r="D354" s="123">
        <v>46130</v>
      </c>
      <c r="E354" s="123">
        <v>46130</v>
      </c>
      <c r="F354" s="122"/>
      <c r="G354" s="122">
        <v>887</v>
      </c>
      <c r="H354" s="122" t="s">
        <v>132</v>
      </c>
      <c r="I354" s="122">
        <v>4036</v>
      </c>
      <c r="J354" s="122">
        <v>634701</v>
      </c>
      <c r="K354" s="122"/>
      <c r="L354" s="122" t="s">
        <v>487</v>
      </c>
      <c r="M354" s="122" t="s">
        <v>160</v>
      </c>
      <c r="N354" s="122" t="s">
        <v>161</v>
      </c>
      <c r="O354" s="123">
        <v>46130</v>
      </c>
      <c r="P354" s="158">
        <v>498</v>
      </c>
      <c r="Q354" s="158" t="s">
        <v>67</v>
      </c>
      <c r="R354" s="158">
        <v>14.39</v>
      </c>
      <c r="S354" s="158">
        <v>6.42</v>
      </c>
      <c r="T354" s="158">
        <v>1.1599999999999999</v>
      </c>
      <c r="U354" s="158">
        <v>482.45</v>
      </c>
      <c r="V354" s="163">
        <v>0</v>
      </c>
      <c r="W354" s="122"/>
      <c r="X354" s="162">
        <v>20260420</v>
      </c>
      <c r="Y354" s="122"/>
      <c r="Z354" s="122" t="s">
        <v>139</v>
      </c>
      <c r="AA354" s="122">
        <v>3908900</v>
      </c>
      <c r="AB354" s="122" t="s">
        <v>145</v>
      </c>
      <c r="AC354" s="122"/>
      <c r="AD354" s="122"/>
      <c r="AE354" s="129">
        <v>0.5259490740740741</v>
      </c>
      <c r="AF354" s="122" t="s">
        <v>141</v>
      </c>
      <c r="AG354" s="139" t="s">
        <v>148</v>
      </c>
    </row>
    <row r="355" spans="1:33" x14ac:dyDescent="0.3">
      <c r="A355" s="121">
        <v>1044162</v>
      </c>
      <c r="B355" s="122" t="s">
        <v>162</v>
      </c>
      <c r="C355" s="122" t="s">
        <v>66</v>
      </c>
      <c r="D355" s="123">
        <v>46130</v>
      </c>
      <c r="E355" s="123">
        <v>46130</v>
      </c>
      <c r="F355" s="122"/>
      <c r="G355" s="122">
        <v>887</v>
      </c>
      <c r="H355" s="122" t="s">
        <v>132</v>
      </c>
      <c r="I355" s="122">
        <v>4038</v>
      </c>
      <c r="J355" s="122">
        <v>8576</v>
      </c>
      <c r="K355" s="122"/>
      <c r="L355" s="122" t="s">
        <v>488</v>
      </c>
      <c r="M355" s="122" t="s">
        <v>160</v>
      </c>
      <c r="N355" s="122" t="s">
        <v>161</v>
      </c>
      <c r="O355" s="123">
        <v>46130</v>
      </c>
      <c r="P355" s="158">
        <v>199</v>
      </c>
      <c r="Q355" s="158" t="s">
        <v>67</v>
      </c>
      <c r="R355" s="158">
        <v>5.75</v>
      </c>
      <c r="S355" s="158">
        <v>0.77</v>
      </c>
      <c r="T355" s="158">
        <v>0.14000000000000001</v>
      </c>
      <c r="U355" s="158">
        <v>193.11</v>
      </c>
      <c r="V355" s="163">
        <v>0</v>
      </c>
      <c r="W355" s="122"/>
      <c r="X355" s="162">
        <v>20260420</v>
      </c>
      <c r="Y355" s="122"/>
      <c r="Z355" s="122" t="s">
        <v>142</v>
      </c>
      <c r="AA355" s="122">
        <v>3908900</v>
      </c>
      <c r="AB355" s="122" t="s">
        <v>145</v>
      </c>
      <c r="AC355" s="122"/>
      <c r="AD355" s="122"/>
      <c r="AE355" s="129">
        <v>0.57578703703703704</v>
      </c>
      <c r="AF355" s="122" t="s">
        <v>141</v>
      </c>
      <c r="AG355" s="139" t="s">
        <v>148</v>
      </c>
    </row>
    <row r="356" spans="1:33" x14ac:dyDescent="0.3">
      <c r="A356" s="121">
        <v>1044162</v>
      </c>
      <c r="B356" s="122" t="s">
        <v>162</v>
      </c>
      <c r="C356" s="122" t="s">
        <v>66</v>
      </c>
      <c r="D356" s="123">
        <v>46130</v>
      </c>
      <c r="E356" s="123">
        <v>46130</v>
      </c>
      <c r="F356" s="122"/>
      <c r="G356" s="122">
        <v>887</v>
      </c>
      <c r="H356" s="122" t="s">
        <v>132</v>
      </c>
      <c r="I356" s="122">
        <v>4040</v>
      </c>
      <c r="J356" s="122">
        <v>620001</v>
      </c>
      <c r="K356" s="122"/>
      <c r="L356" s="122" t="s">
        <v>489</v>
      </c>
      <c r="M356" s="122" t="s">
        <v>160</v>
      </c>
      <c r="N356" s="122" t="s">
        <v>161</v>
      </c>
      <c r="O356" s="123">
        <v>46130</v>
      </c>
      <c r="P356" s="158">
        <v>1788</v>
      </c>
      <c r="Q356" s="158" t="s">
        <v>67</v>
      </c>
      <c r="R356" s="158">
        <v>51.67</v>
      </c>
      <c r="S356" s="158">
        <v>23.06</v>
      </c>
      <c r="T356" s="158">
        <v>4.1500000000000004</v>
      </c>
      <c r="U356" s="158">
        <v>1732.18</v>
      </c>
      <c r="V356" s="163">
        <v>0</v>
      </c>
      <c r="W356" s="122"/>
      <c r="X356" s="162">
        <v>20260420</v>
      </c>
      <c r="Y356" s="122"/>
      <c r="Z356" s="122" t="s">
        <v>139</v>
      </c>
      <c r="AA356" s="122">
        <v>3908900</v>
      </c>
      <c r="AB356" s="122" t="s">
        <v>148</v>
      </c>
      <c r="AC356" s="122"/>
      <c r="AD356" s="122"/>
      <c r="AE356" s="129">
        <v>0.58084490740740746</v>
      </c>
      <c r="AF356" s="122" t="s">
        <v>141</v>
      </c>
      <c r="AG356" s="139" t="s">
        <v>148</v>
      </c>
    </row>
    <row r="357" spans="1:33" x14ac:dyDescent="0.3">
      <c r="A357" s="121">
        <v>1044162</v>
      </c>
      <c r="B357" s="122" t="s">
        <v>162</v>
      </c>
      <c r="C357" s="122" t="s">
        <v>66</v>
      </c>
      <c r="D357" s="123">
        <v>46130</v>
      </c>
      <c r="E357" s="123">
        <v>46130</v>
      </c>
      <c r="F357" s="122"/>
      <c r="G357" s="122">
        <v>887</v>
      </c>
      <c r="H357" s="122" t="s">
        <v>132</v>
      </c>
      <c r="I357" s="122">
        <v>4042</v>
      </c>
      <c r="J357" s="122">
        <v>675024</v>
      </c>
      <c r="K357" s="122"/>
      <c r="L357" s="122" t="s">
        <v>490</v>
      </c>
      <c r="M357" s="122" t="s">
        <v>160</v>
      </c>
      <c r="N357" s="122" t="s">
        <v>161</v>
      </c>
      <c r="O357" s="123">
        <v>46130</v>
      </c>
      <c r="P357" s="158">
        <v>459</v>
      </c>
      <c r="Q357" s="158" t="s">
        <v>67</v>
      </c>
      <c r="R357" s="158">
        <v>13.27</v>
      </c>
      <c r="S357" s="158">
        <v>5.93</v>
      </c>
      <c r="T357" s="158">
        <v>1.07</v>
      </c>
      <c r="U357" s="158">
        <v>444.66</v>
      </c>
      <c r="V357" s="163">
        <v>0</v>
      </c>
      <c r="W357" s="122"/>
      <c r="X357" s="162">
        <v>20260420</v>
      </c>
      <c r="Y357" s="122"/>
      <c r="Z357" s="122" t="s">
        <v>139</v>
      </c>
      <c r="AA357" s="122">
        <v>3908900</v>
      </c>
      <c r="AB357" s="122" t="s">
        <v>148</v>
      </c>
      <c r="AC357" s="122"/>
      <c r="AD357" s="122"/>
      <c r="AE357" s="129">
        <v>0.59004629629629635</v>
      </c>
      <c r="AF357" s="122" t="s">
        <v>141</v>
      </c>
      <c r="AG357" s="139" t="s">
        <v>148</v>
      </c>
    </row>
    <row r="358" spans="1:33" x14ac:dyDescent="0.3">
      <c r="A358" s="121">
        <v>1044162</v>
      </c>
      <c r="B358" s="122" t="s">
        <v>162</v>
      </c>
      <c r="C358" s="122" t="s">
        <v>66</v>
      </c>
      <c r="D358" s="123">
        <v>46130</v>
      </c>
      <c r="E358" s="123">
        <v>46130</v>
      </c>
      <c r="F358" s="122"/>
      <c r="G358" s="122">
        <v>887</v>
      </c>
      <c r="H358" s="122">
        <v>65656565</v>
      </c>
      <c r="I358" s="122">
        <v>4057</v>
      </c>
      <c r="J358" s="122">
        <v>342970</v>
      </c>
      <c r="K358" s="122"/>
      <c r="L358" s="122" t="s">
        <v>491</v>
      </c>
      <c r="M358" s="122" t="s">
        <v>160</v>
      </c>
      <c r="N358" s="122" t="s">
        <v>161</v>
      </c>
      <c r="O358" s="123">
        <v>46130</v>
      </c>
      <c r="P358" s="158">
        <v>63</v>
      </c>
      <c r="Q358" s="158" t="s">
        <v>67</v>
      </c>
      <c r="R358" s="158">
        <v>1.82</v>
      </c>
      <c r="S358" s="158">
        <v>0.81</v>
      </c>
      <c r="T358" s="158">
        <v>0.15</v>
      </c>
      <c r="U358" s="158">
        <v>61.03</v>
      </c>
      <c r="V358" s="163">
        <v>0</v>
      </c>
      <c r="W358" s="122"/>
      <c r="X358" s="162">
        <v>20260420</v>
      </c>
      <c r="Y358" s="122"/>
      <c r="Z358" s="122" t="s">
        <v>139</v>
      </c>
      <c r="AA358" s="122">
        <v>3908900</v>
      </c>
      <c r="AB358" s="122" t="s">
        <v>145</v>
      </c>
      <c r="AC358" s="122"/>
      <c r="AD358" s="122" t="s">
        <v>146</v>
      </c>
      <c r="AE358" s="129">
        <v>0.67975694444444434</v>
      </c>
      <c r="AF358" s="122" t="s">
        <v>141</v>
      </c>
      <c r="AG358" s="139" t="s">
        <v>148</v>
      </c>
    </row>
    <row r="359" spans="1:33" x14ac:dyDescent="0.3">
      <c r="A359" s="121">
        <v>1044162</v>
      </c>
      <c r="B359" s="122" t="s">
        <v>162</v>
      </c>
      <c r="C359" s="122" t="s">
        <v>66</v>
      </c>
      <c r="D359" s="123">
        <v>46130</v>
      </c>
      <c r="E359" s="123">
        <v>46130</v>
      </c>
      <c r="F359" s="122"/>
      <c r="G359" s="122">
        <v>887</v>
      </c>
      <c r="H359" s="122" t="s">
        <v>132</v>
      </c>
      <c r="I359" s="122">
        <v>4060</v>
      </c>
      <c r="J359" s="122">
        <v>166208</v>
      </c>
      <c r="K359" s="122">
        <v>3</v>
      </c>
      <c r="L359" s="122" t="s">
        <v>492</v>
      </c>
      <c r="M359" s="122" t="s">
        <v>160</v>
      </c>
      <c r="N359" s="122" t="s">
        <v>161</v>
      </c>
      <c r="O359" s="123">
        <v>46130</v>
      </c>
      <c r="P359" s="158">
        <v>629</v>
      </c>
      <c r="Q359" s="158" t="s">
        <v>67</v>
      </c>
      <c r="R359" s="158">
        <v>29.19</v>
      </c>
      <c r="S359" s="158">
        <v>4.97</v>
      </c>
      <c r="T359" s="158">
        <v>0.89</v>
      </c>
      <c r="U359" s="158">
        <v>598.91999999999996</v>
      </c>
      <c r="V359" s="163">
        <v>0</v>
      </c>
      <c r="W359" s="122"/>
      <c r="X359" s="162">
        <v>20260420</v>
      </c>
      <c r="Y359" s="122"/>
      <c r="Z359" s="122" t="s">
        <v>142</v>
      </c>
      <c r="AA359" s="122">
        <v>3908900</v>
      </c>
      <c r="AB359" s="122" t="s">
        <v>148</v>
      </c>
      <c r="AC359" s="122" t="s">
        <v>151</v>
      </c>
      <c r="AD359" s="122"/>
      <c r="AE359" s="129">
        <v>0.68178240740740748</v>
      </c>
      <c r="AF359" s="122" t="s">
        <v>141</v>
      </c>
      <c r="AG359" s="139" t="s">
        <v>148</v>
      </c>
    </row>
    <row r="360" spans="1:33" x14ac:dyDescent="0.3">
      <c r="A360" s="121">
        <v>1044162</v>
      </c>
      <c r="B360" s="122" t="s">
        <v>162</v>
      </c>
      <c r="C360" s="122" t="s">
        <v>66</v>
      </c>
      <c r="D360" s="123">
        <v>46130</v>
      </c>
      <c r="E360" s="123">
        <v>46130</v>
      </c>
      <c r="F360" s="122"/>
      <c r="G360" s="122">
        <v>887</v>
      </c>
      <c r="H360" s="122" t="s">
        <v>132</v>
      </c>
      <c r="I360" s="122">
        <v>4063</v>
      </c>
      <c r="J360" s="122">
        <v>209297</v>
      </c>
      <c r="K360" s="122">
        <v>3</v>
      </c>
      <c r="L360" s="122" t="s">
        <v>493</v>
      </c>
      <c r="M360" s="122" t="s">
        <v>160</v>
      </c>
      <c r="N360" s="122" t="s">
        <v>161</v>
      </c>
      <c r="O360" s="123">
        <v>46130</v>
      </c>
      <c r="P360" s="158">
        <v>629</v>
      </c>
      <c r="Q360" s="158" t="s">
        <v>67</v>
      </c>
      <c r="R360" s="158">
        <v>29.19</v>
      </c>
      <c r="S360" s="158">
        <v>4.97</v>
      </c>
      <c r="T360" s="158">
        <v>0.89</v>
      </c>
      <c r="U360" s="158">
        <v>598.91999999999996</v>
      </c>
      <c r="V360" s="163">
        <v>0</v>
      </c>
      <c r="W360" s="122"/>
      <c r="X360" s="162">
        <v>20260420</v>
      </c>
      <c r="Y360" s="122"/>
      <c r="Z360" s="122" t="s">
        <v>142</v>
      </c>
      <c r="AA360" s="122">
        <v>3908900</v>
      </c>
      <c r="AB360" s="122" t="s">
        <v>148</v>
      </c>
      <c r="AC360" s="122" t="s">
        <v>151</v>
      </c>
      <c r="AD360" s="122"/>
      <c r="AE360" s="129">
        <v>0.69013888888888886</v>
      </c>
      <c r="AF360" s="122" t="s">
        <v>141</v>
      </c>
      <c r="AG360" s="139" t="s">
        <v>148</v>
      </c>
    </row>
    <row r="361" spans="1:33" x14ac:dyDescent="0.3">
      <c r="A361" s="121">
        <v>1044162</v>
      </c>
      <c r="B361" s="122" t="s">
        <v>162</v>
      </c>
      <c r="C361" s="122" t="s">
        <v>66</v>
      </c>
      <c r="D361" s="123">
        <v>46130</v>
      </c>
      <c r="E361" s="123">
        <v>46130</v>
      </c>
      <c r="F361" s="122"/>
      <c r="G361" s="122">
        <v>887</v>
      </c>
      <c r="H361" s="122" t="s">
        <v>132</v>
      </c>
      <c r="I361" s="122">
        <v>4065</v>
      </c>
      <c r="J361" s="122">
        <v>433309</v>
      </c>
      <c r="K361" s="122"/>
      <c r="L361" s="122" t="s">
        <v>494</v>
      </c>
      <c r="M361" s="122" t="s">
        <v>160</v>
      </c>
      <c r="N361" s="122" t="s">
        <v>161</v>
      </c>
      <c r="O361" s="123">
        <v>46130</v>
      </c>
      <c r="P361" s="158">
        <v>529</v>
      </c>
      <c r="Q361" s="158" t="s">
        <v>67</v>
      </c>
      <c r="R361" s="158">
        <v>15.29</v>
      </c>
      <c r="S361" s="158">
        <v>6.83</v>
      </c>
      <c r="T361" s="158">
        <v>1.23</v>
      </c>
      <c r="U361" s="158">
        <v>512.48</v>
      </c>
      <c r="V361" s="163">
        <v>0</v>
      </c>
      <c r="W361" s="122"/>
      <c r="X361" s="162">
        <v>20260420</v>
      </c>
      <c r="Y361" s="122"/>
      <c r="Z361" s="122" t="s">
        <v>139</v>
      </c>
      <c r="AA361" s="122">
        <v>3908900</v>
      </c>
      <c r="AB361" s="122" t="s">
        <v>145</v>
      </c>
      <c r="AC361" s="122"/>
      <c r="AD361" s="122"/>
      <c r="AE361" s="129">
        <v>0.71521990740740737</v>
      </c>
      <c r="AF361" s="122" t="s">
        <v>141</v>
      </c>
      <c r="AG361" s="139" t="s">
        <v>148</v>
      </c>
    </row>
    <row r="362" spans="1:33" x14ac:dyDescent="0.3">
      <c r="A362" s="121">
        <v>1044162</v>
      </c>
      <c r="B362" s="122" t="s">
        <v>162</v>
      </c>
      <c r="C362" s="122" t="s">
        <v>66</v>
      </c>
      <c r="D362" s="123">
        <v>46130</v>
      </c>
      <c r="E362" s="123">
        <v>46130</v>
      </c>
      <c r="F362" s="122"/>
      <c r="G362" s="122">
        <v>887</v>
      </c>
      <c r="H362" s="122">
        <v>65656565</v>
      </c>
      <c r="I362" s="122">
        <v>4067</v>
      </c>
      <c r="J362" s="122">
        <v>699957</v>
      </c>
      <c r="K362" s="122"/>
      <c r="L362" s="122" t="s">
        <v>495</v>
      </c>
      <c r="M362" s="122" t="s">
        <v>160</v>
      </c>
      <c r="N362" s="122" t="s">
        <v>161</v>
      </c>
      <c r="O362" s="123">
        <v>46130</v>
      </c>
      <c r="P362" s="158">
        <v>99</v>
      </c>
      <c r="Q362" s="158" t="s">
        <v>67</v>
      </c>
      <c r="R362" s="158">
        <v>2.86</v>
      </c>
      <c r="S362" s="158">
        <v>1.28</v>
      </c>
      <c r="T362" s="158">
        <v>0.23</v>
      </c>
      <c r="U362" s="158">
        <v>95.91</v>
      </c>
      <c r="V362" s="163">
        <v>0</v>
      </c>
      <c r="W362" s="122"/>
      <c r="X362" s="162">
        <v>20260420</v>
      </c>
      <c r="Y362" s="122"/>
      <c r="Z362" s="122" t="s">
        <v>139</v>
      </c>
      <c r="AA362" s="122">
        <v>3908900</v>
      </c>
      <c r="AB362" s="122" t="s">
        <v>145</v>
      </c>
      <c r="AC362" s="122"/>
      <c r="AD362" s="122" t="s">
        <v>146</v>
      </c>
      <c r="AE362" s="129">
        <v>0.7631944444444444</v>
      </c>
      <c r="AF362" s="122" t="s">
        <v>141</v>
      </c>
      <c r="AG362" s="139" t="s">
        <v>148</v>
      </c>
    </row>
    <row r="363" spans="1:33" x14ac:dyDescent="0.3">
      <c r="A363" s="121">
        <v>1044162</v>
      </c>
      <c r="B363" s="122" t="s">
        <v>162</v>
      </c>
      <c r="C363" s="122" t="s">
        <v>66</v>
      </c>
      <c r="D363" s="123">
        <v>46130</v>
      </c>
      <c r="E363" s="123">
        <v>46130</v>
      </c>
      <c r="F363" s="122"/>
      <c r="G363" s="122">
        <v>887</v>
      </c>
      <c r="H363" s="122" t="s">
        <v>132</v>
      </c>
      <c r="I363" s="122">
        <v>4072</v>
      </c>
      <c r="J363" s="122">
        <v>671934</v>
      </c>
      <c r="K363" s="122">
        <v>3</v>
      </c>
      <c r="L363" s="122" t="s">
        <v>496</v>
      </c>
      <c r="M363" s="122" t="s">
        <v>160</v>
      </c>
      <c r="N363" s="122" t="s">
        <v>161</v>
      </c>
      <c r="O363" s="123">
        <v>46130</v>
      </c>
      <c r="P363" s="158">
        <v>1149</v>
      </c>
      <c r="Q363" s="158" t="s">
        <v>67</v>
      </c>
      <c r="R363" s="158">
        <v>53.32</v>
      </c>
      <c r="S363" s="158">
        <v>6.78</v>
      </c>
      <c r="T363" s="158">
        <v>1.22</v>
      </c>
      <c r="U363" s="158">
        <v>1094.46</v>
      </c>
      <c r="V363" s="163">
        <v>0</v>
      </c>
      <c r="W363" s="122"/>
      <c r="X363" s="162">
        <v>20260420</v>
      </c>
      <c r="Y363" s="122"/>
      <c r="Z363" s="122" t="s">
        <v>142</v>
      </c>
      <c r="AA363" s="122">
        <v>3908900</v>
      </c>
      <c r="AB363" s="122" t="s">
        <v>148</v>
      </c>
      <c r="AC363" s="122" t="s">
        <v>151</v>
      </c>
      <c r="AD363" s="122"/>
      <c r="AE363" s="129">
        <v>0.77493055555555557</v>
      </c>
      <c r="AF363" s="122" t="s">
        <v>141</v>
      </c>
      <c r="AG363" s="139" t="s">
        <v>148</v>
      </c>
    </row>
    <row r="364" spans="1:33" x14ac:dyDescent="0.3">
      <c r="A364" s="121">
        <v>1044162</v>
      </c>
      <c r="B364" s="122" t="s">
        <v>162</v>
      </c>
      <c r="C364" s="122" t="s">
        <v>66</v>
      </c>
      <c r="D364" s="123">
        <v>46130</v>
      </c>
      <c r="E364" s="123">
        <v>46130</v>
      </c>
      <c r="F364" s="122"/>
      <c r="G364" s="122">
        <v>887</v>
      </c>
      <c r="H364" s="122" t="s">
        <v>132</v>
      </c>
      <c r="I364" s="122">
        <v>4076</v>
      </c>
      <c r="J364" s="122">
        <v>8009</v>
      </c>
      <c r="K364" s="122"/>
      <c r="L364" s="122" t="s">
        <v>497</v>
      </c>
      <c r="M364" s="122" t="s">
        <v>160</v>
      </c>
      <c r="N364" s="122" t="s">
        <v>161</v>
      </c>
      <c r="O364" s="123">
        <v>46130</v>
      </c>
      <c r="P364" s="158">
        <v>1799</v>
      </c>
      <c r="Q364" s="158" t="s">
        <v>67</v>
      </c>
      <c r="R364" s="158">
        <v>51.99</v>
      </c>
      <c r="S364" s="158">
        <v>10.61</v>
      </c>
      <c r="T364" s="158">
        <v>1.91</v>
      </c>
      <c r="U364" s="158">
        <v>1745.1</v>
      </c>
      <c r="V364" s="161">
        <v>8109.48</v>
      </c>
      <c r="W364" s="123">
        <v>46132</v>
      </c>
      <c r="X364" s="162">
        <v>20260420</v>
      </c>
      <c r="Y364" s="122">
        <v>104101</v>
      </c>
      <c r="Z364" s="122" t="s">
        <v>142</v>
      </c>
      <c r="AA364" s="122">
        <v>3908900</v>
      </c>
      <c r="AB364" s="122" t="s">
        <v>145</v>
      </c>
      <c r="AC364" s="122"/>
      <c r="AD364" s="122"/>
      <c r="AE364" s="129">
        <v>0.8224189814814814</v>
      </c>
      <c r="AF364" s="122" t="s">
        <v>141</v>
      </c>
      <c r="AG364" s="139" t="s">
        <v>148</v>
      </c>
    </row>
    <row r="365" spans="1:33" x14ac:dyDescent="0.3">
      <c r="A365" s="121">
        <v>1044162</v>
      </c>
      <c r="B365" s="122" t="s">
        <v>162</v>
      </c>
      <c r="C365" s="122" t="s">
        <v>66</v>
      </c>
      <c r="D365" s="123">
        <v>46131</v>
      </c>
      <c r="E365" s="123">
        <v>46131</v>
      </c>
      <c r="F365" s="122"/>
      <c r="G365" s="122">
        <v>888</v>
      </c>
      <c r="H365" s="122" t="s">
        <v>132</v>
      </c>
      <c r="I365" s="122">
        <v>4083</v>
      </c>
      <c r="J365" s="122">
        <v>637927</v>
      </c>
      <c r="K365" s="122"/>
      <c r="L365" s="122" t="s">
        <v>498</v>
      </c>
      <c r="M365" s="122" t="s">
        <v>160</v>
      </c>
      <c r="N365" s="122" t="s">
        <v>161</v>
      </c>
      <c r="O365" s="123">
        <v>46131</v>
      </c>
      <c r="P365" s="158">
        <v>629</v>
      </c>
      <c r="Q365" s="158" t="s">
        <v>67</v>
      </c>
      <c r="R365" s="158">
        <v>18.18</v>
      </c>
      <c r="S365" s="158">
        <v>8.1199999999999992</v>
      </c>
      <c r="T365" s="158">
        <v>1.46</v>
      </c>
      <c r="U365" s="158">
        <v>609.36</v>
      </c>
      <c r="V365" s="163">
        <v>0</v>
      </c>
      <c r="W365" s="122"/>
      <c r="X365" s="162">
        <v>20260420</v>
      </c>
      <c r="Y365" s="122"/>
      <c r="Z365" s="122" t="s">
        <v>139</v>
      </c>
      <c r="AA365" s="122">
        <v>3908900</v>
      </c>
      <c r="AB365" s="122" t="s">
        <v>145</v>
      </c>
      <c r="AC365" s="122"/>
      <c r="AD365" s="122"/>
      <c r="AE365" s="129">
        <v>0.47821759259259261</v>
      </c>
      <c r="AF365" s="122" t="s">
        <v>141</v>
      </c>
      <c r="AG365" s="139" t="s">
        <v>148</v>
      </c>
    </row>
    <row r="366" spans="1:33" x14ac:dyDescent="0.3">
      <c r="A366" s="121">
        <v>1044162</v>
      </c>
      <c r="B366" s="122" t="s">
        <v>162</v>
      </c>
      <c r="C366" s="122" t="s">
        <v>66</v>
      </c>
      <c r="D366" s="123">
        <v>46131</v>
      </c>
      <c r="E366" s="123">
        <v>46131</v>
      </c>
      <c r="F366" s="122"/>
      <c r="G366" s="122">
        <v>888</v>
      </c>
      <c r="H366" s="122" t="s">
        <v>132</v>
      </c>
      <c r="I366" s="122">
        <v>4085</v>
      </c>
      <c r="J366" s="122">
        <v>269157</v>
      </c>
      <c r="K366" s="122"/>
      <c r="L366" s="122" t="s">
        <v>499</v>
      </c>
      <c r="M366" s="122" t="s">
        <v>160</v>
      </c>
      <c r="N366" s="122" t="s">
        <v>161</v>
      </c>
      <c r="O366" s="123">
        <v>46131</v>
      </c>
      <c r="P366" s="158">
        <v>529</v>
      </c>
      <c r="Q366" s="158" t="s">
        <v>67</v>
      </c>
      <c r="R366" s="158">
        <v>15.29</v>
      </c>
      <c r="S366" s="158">
        <v>6.83</v>
      </c>
      <c r="T366" s="158">
        <v>1.23</v>
      </c>
      <c r="U366" s="158">
        <v>512.48</v>
      </c>
      <c r="V366" s="163">
        <v>0</v>
      </c>
      <c r="W366" s="122"/>
      <c r="X366" s="162">
        <v>20260420</v>
      </c>
      <c r="Y366" s="122"/>
      <c r="Z366" s="122" t="s">
        <v>139</v>
      </c>
      <c r="AA366" s="122">
        <v>3908900</v>
      </c>
      <c r="AB366" s="122" t="s">
        <v>147</v>
      </c>
      <c r="AC366" s="122"/>
      <c r="AD366" s="122"/>
      <c r="AE366" s="129">
        <v>0.5329976851851852</v>
      </c>
      <c r="AF366" s="122" t="s">
        <v>141</v>
      </c>
      <c r="AG366" s="139" t="s">
        <v>148</v>
      </c>
    </row>
    <row r="367" spans="1:33" x14ac:dyDescent="0.3">
      <c r="A367" s="121">
        <v>1044162</v>
      </c>
      <c r="B367" s="122" t="s">
        <v>162</v>
      </c>
      <c r="C367" s="122" t="s">
        <v>66</v>
      </c>
      <c r="D367" s="123">
        <v>46131</v>
      </c>
      <c r="E367" s="123">
        <v>46131</v>
      </c>
      <c r="F367" s="122"/>
      <c r="G367" s="122">
        <v>888</v>
      </c>
      <c r="H367" s="122" t="s">
        <v>132</v>
      </c>
      <c r="I367" s="122">
        <v>4087</v>
      </c>
      <c r="J367" s="122">
        <v>921762</v>
      </c>
      <c r="K367" s="122"/>
      <c r="L367" s="122" t="s">
        <v>500</v>
      </c>
      <c r="M367" s="122" t="s">
        <v>160</v>
      </c>
      <c r="N367" s="122" t="s">
        <v>161</v>
      </c>
      <c r="O367" s="123">
        <v>46131</v>
      </c>
      <c r="P367" s="158">
        <v>459</v>
      </c>
      <c r="Q367" s="158" t="s">
        <v>67</v>
      </c>
      <c r="R367" s="158">
        <v>13.27</v>
      </c>
      <c r="S367" s="158">
        <v>3.63</v>
      </c>
      <c r="T367" s="158">
        <v>0.65</v>
      </c>
      <c r="U367" s="158">
        <v>445.08</v>
      </c>
      <c r="V367" s="163">
        <v>0</v>
      </c>
      <c r="W367" s="122"/>
      <c r="X367" s="162">
        <v>20260420</v>
      </c>
      <c r="Y367" s="122"/>
      <c r="Z367" s="122" t="s">
        <v>142</v>
      </c>
      <c r="AA367" s="122">
        <v>3908900</v>
      </c>
      <c r="AB367" s="122" t="s">
        <v>149</v>
      </c>
      <c r="AC367" s="122"/>
      <c r="AD367" s="122"/>
      <c r="AE367" s="129">
        <v>0.58519675925925929</v>
      </c>
      <c r="AF367" s="122" t="s">
        <v>141</v>
      </c>
      <c r="AG367" s="139" t="s">
        <v>148</v>
      </c>
    </row>
    <row r="368" spans="1:33" x14ac:dyDescent="0.3">
      <c r="A368" s="121">
        <v>1044162</v>
      </c>
      <c r="B368" s="122" t="s">
        <v>162</v>
      </c>
      <c r="C368" s="122" t="s">
        <v>66</v>
      </c>
      <c r="D368" s="123">
        <v>46131</v>
      </c>
      <c r="E368" s="123">
        <v>46131</v>
      </c>
      <c r="F368" s="122"/>
      <c r="G368" s="122">
        <v>888</v>
      </c>
      <c r="H368" s="122" t="s">
        <v>132</v>
      </c>
      <c r="I368" s="122">
        <v>4089</v>
      </c>
      <c r="J368" s="122">
        <v>906446</v>
      </c>
      <c r="K368" s="122"/>
      <c r="L368" s="122" t="s">
        <v>501</v>
      </c>
      <c r="M368" s="122" t="s">
        <v>160</v>
      </c>
      <c r="N368" s="122" t="s">
        <v>161</v>
      </c>
      <c r="O368" s="123">
        <v>46131</v>
      </c>
      <c r="P368" s="158">
        <v>629</v>
      </c>
      <c r="Q368" s="158" t="s">
        <v>67</v>
      </c>
      <c r="R368" s="158">
        <v>18.18</v>
      </c>
      <c r="S368" s="158">
        <v>8.1199999999999992</v>
      </c>
      <c r="T368" s="158">
        <v>1.46</v>
      </c>
      <c r="U368" s="158">
        <v>609.36</v>
      </c>
      <c r="V368" s="163">
        <v>0</v>
      </c>
      <c r="W368" s="122"/>
      <c r="X368" s="162">
        <v>20260420</v>
      </c>
      <c r="Y368" s="122"/>
      <c r="Z368" s="122" t="s">
        <v>139</v>
      </c>
      <c r="AA368" s="122">
        <v>3908900</v>
      </c>
      <c r="AB368" s="122" t="s">
        <v>145</v>
      </c>
      <c r="AC368" s="122"/>
      <c r="AD368" s="122"/>
      <c r="AE368" s="129">
        <v>0.59307870370370364</v>
      </c>
      <c r="AF368" s="122" t="s">
        <v>141</v>
      </c>
      <c r="AG368" s="139" t="s">
        <v>148</v>
      </c>
    </row>
    <row r="369" spans="1:33" x14ac:dyDescent="0.3">
      <c r="A369" s="121">
        <v>1044162</v>
      </c>
      <c r="B369" s="122" t="s">
        <v>162</v>
      </c>
      <c r="C369" s="122" t="s">
        <v>66</v>
      </c>
      <c r="D369" s="123">
        <v>46131</v>
      </c>
      <c r="E369" s="123">
        <v>46131</v>
      </c>
      <c r="F369" s="122"/>
      <c r="G369" s="122">
        <v>888</v>
      </c>
      <c r="H369" s="122" t="s">
        <v>132</v>
      </c>
      <c r="I369" s="122">
        <v>4091</v>
      </c>
      <c r="J369" s="122">
        <v>931607</v>
      </c>
      <c r="K369" s="122">
        <v>3</v>
      </c>
      <c r="L369" s="122" t="s">
        <v>502</v>
      </c>
      <c r="M369" s="122" t="s">
        <v>160</v>
      </c>
      <c r="N369" s="122" t="s">
        <v>161</v>
      </c>
      <c r="O369" s="123">
        <v>46131</v>
      </c>
      <c r="P369" s="158">
        <v>629</v>
      </c>
      <c r="Q369" s="158" t="s">
        <v>67</v>
      </c>
      <c r="R369" s="158">
        <v>18.18</v>
      </c>
      <c r="S369" s="158">
        <v>3.71</v>
      </c>
      <c r="T369" s="158">
        <v>0.67</v>
      </c>
      <c r="U369" s="158">
        <v>610.15</v>
      </c>
      <c r="V369" s="163">
        <v>0</v>
      </c>
      <c r="W369" s="122"/>
      <c r="X369" s="162">
        <v>20260420</v>
      </c>
      <c r="Y369" s="122"/>
      <c r="Z369" s="122" t="s">
        <v>142</v>
      </c>
      <c r="AA369" s="122">
        <v>3908900</v>
      </c>
      <c r="AB369" s="122" t="s">
        <v>149</v>
      </c>
      <c r="AC369" s="122" t="s">
        <v>144</v>
      </c>
      <c r="AD369" s="122"/>
      <c r="AE369" s="129">
        <v>0.60842592592592593</v>
      </c>
      <c r="AF369" s="122" t="s">
        <v>141</v>
      </c>
      <c r="AG369" s="139" t="s">
        <v>148</v>
      </c>
    </row>
    <row r="370" spans="1:33" x14ac:dyDescent="0.3">
      <c r="A370" s="121">
        <v>1044162</v>
      </c>
      <c r="B370" s="122" t="s">
        <v>162</v>
      </c>
      <c r="C370" s="122" t="s">
        <v>66</v>
      </c>
      <c r="D370" s="123">
        <v>46131</v>
      </c>
      <c r="E370" s="123">
        <v>46131</v>
      </c>
      <c r="F370" s="122"/>
      <c r="G370" s="122">
        <v>888</v>
      </c>
      <c r="H370" s="122" t="s">
        <v>132</v>
      </c>
      <c r="I370" s="122">
        <v>4093</v>
      </c>
      <c r="J370" s="122">
        <v>691821</v>
      </c>
      <c r="K370" s="122"/>
      <c r="L370" s="122" t="s">
        <v>503</v>
      </c>
      <c r="M370" s="122" t="s">
        <v>160</v>
      </c>
      <c r="N370" s="122" t="s">
        <v>161</v>
      </c>
      <c r="O370" s="123">
        <v>46131</v>
      </c>
      <c r="P370" s="158">
        <v>629</v>
      </c>
      <c r="Q370" s="158" t="s">
        <v>67</v>
      </c>
      <c r="R370" s="158">
        <v>18.18</v>
      </c>
      <c r="S370" s="158">
        <v>4.97</v>
      </c>
      <c r="T370" s="158">
        <v>0.89</v>
      </c>
      <c r="U370" s="158">
        <v>609.92999999999995</v>
      </c>
      <c r="V370" s="163">
        <v>0</v>
      </c>
      <c r="W370" s="122"/>
      <c r="X370" s="162">
        <v>20260420</v>
      </c>
      <c r="Y370" s="122"/>
      <c r="Z370" s="122" t="s">
        <v>139</v>
      </c>
      <c r="AA370" s="122">
        <v>3908900</v>
      </c>
      <c r="AB370" s="122" t="s">
        <v>145</v>
      </c>
      <c r="AC370" s="122"/>
      <c r="AD370" s="122"/>
      <c r="AE370" s="129">
        <v>0.6170254629629629</v>
      </c>
      <c r="AF370" s="122" t="s">
        <v>141</v>
      </c>
      <c r="AG370" s="139" t="s">
        <v>148</v>
      </c>
    </row>
    <row r="371" spans="1:33" x14ac:dyDescent="0.3">
      <c r="A371" s="121">
        <v>1044162</v>
      </c>
      <c r="B371" s="122" t="s">
        <v>162</v>
      </c>
      <c r="C371" s="122" t="s">
        <v>66</v>
      </c>
      <c r="D371" s="123">
        <v>46131</v>
      </c>
      <c r="E371" s="123">
        <v>46131</v>
      </c>
      <c r="F371" s="122"/>
      <c r="G371" s="122">
        <v>888</v>
      </c>
      <c r="H371" s="122" t="s">
        <v>132</v>
      </c>
      <c r="I371" s="122">
        <v>4095</v>
      </c>
      <c r="J371" s="122">
        <v>592215</v>
      </c>
      <c r="K371" s="122"/>
      <c r="L371" s="122" t="s">
        <v>504</v>
      </c>
      <c r="M371" s="122" t="s">
        <v>160</v>
      </c>
      <c r="N371" s="122" t="s">
        <v>161</v>
      </c>
      <c r="O371" s="123">
        <v>46131</v>
      </c>
      <c r="P371" s="158">
        <v>299</v>
      </c>
      <c r="Q371" s="158" t="s">
        <v>67</v>
      </c>
      <c r="R371" s="158">
        <v>8.64</v>
      </c>
      <c r="S371" s="158">
        <v>2.36</v>
      </c>
      <c r="T371" s="158">
        <v>0.42</v>
      </c>
      <c r="U371" s="158">
        <v>289.94</v>
      </c>
      <c r="V371" s="163">
        <v>0</v>
      </c>
      <c r="W371" s="122"/>
      <c r="X371" s="162">
        <v>20260420</v>
      </c>
      <c r="Y371" s="122"/>
      <c r="Z371" s="122" t="s">
        <v>139</v>
      </c>
      <c r="AA371" s="122">
        <v>3908900</v>
      </c>
      <c r="AB371" s="122" t="s">
        <v>145</v>
      </c>
      <c r="AC371" s="122"/>
      <c r="AD371" s="122"/>
      <c r="AE371" s="129">
        <v>0.63108796296296299</v>
      </c>
      <c r="AF371" s="122" t="s">
        <v>141</v>
      </c>
      <c r="AG371" s="139" t="s">
        <v>148</v>
      </c>
    </row>
    <row r="372" spans="1:33" x14ac:dyDescent="0.3">
      <c r="A372" s="121">
        <v>1044162</v>
      </c>
      <c r="B372" s="122" t="s">
        <v>162</v>
      </c>
      <c r="C372" s="122" t="s">
        <v>66</v>
      </c>
      <c r="D372" s="123">
        <v>46131</v>
      </c>
      <c r="E372" s="123">
        <v>46131</v>
      </c>
      <c r="F372" s="122"/>
      <c r="G372" s="122">
        <v>888</v>
      </c>
      <c r="H372" s="122" t="s">
        <v>132</v>
      </c>
      <c r="I372" s="122">
        <v>4098</v>
      </c>
      <c r="J372" s="122">
        <v>748443</v>
      </c>
      <c r="K372" s="122"/>
      <c r="L372" s="122" t="s">
        <v>505</v>
      </c>
      <c r="M372" s="122" t="s">
        <v>160</v>
      </c>
      <c r="N372" s="122" t="s">
        <v>161</v>
      </c>
      <c r="O372" s="123">
        <v>46131</v>
      </c>
      <c r="P372" s="158">
        <v>459</v>
      </c>
      <c r="Q372" s="158" t="s">
        <v>67</v>
      </c>
      <c r="R372" s="158">
        <v>13.27</v>
      </c>
      <c r="S372" s="158">
        <v>5.93</v>
      </c>
      <c r="T372" s="158">
        <v>1.07</v>
      </c>
      <c r="U372" s="158">
        <v>444.66</v>
      </c>
      <c r="V372" s="163">
        <v>0</v>
      </c>
      <c r="W372" s="122"/>
      <c r="X372" s="162">
        <v>20260420</v>
      </c>
      <c r="Y372" s="122"/>
      <c r="Z372" s="122" t="s">
        <v>139</v>
      </c>
      <c r="AA372" s="122">
        <v>3908900</v>
      </c>
      <c r="AB372" s="122" t="s">
        <v>155</v>
      </c>
      <c r="AC372" s="122"/>
      <c r="AD372" s="122"/>
      <c r="AE372" s="129">
        <v>0.64274305555555555</v>
      </c>
      <c r="AF372" s="122" t="s">
        <v>141</v>
      </c>
      <c r="AG372" s="139" t="s">
        <v>148</v>
      </c>
    </row>
    <row r="373" spans="1:33" x14ac:dyDescent="0.3">
      <c r="A373" s="121">
        <v>1044162</v>
      </c>
      <c r="B373" s="122" t="s">
        <v>162</v>
      </c>
      <c r="C373" s="122" t="s">
        <v>66</v>
      </c>
      <c r="D373" s="123">
        <v>46131</v>
      </c>
      <c r="E373" s="123">
        <v>46131</v>
      </c>
      <c r="F373" s="122"/>
      <c r="G373" s="122">
        <v>888</v>
      </c>
      <c r="H373" s="122" t="s">
        <v>132</v>
      </c>
      <c r="I373" s="122">
        <v>4109</v>
      </c>
      <c r="J373" s="122">
        <v>773585</v>
      </c>
      <c r="K373" s="122"/>
      <c r="L373" s="122" t="s">
        <v>506</v>
      </c>
      <c r="M373" s="122" t="s">
        <v>160</v>
      </c>
      <c r="N373" s="122" t="s">
        <v>161</v>
      </c>
      <c r="O373" s="123">
        <v>46131</v>
      </c>
      <c r="P373" s="158">
        <v>529</v>
      </c>
      <c r="Q373" s="158" t="s">
        <v>67</v>
      </c>
      <c r="R373" s="158">
        <v>15.29</v>
      </c>
      <c r="S373" s="158">
        <v>6.83</v>
      </c>
      <c r="T373" s="158">
        <v>1.23</v>
      </c>
      <c r="U373" s="158">
        <v>512.48</v>
      </c>
      <c r="V373" s="163">
        <v>0</v>
      </c>
      <c r="W373" s="122"/>
      <c r="X373" s="162">
        <v>20260420</v>
      </c>
      <c r="Y373" s="122"/>
      <c r="Z373" s="122" t="s">
        <v>139</v>
      </c>
      <c r="AA373" s="122">
        <v>3908900</v>
      </c>
      <c r="AB373" s="122" t="s">
        <v>145</v>
      </c>
      <c r="AC373" s="122"/>
      <c r="AD373" s="122"/>
      <c r="AE373" s="129">
        <v>0.65445601851851853</v>
      </c>
      <c r="AF373" s="122" t="s">
        <v>141</v>
      </c>
      <c r="AG373" s="139" t="s">
        <v>148</v>
      </c>
    </row>
    <row r="374" spans="1:33" x14ac:dyDescent="0.3">
      <c r="A374" s="121">
        <v>1044162</v>
      </c>
      <c r="B374" s="122" t="s">
        <v>162</v>
      </c>
      <c r="C374" s="122" t="s">
        <v>66</v>
      </c>
      <c r="D374" s="123">
        <v>46131</v>
      </c>
      <c r="E374" s="123">
        <v>46131</v>
      </c>
      <c r="F374" s="122"/>
      <c r="G374" s="122">
        <v>888</v>
      </c>
      <c r="H374" s="122" t="s">
        <v>132</v>
      </c>
      <c r="I374" s="122">
        <v>4111</v>
      </c>
      <c r="J374" s="122">
        <v>658367</v>
      </c>
      <c r="K374" s="122"/>
      <c r="L374" s="122" t="s">
        <v>507</v>
      </c>
      <c r="M374" s="122" t="s">
        <v>160</v>
      </c>
      <c r="N374" s="122" t="s">
        <v>161</v>
      </c>
      <c r="O374" s="123">
        <v>46131</v>
      </c>
      <c r="P374" s="158">
        <v>839</v>
      </c>
      <c r="Q374" s="158" t="s">
        <v>67</v>
      </c>
      <c r="R374" s="158">
        <v>24.25</v>
      </c>
      <c r="S374" s="158">
        <v>10.83</v>
      </c>
      <c r="T374" s="158">
        <v>1.95</v>
      </c>
      <c r="U374" s="158">
        <v>812.8</v>
      </c>
      <c r="V374" s="163">
        <v>0</v>
      </c>
      <c r="W374" s="122"/>
      <c r="X374" s="162">
        <v>20260420</v>
      </c>
      <c r="Y374" s="122"/>
      <c r="Z374" s="122" t="s">
        <v>139</v>
      </c>
      <c r="AA374" s="122">
        <v>3908900</v>
      </c>
      <c r="AB374" s="122" t="s">
        <v>145</v>
      </c>
      <c r="AC374" s="122"/>
      <c r="AD374" s="122"/>
      <c r="AE374" s="129">
        <v>0.66125</v>
      </c>
      <c r="AF374" s="122" t="s">
        <v>141</v>
      </c>
      <c r="AG374" s="139" t="s">
        <v>148</v>
      </c>
    </row>
    <row r="375" spans="1:33" x14ac:dyDescent="0.3">
      <c r="A375" s="121">
        <v>1044162</v>
      </c>
      <c r="B375" s="122" t="s">
        <v>162</v>
      </c>
      <c r="C375" s="122" t="s">
        <v>66</v>
      </c>
      <c r="D375" s="123">
        <v>46131</v>
      </c>
      <c r="E375" s="123">
        <v>46131</v>
      </c>
      <c r="F375" s="122"/>
      <c r="G375" s="122">
        <v>888</v>
      </c>
      <c r="H375" s="122" t="s">
        <v>132</v>
      </c>
      <c r="I375" s="122">
        <v>4113</v>
      </c>
      <c r="J375" s="122">
        <v>61226</v>
      </c>
      <c r="K375" s="122"/>
      <c r="L375" s="122" t="s">
        <v>508</v>
      </c>
      <c r="M375" s="122" t="s">
        <v>160</v>
      </c>
      <c r="N375" s="122" t="s">
        <v>161</v>
      </c>
      <c r="O375" s="123">
        <v>46131</v>
      </c>
      <c r="P375" s="158">
        <v>329</v>
      </c>
      <c r="Q375" s="158" t="s">
        <v>67</v>
      </c>
      <c r="R375" s="158">
        <v>9.51</v>
      </c>
      <c r="S375" s="158">
        <v>4.25</v>
      </c>
      <c r="T375" s="158">
        <v>0.77</v>
      </c>
      <c r="U375" s="158">
        <v>318.72000000000003</v>
      </c>
      <c r="V375" s="163">
        <v>0</v>
      </c>
      <c r="W375" s="122"/>
      <c r="X375" s="162">
        <v>20260420</v>
      </c>
      <c r="Y375" s="122"/>
      <c r="Z375" s="122" t="s">
        <v>139</v>
      </c>
      <c r="AA375" s="122">
        <v>3908900</v>
      </c>
      <c r="AB375" s="122" t="s">
        <v>145</v>
      </c>
      <c r="AC375" s="122"/>
      <c r="AD375" s="122"/>
      <c r="AE375" s="129">
        <v>0.66456018518518511</v>
      </c>
      <c r="AF375" s="122" t="s">
        <v>141</v>
      </c>
      <c r="AG375" s="139" t="s">
        <v>148</v>
      </c>
    </row>
    <row r="376" spans="1:33" x14ac:dyDescent="0.3">
      <c r="A376" s="121">
        <v>1044162</v>
      </c>
      <c r="B376" s="122" t="s">
        <v>162</v>
      </c>
      <c r="C376" s="122" t="s">
        <v>66</v>
      </c>
      <c r="D376" s="123">
        <v>46131</v>
      </c>
      <c r="E376" s="123">
        <v>46131</v>
      </c>
      <c r="F376" s="122"/>
      <c r="G376" s="122">
        <v>888</v>
      </c>
      <c r="H376" s="122" t="s">
        <v>132</v>
      </c>
      <c r="I376" s="122">
        <v>4117</v>
      </c>
      <c r="J376" s="122">
        <v>533866</v>
      </c>
      <c r="K376" s="122"/>
      <c r="L376" s="122" t="s">
        <v>172</v>
      </c>
      <c r="M376" s="122" t="s">
        <v>160</v>
      </c>
      <c r="N376" s="122" t="s">
        <v>161</v>
      </c>
      <c r="O376" s="123">
        <v>46131</v>
      </c>
      <c r="P376" s="158">
        <v>79</v>
      </c>
      <c r="Q376" s="158" t="s">
        <v>67</v>
      </c>
      <c r="R376" s="158">
        <v>2.2799999999999998</v>
      </c>
      <c r="S376" s="158">
        <v>0.62</v>
      </c>
      <c r="T376" s="158">
        <v>0.11</v>
      </c>
      <c r="U376" s="158">
        <v>76.61</v>
      </c>
      <c r="V376" s="163">
        <v>0</v>
      </c>
      <c r="W376" s="122"/>
      <c r="X376" s="162">
        <v>20260420</v>
      </c>
      <c r="Y376" s="122"/>
      <c r="Z376" s="122" t="s">
        <v>142</v>
      </c>
      <c r="AA376" s="122">
        <v>3908900</v>
      </c>
      <c r="AB376" s="122" t="s">
        <v>147</v>
      </c>
      <c r="AC376" s="122"/>
      <c r="AD376" s="122"/>
      <c r="AE376" s="129">
        <v>0.70381944444444444</v>
      </c>
      <c r="AF376" s="122" t="s">
        <v>141</v>
      </c>
      <c r="AG376" s="139" t="s">
        <v>148</v>
      </c>
    </row>
    <row r="377" spans="1:33" x14ac:dyDescent="0.3">
      <c r="A377" s="121">
        <v>1044162</v>
      </c>
      <c r="B377" s="122" t="s">
        <v>162</v>
      </c>
      <c r="C377" s="122" t="s">
        <v>66</v>
      </c>
      <c r="D377" s="123">
        <v>46131</v>
      </c>
      <c r="E377" s="123">
        <v>46131</v>
      </c>
      <c r="F377" s="122"/>
      <c r="G377" s="122">
        <v>888</v>
      </c>
      <c r="H377" s="122" t="s">
        <v>132</v>
      </c>
      <c r="I377" s="122">
        <v>4119</v>
      </c>
      <c r="J377" s="122">
        <v>654144</v>
      </c>
      <c r="K377" s="122"/>
      <c r="L377" s="122" t="s">
        <v>509</v>
      </c>
      <c r="M377" s="122" t="s">
        <v>160</v>
      </c>
      <c r="N377" s="122" t="s">
        <v>161</v>
      </c>
      <c r="O377" s="123">
        <v>46131</v>
      </c>
      <c r="P377" s="158">
        <v>1799</v>
      </c>
      <c r="Q377" s="158" t="s">
        <v>67</v>
      </c>
      <c r="R377" s="158">
        <v>51.99</v>
      </c>
      <c r="S377" s="158">
        <v>23.21</v>
      </c>
      <c r="T377" s="158">
        <v>4.18</v>
      </c>
      <c r="U377" s="158">
        <v>1742.83</v>
      </c>
      <c r="V377" s="163">
        <v>0</v>
      </c>
      <c r="W377" s="122"/>
      <c r="X377" s="162">
        <v>20260420</v>
      </c>
      <c r="Y377" s="122"/>
      <c r="Z377" s="122" t="s">
        <v>139</v>
      </c>
      <c r="AA377" s="122">
        <v>3908900</v>
      </c>
      <c r="AB377" s="122" t="s">
        <v>148</v>
      </c>
      <c r="AC377" s="122"/>
      <c r="AD377" s="122"/>
      <c r="AE377" s="129">
        <v>0.70627314814814823</v>
      </c>
      <c r="AF377" s="122" t="s">
        <v>141</v>
      </c>
      <c r="AG377" s="139" t="s">
        <v>148</v>
      </c>
    </row>
    <row r="378" spans="1:33" x14ac:dyDescent="0.3">
      <c r="A378" s="121">
        <v>1044162</v>
      </c>
      <c r="B378" s="122" t="s">
        <v>162</v>
      </c>
      <c r="C378" s="122" t="s">
        <v>66</v>
      </c>
      <c r="D378" s="123">
        <v>46131</v>
      </c>
      <c r="E378" s="123">
        <v>46131</v>
      </c>
      <c r="F378" s="122"/>
      <c r="G378" s="122">
        <v>888</v>
      </c>
      <c r="H378" s="122">
        <v>65656565</v>
      </c>
      <c r="I378" s="122">
        <v>4123</v>
      </c>
      <c r="J378" s="122">
        <v>861085</v>
      </c>
      <c r="K378" s="122"/>
      <c r="L378" s="122" t="s">
        <v>510</v>
      </c>
      <c r="M378" s="122" t="s">
        <v>160</v>
      </c>
      <c r="N378" s="122" t="s">
        <v>161</v>
      </c>
      <c r="O378" s="123">
        <v>46131</v>
      </c>
      <c r="P378" s="158">
        <v>629</v>
      </c>
      <c r="Q378" s="158" t="s">
        <v>67</v>
      </c>
      <c r="R378" s="158">
        <v>18.170000000000002</v>
      </c>
      <c r="S378" s="158">
        <v>8.11</v>
      </c>
      <c r="T378" s="158">
        <v>1.46</v>
      </c>
      <c r="U378" s="158">
        <v>609.37</v>
      </c>
      <c r="V378" s="163">
        <v>0</v>
      </c>
      <c r="W378" s="122"/>
      <c r="X378" s="162">
        <v>20260420</v>
      </c>
      <c r="Y378" s="122"/>
      <c r="Z378" s="122" t="s">
        <v>139</v>
      </c>
      <c r="AA378" s="122">
        <v>3908900</v>
      </c>
      <c r="AB378" s="122" t="s">
        <v>147</v>
      </c>
      <c r="AC378" s="122"/>
      <c r="AD378" s="122" t="s">
        <v>154</v>
      </c>
      <c r="AE378" s="129">
        <v>0.70803240740740747</v>
      </c>
      <c r="AF378" s="122" t="s">
        <v>141</v>
      </c>
      <c r="AG378" s="139" t="s">
        <v>148</v>
      </c>
    </row>
    <row r="379" spans="1:33" x14ac:dyDescent="0.3">
      <c r="A379" s="121">
        <v>1044162</v>
      </c>
      <c r="B379" s="122" t="s">
        <v>162</v>
      </c>
      <c r="C379" s="122" t="s">
        <v>66</v>
      </c>
      <c r="D379" s="123">
        <v>46131</v>
      </c>
      <c r="E379" s="123">
        <v>46131</v>
      </c>
      <c r="F379" s="122"/>
      <c r="G379" s="122">
        <v>888</v>
      </c>
      <c r="H379" s="122" t="s">
        <v>132</v>
      </c>
      <c r="I379" s="122">
        <v>4126</v>
      </c>
      <c r="J379" s="122">
        <v>891262</v>
      </c>
      <c r="K379" s="122"/>
      <c r="L379" s="122" t="s">
        <v>511</v>
      </c>
      <c r="M379" s="122" t="s">
        <v>160</v>
      </c>
      <c r="N379" s="122" t="s">
        <v>161</v>
      </c>
      <c r="O379" s="123">
        <v>46131</v>
      </c>
      <c r="P379" s="158">
        <v>89</v>
      </c>
      <c r="Q379" s="158" t="s">
        <v>67</v>
      </c>
      <c r="R379" s="158">
        <v>2.57</v>
      </c>
      <c r="S379" s="158">
        <v>1.1499999999999999</v>
      </c>
      <c r="T379" s="158">
        <v>0.21</v>
      </c>
      <c r="U379" s="158">
        <v>86.22</v>
      </c>
      <c r="V379" s="163">
        <v>0</v>
      </c>
      <c r="W379" s="122"/>
      <c r="X379" s="162">
        <v>20260420</v>
      </c>
      <c r="Y379" s="122"/>
      <c r="Z379" s="122" t="s">
        <v>139</v>
      </c>
      <c r="AA379" s="122">
        <v>3908900</v>
      </c>
      <c r="AB379" s="122" t="s">
        <v>155</v>
      </c>
      <c r="AC379" s="122"/>
      <c r="AD379" s="122"/>
      <c r="AE379" s="129">
        <v>0.70950231481481485</v>
      </c>
      <c r="AF379" s="122" t="s">
        <v>141</v>
      </c>
      <c r="AG379" s="139" t="s">
        <v>148</v>
      </c>
    </row>
    <row r="380" spans="1:33" x14ac:dyDescent="0.3">
      <c r="A380" s="121">
        <v>1044162</v>
      </c>
      <c r="B380" s="122" t="s">
        <v>162</v>
      </c>
      <c r="C380" s="122" t="s">
        <v>66</v>
      </c>
      <c r="D380" s="123">
        <v>46131</v>
      </c>
      <c r="E380" s="123">
        <v>46131</v>
      </c>
      <c r="F380" s="122"/>
      <c r="G380" s="122">
        <v>888</v>
      </c>
      <c r="H380" s="122">
        <v>65656565</v>
      </c>
      <c r="I380" s="122">
        <v>4128</v>
      </c>
      <c r="J380" s="122">
        <v>897577</v>
      </c>
      <c r="K380" s="122"/>
      <c r="L380" s="122" t="s">
        <v>512</v>
      </c>
      <c r="M380" s="122" t="s">
        <v>160</v>
      </c>
      <c r="N380" s="122" t="s">
        <v>161</v>
      </c>
      <c r="O380" s="123">
        <v>46131</v>
      </c>
      <c r="P380" s="158">
        <v>238</v>
      </c>
      <c r="Q380" s="158" t="s">
        <v>67</v>
      </c>
      <c r="R380" s="158">
        <v>6.87</v>
      </c>
      <c r="S380" s="158">
        <v>3.06</v>
      </c>
      <c r="T380" s="158">
        <v>0.55000000000000004</v>
      </c>
      <c r="U380" s="158">
        <v>230.58</v>
      </c>
      <c r="V380" s="163">
        <v>0</v>
      </c>
      <c r="W380" s="122"/>
      <c r="X380" s="162">
        <v>20260420</v>
      </c>
      <c r="Y380" s="122"/>
      <c r="Z380" s="122" t="s">
        <v>139</v>
      </c>
      <c r="AA380" s="122">
        <v>3908900</v>
      </c>
      <c r="AB380" s="122" t="s">
        <v>145</v>
      </c>
      <c r="AC380" s="122"/>
      <c r="AD380" s="122" t="s">
        <v>146</v>
      </c>
      <c r="AE380" s="129">
        <v>0.71233796296296292</v>
      </c>
      <c r="AF380" s="122" t="s">
        <v>141</v>
      </c>
      <c r="AG380" s="139" t="s">
        <v>148</v>
      </c>
    </row>
    <row r="381" spans="1:33" x14ac:dyDescent="0.3">
      <c r="A381" s="121">
        <v>1044162</v>
      </c>
      <c r="B381" s="122" t="s">
        <v>162</v>
      </c>
      <c r="C381" s="122" t="s">
        <v>66</v>
      </c>
      <c r="D381" s="123">
        <v>46131</v>
      </c>
      <c r="E381" s="123">
        <v>46131</v>
      </c>
      <c r="F381" s="122"/>
      <c r="G381" s="122">
        <v>888</v>
      </c>
      <c r="H381" s="122" t="s">
        <v>132</v>
      </c>
      <c r="I381" s="122">
        <v>4132</v>
      </c>
      <c r="J381" s="122">
        <v>734882</v>
      </c>
      <c r="K381" s="122"/>
      <c r="L381" s="122" t="s">
        <v>513</v>
      </c>
      <c r="M381" s="122" t="s">
        <v>160</v>
      </c>
      <c r="N381" s="122" t="s">
        <v>161</v>
      </c>
      <c r="O381" s="123">
        <v>46131</v>
      </c>
      <c r="P381" s="158">
        <v>200</v>
      </c>
      <c r="Q381" s="158" t="s">
        <v>67</v>
      </c>
      <c r="R381" s="158">
        <v>5.78</v>
      </c>
      <c r="S381" s="158">
        <v>2.58</v>
      </c>
      <c r="T381" s="158">
        <v>0.46</v>
      </c>
      <c r="U381" s="158">
        <v>193.76</v>
      </c>
      <c r="V381" s="163">
        <v>0</v>
      </c>
      <c r="W381" s="122"/>
      <c r="X381" s="162">
        <v>20260420</v>
      </c>
      <c r="Y381" s="122"/>
      <c r="Z381" s="122" t="s">
        <v>139</v>
      </c>
      <c r="AA381" s="122">
        <v>3908900</v>
      </c>
      <c r="AB381" s="122" t="s">
        <v>155</v>
      </c>
      <c r="AC381" s="122"/>
      <c r="AD381" s="122"/>
      <c r="AE381" s="129">
        <v>0.72591435185185194</v>
      </c>
      <c r="AF381" s="122" t="s">
        <v>141</v>
      </c>
      <c r="AG381" s="139" t="s">
        <v>148</v>
      </c>
    </row>
    <row r="382" spans="1:33" x14ac:dyDescent="0.3">
      <c r="A382" s="121">
        <v>1044162</v>
      </c>
      <c r="B382" s="122" t="s">
        <v>162</v>
      </c>
      <c r="C382" s="122" t="s">
        <v>66</v>
      </c>
      <c r="D382" s="123">
        <v>46131</v>
      </c>
      <c r="E382" s="123">
        <v>46131</v>
      </c>
      <c r="F382" s="122"/>
      <c r="G382" s="122">
        <v>888</v>
      </c>
      <c r="H382" s="122" t="s">
        <v>132</v>
      </c>
      <c r="I382" s="122">
        <v>4134</v>
      </c>
      <c r="J382" s="122">
        <v>736629</v>
      </c>
      <c r="K382" s="122">
        <v>3</v>
      </c>
      <c r="L382" s="122" t="s">
        <v>514</v>
      </c>
      <c r="M382" s="122" t="s">
        <v>160</v>
      </c>
      <c r="N382" s="122" t="s">
        <v>161</v>
      </c>
      <c r="O382" s="123">
        <v>46131</v>
      </c>
      <c r="P382" s="158">
        <v>499</v>
      </c>
      <c r="Q382" s="158" t="s">
        <v>67</v>
      </c>
      <c r="R382" s="158">
        <v>23.15</v>
      </c>
      <c r="S382" s="158">
        <v>3.94</v>
      </c>
      <c r="T382" s="158">
        <v>0.71</v>
      </c>
      <c r="U382" s="158">
        <v>475.14</v>
      </c>
      <c r="V382" s="163">
        <v>0</v>
      </c>
      <c r="W382" s="122"/>
      <c r="X382" s="162">
        <v>20260420</v>
      </c>
      <c r="Y382" s="122"/>
      <c r="Z382" s="122" t="s">
        <v>142</v>
      </c>
      <c r="AA382" s="122">
        <v>3908900</v>
      </c>
      <c r="AB382" s="122" t="s">
        <v>148</v>
      </c>
      <c r="AC382" s="122" t="s">
        <v>151</v>
      </c>
      <c r="AD382" s="122"/>
      <c r="AE382" s="129">
        <v>0.7263425925925926</v>
      </c>
      <c r="AF382" s="122" t="s">
        <v>141</v>
      </c>
      <c r="AG382" s="139" t="s">
        <v>148</v>
      </c>
    </row>
    <row r="383" spans="1:33" x14ac:dyDescent="0.3">
      <c r="A383" s="121">
        <v>1044162</v>
      </c>
      <c r="B383" s="122" t="s">
        <v>162</v>
      </c>
      <c r="C383" s="122" t="s">
        <v>66</v>
      </c>
      <c r="D383" s="123">
        <v>46131</v>
      </c>
      <c r="E383" s="123">
        <v>46131</v>
      </c>
      <c r="F383" s="122"/>
      <c r="G383" s="122">
        <v>888</v>
      </c>
      <c r="H383" s="122" t="s">
        <v>132</v>
      </c>
      <c r="I383" s="122">
        <v>4137</v>
      </c>
      <c r="J383" s="122">
        <v>979712</v>
      </c>
      <c r="K383" s="122"/>
      <c r="L383" s="122" t="s">
        <v>515</v>
      </c>
      <c r="M383" s="122" t="s">
        <v>160</v>
      </c>
      <c r="N383" s="122" t="s">
        <v>161</v>
      </c>
      <c r="O383" s="123">
        <v>46131</v>
      </c>
      <c r="P383" s="158">
        <v>718</v>
      </c>
      <c r="Q383" s="158" t="s">
        <v>67</v>
      </c>
      <c r="R383" s="158">
        <v>20.75</v>
      </c>
      <c r="S383" s="158">
        <v>9.26</v>
      </c>
      <c r="T383" s="158">
        <v>1.67</v>
      </c>
      <c r="U383" s="158">
        <v>695.58</v>
      </c>
      <c r="V383" s="163">
        <v>0</v>
      </c>
      <c r="W383" s="122"/>
      <c r="X383" s="162">
        <v>20260420</v>
      </c>
      <c r="Y383" s="122"/>
      <c r="Z383" s="122" t="s">
        <v>139</v>
      </c>
      <c r="AA383" s="122">
        <v>3908900</v>
      </c>
      <c r="AB383" s="122" t="s">
        <v>145</v>
      </c>
      <c r="AC383" s="122"/>
      <c r="AD383" s="122"/>
      <c r="AE383" s="129">
        <v>0.74894675925925924</v>
      </c>
      <c r="AF383" s="122" t="s">
        <v>141</v>
      </c>
      <c r="AG383" s="139" t="s">
        <v>148</v>
      </c>
    </row>
    <row r="384" spans="1:33" x14ac:dyDescent="0.3">
      <c r="A384" s="121">
        <v>1044162</v>
      </c>
      <c r="B384" s="122" t="s">
        <v>162</v>
      </c>
      <c r="C384" s="122" t="s">
        <v>66</v>
      </c>
      <c r="D384" s="123">
        <v>46131</v>
      </c>
      <c r="E384" s="123">
        <v>46131</v>
      </c>
      <c r="F384" s="122"/>
      <c r="G384" s="122">
        <v>888</v>
      </c>
      <c r="H384" s="122" t="s">
        <v>132</v>
      </c>
      <c r="I384" s="122">
        <v>4139</v>
      </c>
      <c r="J384" s="122">
        <v>259559</v>
      </c>
      <c r="K384" s="122"/>
      <c r="L384" s="122" t="s">
        <v>173</v>
      </c>
      <c r="M384" s="122" t="s">
        <v>160</v>
      </c>
      <c r="N384" s="122" t="s">
        <v>161</v>
      </c>
      <c r="O384" s="123">
        <v>46131</v>
      </c>
      <c r="P384" s="158">
        <v>158</v>
      </c>
      <c r="Q384" s="158" t="s">
        <v>67</v>
      </c>
      <c r="R384" s="158">
        <v>4.57</v>
      </c>
      <c r="S384" s="158">
        <v>2.04</v>
      </c>
      <c r="T384" s="158">
        <v>0.37</v>
      </c>
      <c r="U384" s="158">
        <v>153.06</v>
      </c>
      <c r="V384" s="163">
        <v>0</v>
      </c>
      <c r="W384" s="122"/>
      <c r="X384" s="162">
        <v>20260420</v>
      </c>
      <c r="Y384" s="122"/>
      <c r="Z384" s="122" t="s">
        <v>139</v>
      </c>
      <c r="AA384" s="122">
        <v>3908900</v>
      </c>
      <c r="AB384" s="122" t="s">
        <v>145</v>
      </c>
      <c r="AC384" s="122"/>
      <c r="AD384" s="122"/>
      <c r="AE384" s="129">
        <v>0.75494212962962959</v>
      </c>
      <c r="AF384" s="122" t="s">
        <v>141</v>
      </c>
      <c r="AG384" s="139" t="s">
        <v>148</v>
      </c>
    </row>
    <row r="385" spans="1:33" x14ac:dyDescent="0.3">
      <c r="A385" s="121">
        <v>1044162</v>
      </c>
      <c r="B385" s="122" t="s">
        <v>162</v>
      </c>
      <c r="C385" s="122" t="s">
        <v>66</v>
      </c>
      <c r="D385" s="123">
        <v>46131</v>
      </c>
      <c r="E385" s="123">
        <v>46131</v>
      </c>
      <c r="F385" s="122"/>
      <c r="G385" s="122">
        <v>888</v>
      </c>
      <c r="H385" s="122" t="s">
        <v>132</v>
      </c>
      <c r="I385" s="122">
        <v>4141</v>
      </c>
      <c r="J385" s="122">
        <v>180838</v>
      </c>
      <c r="K385" s="122"/>
      <c r="L385" s="122" t="s">
        <v>168</v>
      </c>
      <c r="M385" s="122" t="s">
        <v>160</v>
      </c>
      <c r="N385" s="122" t="s">
        <v>161</v>
      </c>
      <c r="O385" s="123">
        <v>46131</v>
      </c>
      <c r="P385" s="158">
        <v>471</v>
      </c>
      <c r="Q385" s="158" t="s">
        <v>67</v>
      </c>
      <c r="R385" s="158">
        <v>13.61</v>
      </c>
      <c r="S385" s="158">
        <v>3.72</v>
      </c>
      <c r="T385" s="158">
        <v>0.67</v>
      </c>
      <c r="U385" s="158">
        <v>456.72</v>
      </c>
      <c r="V385" s="163">
        <v>0</v>
      </c>
      <c r="W385" s="122"/>
      <c r="X385" s="162">
        <v>20260420</v>
      </c>
      <c r="Y385" s="122"/>
      <c r="Z385" s="122" t="s">
        <v>139</v>
      </c>
      <c r="AA385" s="122">
        <v>3908900</v>
      </c>
      <c r="AB385" s="122" t="s">
        <v>147</v>
      </c>
      <c r="AC385" s="122"/>
      <c r="AD385" s="122"/>
      <c r="AE385" s="129">
        <v>0.7553009259259259</v>
      </c>
      <c r="AF385" s="122" t="s">
        <v>141</v>
      </c>
      <c r="AG385" s="139" t="s">
        <v>148</v>
      </c>
    </row>
    <row r="386" spans="1:33" x14ac:dyDescent="0.3">
      <c r="A386" s="121">
        <v>1044162</v>
      </c>
      <c r="B386" s="122" t="s">
        <v>162</v>
      </c>
      <c r="C386" s="122" t="s">
        <v>66</v>
      </c>
      <c r="D386" s="123">
        <v>46131</v>
      </c>
      <c r="E386" s="123">
        <v>46131</v>
      </c>
      <c r="F386" s="122"/>
      <c r="G386" s="122">
        <v>888</v>
      </c>
      <c r="H386" s="122" t="s">
        <v>132</v>
      </c>
      <c r="I386" s="122">
        <v>4143</v>
      </c>
      <c r="J386" s="122">
        <v>40386</v>
      </c>
      <c r="K386" s="122">
        <v>3</v>
      </c>
      <c r="L386" s="122" t="s">
        <v>516</v>
      </c>
      <c r="M386" s="122" t="s">
        <v>160</v>
      </c>
      <c r="N386" s="122" t="s">
        <v>161</v>
      </c>
      <c r="O386" s="123">
        <v>46131</v>
      </c>
      <c r="P386" s="158">
        <v>1799</v>
      </c>
      <c r="Q386" s="158" t="s">
        <v>67</v>
      </c>
      <c r="R386" s="158">
        <v>83.47</v>
      </c>
      <c r="S386" s="158">
        <v>10.61</v>
      </c>
      <c r="T386" s="158">
        <v>1.91</v>
      </c>
      <c r="U386" s="158">
        <v>1713.62</v>
      </c>
      <c r="V386" s="163">
        <v>0</v>
      </c>
      <c r="W386" s="122"/>
      <c r="X386" s="162">
        <v>20260420</v>
      </c>
      <c r="Y386" s="122"/>
      <c r="Z386" s="122" t="s">
        <v>142</v>
      </c>
      <c r="AA386" s="122">
        <v>3908900</v>
      </c>
      <c r="AB386" s="122" t="s">
        <v>148</v>
      </c>
      <c r="AC386" s="122" t="s">
        <v>151</v>
      </c>
      <c r="AD386" s="122"/>
      <c r="AE386" s="129">
        <v>0.7952893518518519</v>
      </c>
      <c r="AF386" s="122" t="s">
        <v>141</v>
      </c>
      <c r="AG386" s="139" t="s">
        <v>148</v>
      </c>
    </row>
    <row r="387" spans="1:33" x14ac:dyDescent="0.3">
      <c r="A387" s="121">
        <v>1044162</v>
      </c>
      <c r="B387" s="122" t="s">
        <v>162</v>
      </c>
      <c r="C387" s="122" t="s">
        <v>66</v>
      </c>
      <c r="D387" s="123">
        <v>46131</v>
      </c>
      <c r="E387" s="123">
        <v>46131</v>
      </c>
      <c r="F387" s="122"/>
      <c r="G387" s="122">
        <v>888</v>
      </c>
      <c r="H387" s="122" t="s">
        <v>132</v>
      </c>
      <c r="I387" s="122">
        <v>4145</v>
      </c>
      <c r="J387" s="122">
        <v>126699</v>
      </c>
      <c r="K387" s="122"/>
      <c r="L387" s="122" t="s">
        <v>517</v>
      </c>
      <c r="M387" s="122" t="s">
        <v>160</v>
      </c>
      <c r="N387" s="122" t="s">
        <v>161</v>
      </c>
      <c r="O387" s="123">
        <v>46131</v>
      </c>
      <c r="P387" s="158">
        <v>1699</v>
      </c>
      <c r="Q387" s="158" t="s">
        <v>67</v>
      </c>
      <c r="R387" s="158">
        <v>49.1</v>
      </c>
      <c r="S387" s="158">
        <v>21.92</v>
      </c>
      <c r="T387" s="158">
        <v>3.95</v>
      </c>
      <c r="U387" s="158">
        <v>1645.95</v>
      </c>
      <c r="V387" s="163">
        <v>0</v>
      </c>
      <c r="W387" s="122"/>
      <c r="X387" s="162">
        <v>20260420</v>
      </c>
      <c r="Y387" s="122"/>
      <c r="Z387" s="122" t="s">
        <v>139</v>
      </c>
      <c r="AA387" s="122">
        <v>3908900</v>
      </c>
      <c r="AB387" s="122" t="s">
        <v>152</v>
      </c>
      <c r="AC387" s="122"/>
      <c r="AD387" s="122"/>
      <c r="AE387" s="129">
        <v>0.8137847222222222</v>
      </c>
      <c r="AF387" s="122" t="s">
        <v>141</v>
      </c>
      <c r="AG387" s="139" t="s">
        <v>148</v>
      </c>
    </row>
    <row r="388" spans="1:33" x14ac:dyDescent="0.3">
      <c r="A388" s="121">
        <v>1044162</v>
      </c>
      <c r="B388" s="122" t="s">
        <v>162</v>
      </c>
      <c r="C388" s="122" t="s">
        <v>66</v>
      </c>
      <c r="D388" s="123">
        <v>46131</v>
      </c>
      <c r="E388" s="123">
        <v>46131</v>
      </c>
      <c r="F388" s="122"/>
      <c r="G388" s="122">
        <v>888</v>
      </c>
      <c r="H388" s="122" t="s">
        <v>132</v>
      </c>
      <c r="I388" s="122">
        <v>4147</v>
      </c>
      <c r="J388" s="122">
        <v>22452</v>
      </c>
      <c r="K388" s="122"/>
      <c r="L388" s="122" t="s">
        <v>518</v>
      </c>
      <c r="M388" s="122" t="s">
        <v>160</v>
      </c>
      <c r="N388" s="122" t="s">
        <v>161</v>
      </c>
      <c r="O388" s="123">
        <v>46131</v>
      </c>
      <c r="P388" s="158">
        <v>499</v>
      </c>
      <c r="Q388" s="158" t="s">
        <v>67</v>
      </c>
      <c r="R388" s="158">
        <v>14.42</v>
      </c>
      <c r="S388" s="158">
        <v>6.44</v>
      </c>
      <c r="T388" s="158">
        <v>1.1599999999999999</v>
      </c>
      <c r="U388" s="158">
        <v>483.42</v>
      </c>
      <c r="V388" s="163">
        <v>0</v>
      </c>
      <c r="W388" s="122"/>
      <c r="X388" s="162">
        <v>20260420</v>
      </c>
      <c r="Y388" s="122"/>
      <c r="Z388" s="122" t="s">
        <v>139</v>
      </c>
      <c r="AA388" s="122">
        <v>3908900</v>
      </c>
      <c r="AB388" s="122" t="s">
        <v>145</v>
      </c>
      <c r="AC388" s="122"/>
      <c r="AD388" s="122"/>
      <c r="AE388" s="129">
        <v>0.81715277777777784</v>
      </c>
      <c r="AF388" s="122" t="s">
        <v>141</v>
      </c>
      <c r="AG388" s="139" t="s">
        <v>148</v>
      </c>
    </row>
    <row r="389" spans="1:33" x14ac:dyDescent="0.3">
      <c r="A389" s="121">
        <v>1044162</v>
      </c>
      <c r="B389" s="122" t="s">
        <v>162</v>
      </c>
      <c r="C389" s="122" t="s">
        <v>66</v>
      </c>
      <c r="D389" s="123">
        <v>46131</v>
      </c>
      <c r="E389" s="123">
        <v>46131</v>
      </c>
      <c r="F389" s="122"/>
      <c r="G389" s="122">
        <v>888</v>
      </c>
      <c r="H389" s="122">
        <v>65656565</v>
      </c>
      <c r="I389" s="122">
        <v>4153</v>
      </c>
      <c r="J389" s="122">
        <v>530166</v>
      </c>
      <c r="K389" s="122"/>
      <c r="L389" s="122" t="s">
        <v>519</v>
      </c>
      <c r="M389" s="122" t="s">
        <v>160</v>
      </c>
      <c r="N389" s="122" t="s">
        <v>161</v>
      </c>
      <c r="O389" s="123">
        <v>46131</v>
      </c>
      <c r="P389" s="158">
        <v>498</v>
      </c>
      <c r="Q389" s="158" t="s">
        <v>67</v>
      </c>
      <c r="R389" s="158">
        <v>14.39</v>
      </c>
      <c r="S389" s="158">
        <v>6.42</v>
      </c>
      <c r="T389" s="158">
        <v>1.1599999999999999</v>
      </c>
      <c r="U389" s="158">
        <v>482.45</v>
      </c>
      <c r="V389" s="163">
        <v>0</v>
      </c>
      <c r="W389" s="122"/>
      <c r="X389" s="162">
        <v>20260420</v>
      </c>
      <c r="Y389" s="122"/>
      <c r="Z389" s="122" t="s">
        <v>139</v>
      </c>
      <c r="AA389" s="122">
        <v>3908900</v>
      </c>
      <c r="AB389" s="122" t="s">
        <v>155</v>
      </c>
      <c r="AC389" s="122"/>
      <c r="AD389" s="122" t="s">
        <v>146</v>
      </c>
      <c r="AE389" s="129">
        <v>0.86390046296296286</v>
      </c>
      <c r="AF389" s="122" t="s">
        <v>141</v>
      </c>
      <c r="AG389" s="139" t="s">
        <v>148</v>
      </c>
    </row>
    <row r="390" spans="1:33" x14ac:dyDescent="0.3">
      <c r="A390" s="121">
        <v>1044162</v>
      </c>
      <c r="B390" s="122" t="s">
        <v>162</v>
      </c>
      <c r="C390" s="122" t="s">
        <v>66</v>
      </c>
      <c r="D390" s="123">
        <v>46131</v>
      </c>
      <c r="E390" s="123">
        <v>46131</v>
      </c>
      <c r="F390" s="122"/>
      <c r="G390" s="122">
        <v>888</v>
      </c>
      <c r="H390" s="122" t="s">
        <v>132</v>
      </c>
      <c r="I390" s="122">
        <v>4156</v>
      </c>
      <c r="J390" s="122">
        <v>264536</v>
      </c>
      <c r="K390" s="122"/>
      <c r="L390" s="122" t="s">
        <v>520</v>
      </c>
      <c r="M390" s="122" t="s">
        <v>160</v>
      </c>
      <c r="N390" s="122" t="s">
        <v>161</v>
      </c>
      <c r="O390" s="123">
        <v>46131</v>
      </c>
      <c r="P390" s="158">
        <v>1799</v>
      </c>
      <c r="Q390" s="158" t="s">
        <v>67</v>
      </c>
      <c r="R390" s="158">
        <v>51.99</v>
      </c>
      <c r="S390" s="158">
        <v>23.21</v>
      </c>
      <c r="T390" s="158">
        <v>4.18</v>
      </c>
      <c r="U390" s="158">
        <v>1742.83</v>
      </c>
      <c r="V390" s="163">
        <v>0</v>
      </c>
      <c r="W390" s="122"/>
      <c r="X390" s="162">
        <v>20260420</v>
      </c>
      <c r="Y390" s="122"/>
      <c r="Z390" s="122" t="s">
        <v>139</v>
      </c>
      <c r="AA390" s="122">
        <v>3908900</v>
      </c>
      <c r="AB390" s="122" t="s">
        <v>145</v>
      </c>
      <c r="AC390" s="122"/>
      <c r="AD390" s="122"/>
      <c r="AE390" s="129">
        <v>0.86611111111111105</v>
      </c>
      <c r="AF390" s="122" t="s">
        <v>141</v>
      </c>
      <c r="AG390" s="139" t="s">
        <v>148</v>
      </c>
    </row>
    <row r="391" spans="1:33" x14ac:dyDescent="0.3">
      <c r="A391" s="121">
        <v>1044162</v>
      </c>
      <c r="B391" s="122" t="s">
        <v>162</v>
      </c>
      <c r="C391" s="122" t="s">
        <v>66</v>
      </c>
      <c r="D391" s="123">
        <v>46131</v>
      </c>
      <c r="E391" s="123">
        <v>46131</v>
      </c>
      <c r="F391" s="122"/>
      <c r="G391" s="122">
        <v>888</v>
      </c>
      <c r="H391" s="122" t="s">
        <v>132</v>
      </c>
      <c r="I391" s="122">
        <v>4158</v>
      </c>
      <c r="J391" s="122">
        <v>35257</v>
      </c>
      <c r="K391" s="122">
        <v>12</v>
      </c>
      <c r="L391" s="122" t="s">
        <v>521</v>
      </c>
      <c r="M391" s="122" t="s">
        <v>160</v>
      </c>
      <c r="N391" s="122" t="s">
        <v>161</v>
      </c>
      <c r="O391" s="123">
        <v>46131</v>
      </c>
      <c r="P391" s="158">
        <v>1149</v>
      </c>
      <c r="Q391" s="158" t="s">
        <v>67</v>
      </c>
      <c r="R391" s="158">
        <v>33.21</v>
      </c>
      <c r="S391" s="158">
        <v>9.08</v>
      </c>
      <c r="T391" s="158">
        <v>1.63</v>
      </c>
      <c r="U391" s="158">
        <v>1114.1600000000001</v>
      </c>
      <c r="V391" s="163">
        <v>0</v>
      </c>
      <c r="W391" s="122"/>
      <c r="X391" s="162">
        <v>20260420</v>
      </c>
      <c r="Y391" s="122"/>
      <c r="Z391" s="122" t="s">
        <v>142</v>
      </c>
      <c r="AA391" s="122">
        <v>3908900</v>
      </c>
      <c r="AB391" s="122" t="s">
        <v>543</v>
      </c>
      <c r="AC391" s="122" t="s">
        <v>144</v>
      </c>
      <c r="AD391" s="122"/>
      <c r="AE391" s="129">
        <v>0.89001157407407405</v>
      </c>
      <c r="AF391" s="122" t="s">
        <v>141</v>
      </c>
      <c r="AG391" s="139" t="s">
        <v>148</v>
      </c>
    </row>
    <row r="392" spans="1:33" x14ac:dyDescent="0.3">
      <c r="A392" s="121">
        <v>1044162</v>
      </c>
      <c r="B392" s="122" t="s">
        <v>162</v>
      </c>
      <c r="C392" s="122" t="s">
        <v>66</v>
      </c>
      <c r="D392" s="123">
        <v>46131</v>
      </c>
      <c r="E392" s="123">
        <v>46131</v>
      </c>
      <c r="F392" s="122"/>
      <c r="G392" s="122">
        <v>888</v>
      </c>
      <c r="H392" s="122" t="s">
        <v>132</v>
      </c>
      <c r="I392" s="122">
        <v>4162</v>
      </c>
      <c r="J392" s="122">
        <v>147893</v>
      </c>
      <c r="K392" s="122"/>
      <c r="L392" s="122" t="s">
        <v>522</v>
      </c>
      <c r="M392" s="122" t="s">
        <v>160</v>
      </c>
      <c r="N392" s="122" t="s">
        <v>161</v>
      </c>
      <c r="O392" s="123">
        <v>46131</v>
      </c>
      <c r="P392" s="158">
        <v>189</v>
      </c>
      <c r="Q392" s="158" t="s">
        <v>67</v>
      </c>
      <c r="R392" s="158">
        <v>5.46</v>
      </c>
      <c r="S392" s="158">
        <v>2.44</v>
      </c>
      <c r="T392" s="158">
        <v>0.44</v>
      </c>
      <c r="U392" s="158">
        <v>183.1</v>
      </c>
      <c r="V392" s="161">
        <v>17860.36</v>
      </c>
      <c r="W392" s="123">
        <v>46132</v>
      </c>
      <c r="X392" s="162">
        <v>20260420</v>
      </c>
      <c r="Y392" s="122">
        <v>104101</v>
      </c>
      <c r="Z392" s="122" t="s">
        <v>139</v>
      </c>
      <c r="AA392" s="122">
        <v>3908900</v>
      </c>
      <c r="AB392" s="122" t="s">
        <v>152</v>
      </c>
      <c r="AC392" s="122"/>
      <c r="AD392" s="122"/>
      <c r="AE392" s="129">
        <v>0.89987268518518526</v>
      </c>
      <c r="AF392" s="122" t="s">
        <v>141</v>
      </c>
      <c r="AG392" s="139" t="s">
        <v>148</v>
      </c>
    </row>
    <row r="393" spans="1:33" x14ac:dyDescent="0.3">
      <c r="A393" s="121">
        <v>1044162</v>
      </c>
      <c r="B393" s="122" t="s">
        <v>167</v>
      </c>
      <c r="C393" s="122" t="s">
        <v>66</v>
      </c>
      <c r="D393" s="123">
        <v>46131</v>
      </c>
      <c r="E393" s="123">
        <v>46131</v>
      </c>
      <c r="F393" s="122"/>
      <c r="G393" s="122">
        <v>888</v>
      </c>
      <c r="H393" s="122" t="s">
        <v>132</v>
      </c>
      <c r="I393" s="122">
        <v>4160</v>
      </c>
      <c r="J393" s="122">
        <v>9992</v>
      </c>
      <c r="K393" s="122"/>
      <c r="L393" s="122" t="s">
        <v>523</v>
      </c>
      <c r="M393" s="122" t="s">
        <v>160</v>
      </c>
      <c r="N393" s="122" t="s">
        <v>161</v>
      </c>
      <c r="O393" s="123">
        <v>46131</v>
      </c>
      <c r="P393" s="158">
        <v>629</v>
      </c>
      <c r="Q393" s="158" t="s">
        <v>67</v>
      </c>
      <c r="R393" s="158">
        <v>18.18</v>
      </c>
      <c r="S393" s="158">
        <v>4.97</v>
      </c>
      <c r="T393" s="158">
        <v>0.89</v>
      </c>
      <c r="U393" s="158">
        <v>609.92999999999995</v>
      </c>
      <c r="V393" s="161">
        <v>609.92999999999995</v>
      </c>
      <c r="W393" s="123">
        <v>46132</v>
      </c>
      <c r="X393" s="162">
        <v>20260420</v>
      </c>
      <c r="Y393" s="122">
        <v>104101</v>
      </c>
      <c r="Z393" s="122" t="s">
        <v>142</v>
      </c>
      <c r="AA393" s="122">
        <v>3908900</v>
      </c>
      <c r="AB393" s="122" t="s">
        <v>538</v>
      </c>
      <c r="AC393" s="122"/>
      <c r="AD393" s="122"/>
      <c r="AE393" s="129">
        <v>0.89318287037037036</v>
      </c>
      <c r="AF393" s="122" t="s">
        <v>141</v>
      </c>
      <c r="AG393" s="139" t="s">
        <v>148</v>
      </c>
    </row>
    <row r="394" spans="1:33" x14ac:dyDescent="0.3">
      <c r="A394" s="121">
        <v>1044162</v>
      </c>
      <c r="B394" s="122" t="s">
        <v>162</v>
      </c>
      <c r="C394" s="122" t="s">
        <v>66</v>
      </c>
      <c r="D394" s="123">
        <v>46132</v>
      </c>
      <c r="E394" s="123">
        <v>46132</v>
      </c>
      <c r="F394" s="122"/>
      <c r="G394" s="122">
        <v>889</v>
      </c>
      <c r="H394" s="122">
        <v>65656565</v>
      </c>
      <c r="I394" s="122">
        <v>4168</v>
      </c>
      <c r="J394" s="122">
        <v>266987</v>
      </c>
      <c r="K394" s="122"/>
      <c r="L394" s="122" t="s">
        <v>524</v>
      </c>
      <c r="M394" s="122" t="s">
        <v>160</v>
      </c>
      <c r="N394" s="122" t="s">
        <v>161</v>
      </c>
      <c r="O394" s="123">
        <v>46132</v>
      </c>
      <c r="P394" s="158">
        <v>79</v>
      </c>
      <c r="Q394" s="158" t="s">
        <v>67</v>
      </c>
      <c r="R394" s="158">
        <v>2.2799999999999998</v>
      </c>
      <c r="S394" s="158">
        <v>1.02</v>
      </c>
      <c r="T394" s="158">
        <v>0.18</v>
      </c>
      <c r="U394" s="158">
        <v>76.540000000000006</v>
      </c>
      <c r="V394" s="163">
        <v>0</v>
      </c>
      <c r="W394" s="122"/>
      <c r="X394" s="122">
        <v>20260421</v>
      </c>
      <c r="Y394" s="122"/>
      <c r="Z394" s="122" t="s">
        <v>139</v>
      </c>
      <c r="AA394" s="122">
        <v>3908900</v>
      </c>
      <c r="AB394" s="122" t="s">
        <v>147</v>
      </c>
      <c r="AC394" s="122"/>
      <c r="AD394" s="122" t="s">
        <v>154</v>
      </c>
      <c r="AE394" s="129">
        <v>0.46449074074074076</v>
      </c>
      <c r="AF394" s="122" t="s">
        <v>141</v>
      </c>
      <c r="AG394" s="139" t="s">
        <v>148</v>
      </c>
    </row>
    <row r="395" spans="1:33" x14ac:dyDescent="0.3">
      <c r="A395" s="121">
        <v>1044162</v>
      </c>
      <c r="B395" s="122" t="s">
        <v>162</v>
      </c>
      <c r="C395" s="122" t="s">
        <v>66</v>
      </c>
      <c r="D395" s="123">
        <v>46132</v>
      </c>
      <c r="E395" s="123">
        <v>46132</v>
      </c>
      <c r="F395" s="122"/>
      <c r="G395" s="122">
        <v>889</v>
      </c>
      <c r="H395" s="122" t="s">
        <v>132</v>
      </c>
      <c r="I395" s="122">
        <v>4171</v>
      </c>
      <c r="J395" s="122">
        <v>924571</v>
      </c>
      <c r="K395" s="122"/>
      <c r="L395" s="122" t="s">
        <v>525</v>
      </c>
      <c r="M395" s="122" t="s">
        <v>160</v>
      </c>
      <c r="N395" s="122" t="s">
        <v>161</v>
      </c>
      <c r="O395" s="123">
        <v>46132</v>
      </c>
      <c r="P395" s="158">
        <v>114.9</v>
      </c>
      <c r="Q395" s="158" t="s">
        <v>67</v>
      </c>
      <c r="R395" s="158">
        <v>3.32</v>
      </c>
      <c r="S395" s="158">
        <v>1.48</v>
      </c>
      <c r="T395" s="158">
        <v>0.27</v>
      </c>
      <c r="U395" s="158">
        <v>111.31</v>
      </c>
      <c r="V395" s="163">
        <v>0</v>
      </c>
      <c r="W395" s="122"/>
      <c r="X395" s="122">
        <v>20260421</v>
      </c>
      <c r="Y395" s="122"/>
      <c r="Z395" s="122" t="s">
        <v>139</v>
      </c>
      <c r="AA395" s="122">
        <v>3908900</v>
      </c>
      <c r="AB395" s="122" t="s">
        <v>145</v>
      </c>
      <c r="AC395" s="122"/>
      <c r="AD395" s="122"/>
      <c r="AE395" s="129">
        <v>0.48907407407407405</v>
      </c>
      <c r="AF395" s="122" t="s">
        <v>141</v>
      </c>
      <c r="AG395" s="139" t="s">
        <v>148</v>
      </c>
    </row>
    <row r="396" spans="1:33" x14ac:dyDescent="0.3">
      <c r="A396" s="121">
        <v>1044162</v>
      </c>
      <c r="B396" s="122" t="s">
        <v>162</v>
      </c>
      <c r="C396" s="122" t="s">
        <v>66</v>
      </c>
      <c r="D396" s="123">
        <v>46132</v>
      </c>
      <c r="E396" s="123">
        <v>46132</v>
      </c>
      <c r="F396" s="122"/>
      <c r="G396" s="122">
        <v>889</v>
      </c>
      <c r="H396" s="122" t="s">
        <v>132</v>
      </c>
      <c r="I396" s="122">
        <v>4173</v>
      </c>
      <c r="J396" s="122">
        <v>221446</v>
      </c>
      <c r="K396" s="122">
        <v>2</v>
      </c>
      <c r="L396" s="122" t="s">
        <v>526</v>
      </c>
      <c r="M396" s="122" t="s">
        <v>160</v>
      </c>
      <c r="N396" s="122" t="s">
        <v>161</v>
      </c>
      <c r="O396" s="123">
        <v>46132</v>
      </c>
      <c r="P396" s="158">
        <v>629</v>
      </c>
      <c r="Q396" s="158" t="s">
        <v>67</v>
      </c>
      <c r="R396" s="158">
        <v>18.18</v>
      </c>
      <c r="S396" s="158">
        <v>4.97</v>
      </c>
      <c r="T396" s="158">
        <v>0.89</v>
      </c>
      <c r="U396" s="158">
        <v>609.92999999999995</v>
      </c>
      <c r="V396" s="163">
        <v>0</v>
      </c>
      <c r="W396" s="122"/>
      <c r="X396" s="122">
        <v>20260421</v>
      </c>
      <c r="Y396" s="122"/>
      <c r="Z396" s="122" t="s">
        <v>142</v>
      </c>
      <c r="AA396" s="122">
        <v>3908900</v>
      </c>
      <c r="AB396" s="122" t="s">
        <v>149</v>
      </c>
      <c r="AC396" s="122" t="s">
        <v>144</v>
      </c>
      <c r="AD396" s="122"/>
      <c r="AE396" s="129">
        <v>0.50777777777777777</v>
      </c>
      <c r="AF396" s="122" t="s">
        <v>141</v>
      </c>
      <c r="AG396" s="139" t="s">
        <v>148</v>
      </c>
    </row>
    <row r="397" spans="1:33" x14ac:dyDescent="0.3">
      <c r="A397" s="121">
        <v>1044162</v>
      </c>
      <c r="B397" s="122" t="s">
        <v>162</v>
      </c>
      <c r="C397" s="122" t="s">
        <v>66</v>
      </c>
      <c r="D397" s="123">
        <v>46132</v>
      </c>
      <c r="E397" s="123">
        <v>46132</v>
      </c>
      <c r="F397" s="122"/>
      <c r="G397" s="122">
        <v>889</v>
      </c>
      <c r="H397" s="122" t="s">
        <v>132</v>
      </c>
      <c r="I397" s="122">
        <v>4175</v>
      </c>
      <c r="J397" s="122">
        <v>224755</v>
      </c>
      <c r="K397" s="122"/>
      <c r="L397" s="122" t="s">
        <v>526</v>
      </c>
      <c r="M397" s="122" t="s">
        <v>160</v>
      </c>
      <c r="N397" s="122" t="s">
        <v>161</v>
      </c>
      <c r="O397" s="123">
        <v>46132</v>
      </c>
      <c r="P397" s="158">
        <v>158</v>
      </c>
      <c r="Q397" s="158" t="s">
        <v>67</v>
      </c>
      <c r="R397" s="158">
        <v>4.57</v>
      </c>
      <c r="S397" s="158">
        <v>1.25</v>
      </c>
      <c r="T397" s="158">
        <v>0.23</v>
      </c>
      <c r="U397" s="158">
        <v>153.19999999999999</v>
      </c>
      <c r="V397" s="163">
        <v>0</v>
      </c>
      <c r="W397" s="122"/>
      <c r="X397" s="122">
        <v>20260421</v>
      </c>
      <c r="Y397" s="122"/>
      <c r="Z397" s="122" t="s">
        <v>142</v>
      </c>
      <c r="AA397" s="122">
        <v>3908900</v>
      </c>
      <c r="AB397" s="122" t="s">
        <v>149</v>
      </c>
      <c r="AC397" s="122"/>
      <c r="AD397" s="122"/>
      <c r="AE397" s="129">
        <v>0.51465277777777774</v>
      </c>
      <c r="AF397" s="122" t="s">
        <v>141</v>
      </c>
      <c r="AG397" s="139" t="s">
        <v>148</v>
      </c>
    </row>
    <row r="398" spans="1:33" x14ac:dyDescent="0.3">
      <c r="A398" s="121">
        <v>1044162</v>
      </c>
      <c r="B398" s="122" t="s">
        <v>162</v>
      </c>
      <c r="C398" s="122" t="s">
        <v>66</v>
      </c>
      <c r="D398" s="123">
        <v>46132</v>
      </c>
      <c r="E398" s="123">
        <v>46132</v>
      </c>
      <c r="F398" s="122"/>
      <c r="G398" s="122">
        <v>889</v>
      </c>
      <c r="H398" s="122" t="s">
        <v>132</v>
      </c>
      <c r="I398" s="122">
        <v>4177</v>
      </c>
      <c r="J398" s="122">
        <v>353887</v>
      </c>
      <c r="K398" s="122"/>
      <c r="L398" s="122" t="s">
        <v>527</v>
      </c>
      <c r="M398" s="122" t="s">
        <v>160</v>
      </c>
      <c r="N398" s="122" t="s">
        <v>161</v>
      </c>
      <c r="O398" s="123">
        <v>46132</v>
      </c>
      <c r="P398" s="158">
        <v>79.8</v>
      </c>
      <c r="Q398" s="158" t="s">
        <v>67</v>
      </c>
      <c r="R398" s="158">
        <v>2.31</v>
      </c>
      <c r="S398" s="158">
        <v>1.03</v>
      </c>
      <c r="T398" s="158">
        <v>0.19</v>
      </c>
      <c r="U398" s="158">
        <v>77.3</v>
      </c>
      <c r="V398" s="163">
        <v>0</v>
      </c>
      <c r="W398" s="122"/>
      <c r="X398" s="122">
        <v>20260421</v>
      </c>
      <c r="Y398" s="122"/>
      <c r="Z398" s="122" t="s">
        <v>139</v>
      </c>
      <c r="AA398" s="122">
        <v>3908900</v>
      </c>
      <c r="AB398" s="122" t="s">
        <v>155</v>
      </c>
      <c r="AC398" s="122"/>
      <c r="AD398" s="122"/>
      <c r="AE398" s="129">
        <v>0.55387731481481484</v>
      </c>
      <c r="AF398" s="122" t="s">
        <v>141</v>
      </c>
      <c r="AG398" s="139" t="s">
        <v>148</v>
      </c>
    </row>
    <row r="399" spans="1:33" x14ac:dyDescent="0.3">
      <c r="A399" s="121">
        <v>1044162</v>
      </c>
      <c r="B399" s="122" t="s">
        <v>162</v>
      </c>
      <c r="C399" s="122" t="s">
        <v>66</v>
      </c>
      <c r="D399" s="123">
        <v>46132</v>
      </c>
      <c r="E399" s="123">
        <v>46132</v>
      </c>
      <c r="F399" s="122"/>
      <c r="G399" s="122">
        <v>889</v>
      </c>
      <c r="H399" s="122" t="s">
        <v>132</v>
      </c>
      <c r="I399" s="122">
        <v>4188</v>
      </c>
      <c r="J399" s="122">
        <v>234155</v>
      </c>
      <c r="K399" s="122"/>
      <c r="L399" s="122" t="s">
        <v>528</v>
      </c>
      <c r="M399" s="122" t="s">
        <v>160</v>
      </c>
      <c r="N399" s="122" t="s">
        <v>161</v>
      </c>
      <c r="O399" s="123">
        <v>46132</v>
      </c>
      <c r="P399" s="158">
        <v>568</v>
      </c>
      <c r="Q399" s="158" t="s">
        <v>67</v>
      </c>
      <c r="R399" s="158">
        <v>16.420000000000002</v>
      </c>
      <c r="S399" s="158">
        <v>7.33</v>
      </c>
      <c r="T399" s="158">
        <v>1.32</v>
      </c>
      <c r="U399" s="158">
        <v>550.26</v>
      </c>
      <c r="V399" s="163">
        <v>0</v>
      </c>
      <c r="W399" s="122"/>
      <c r="X399" s="122">
        <v>20260421</v>
      </c>
      <c r="Y399" s="122"/>
      <c r="Z399" s="122" t="s">
        <v>139</v>
      </c>
      <c r="AA399" s="122">
        <v>3908900</v>
      </c>
      <c r="AB399" s="122" t="s">
        <v>145</v>
      </c>
      <c r="AC399" s="122"/>
      <c r="AD399" s="122"/>
      <c r="AE399" s="129">
        <v>0.6548842592592593</v>
      </c>
      <c r="AF399" s="122" t="s">
        <v>141</v>
      </c>
      <c r="AG399" s="139" t="s">
        <v>148</v>
      </c>
    </row>
    <row r="400" spans="1:33" x14ac:dyDescent="0.3">
      <c r="A400" s="121">
        <v>1044162</v>
      </c>
      <c r="B400" s="122" t="s">
        <v>162</v>
      </c>
      <c r="C400" s="122" t="s">
        <v>66</v>
      </c>
      <c r="D400" s="123">
        <v>46132</v>
      </c>
      <c r="E400" s="123">
        <v>46132</v>
      </c>
      <c r="F400" s="122"/>
      <c r="G400" s="122">
        <v>889</v>
      </c>
      <c r="H400" s="122" t="s">
        <v>132</v>
      </c>
      <c r="I400" s="122">
        <v>4190</v>
      </c>
      <c r="J400" s="122">
        <v>672668</v>
      </c>
      <c r="K400" s="122"/>
      <c r="L400" s="122" t="s">
        <v>529</v>
      </c>
      <c r="M400" s="122" t="s">
        <v>160</v>
      </c>
      <c r="N400" s="122" t="s">
        <v>161</v>
      </c>
      <c r="O400" s="123">
        <v>46132</v>
      </c>
      <c r="P400" s="158">
        <v>568</v>
      </c>
      <c r="Q400" s="158" t="s">
        <v>67</v>
      </c>
      <c r="R400" s="158">
        <v>16.420000000000002</v>
      </c>
      <c r="S400" s="158">
        <v>7.33</v>
      </c>
      <c r="T400" s="158">
        <v>1.32</v>
      </c>
      <c r="U400" s="158">
        <v>550.26</v>
      </c>
      <c r="V400" s="163">
        <v>0</v>
      </c>
      <c r="W400" s="122"/>
      <c r="X400" s="122">
        <v>20260421</v>
      </c>
      <c r="Y400" s="122"/>
      <c r="Z400" s="122" t="s">
        <v>139</v>
      </c>
      <c r="AA400" s="122">
        <v>3908900</v>
      </c>
      <c r="AB400" s="122" t="s">
        <v>145</v>
      </c>
      <c r="AC400" s="122"/>
      <c r="AD400" s="122"/>
      <c r="AE400" s="129">
        <v>0.68943287037037038</v>
      </c>
      <c r="AF400" s="122" t="s">
        <v>141</v>
      </c>
      <c r="AG400" s="139" t="s">
        <v>148</v>
      </c>
    </row>
    <row r="401" spans="1:33" x14ac:dyDescent="0.3">
      <c r="A401" s="121">
        <v>1044162</v>
      </c>
      <c r="B401" s="122" t="s">
        <v>162</v>
      </c>
      <c r="C401" s="122" t="s">
        <v>66</v>
      </c>
      <c r="D401" s="123">
        <v>46132</v>
      </c>
      <c r="E401" s="123">
        <v>46132</v>
      </c>
      <c r="F401" s="122"/>
      <c r="G401" s="122">
        <v>889</v>
      </c>
      <c r="H401" s="122" t="s">
        <v>132</v>
      </c>
      <c r="I401" s="122">
        <v>4192</v>
      </c>
      <c r="J401" s="122">
        <v>661243</v>
      </c>
      <c r="K401" s="122">
        <v>3</v>
      </c>
      <c r="L401" s="122" t="s">
        <v>530</v>
      </c>
      <c r="M401" s="122" t="s">
        <v>160</v>
      </c>
      <c r="N401" s="122" t="s">
        <v>161</v>
      </c>
      <c r="O401" s="123">
        <v>46132</v>
      </c>
      <c r="P401" s="158">
        <v>1099</v>
      </c>
      <c r="Q401" s="158" t="s">
        <v>67</v>
      </c>
      <c r="R401" s="158">
        <v>50.99</v>
      </c>
      <c r="S401" s="158">
        <v>8.68</v>
      </c>
      <c r="T401" s="158">
        <v>1.56</v>
      </c>
      <c r="U401" s="158">
        <v>1046.45</v>
      </c>
      <c r="V401" s="163">
        <v>0</v>
      </c>
      <c r="W401" s="122"/>
      <c r="X401" s="122">
        <v>20260421</v>
      </c>
      <c r="Y401" s="122"/>
      <c r="Z401" s="122" t="s">
        <v>142</v>
      </c>
      <c r="AA401" s="122">
        <v>3908900</v>
      </c>
      <c r="AB401" s="122" t="s">
        <v>148</v>
      </c>
      <c r="AC401" s="122" t="s">
        <v>151</v>
      </c>
      <c r="AD401" s="122"/>
      <c r="AE401" s="129">
        <v>0.69192129629629628</v>
      </c>
      <c r="AF401" s="122" t="s">
        <v>141</v>
      </c>
      <c r="AG401" s="139" t="s">
        <v>148</v>
      </c>
    </row>
    <row r="402" spans="1:33" x14ac:dyDescent="0.3">
      <c r="A402" s="121">
        <v>1044162</v>
      </c>
      <c r="B402" s="122" t="s">
        <v>162</v>
      </c>
      <c r="C402" s="122" t="s">
        <v>66</v>
      </c>
      <c r="D402" s="123">
        <v>46132</v>
      </c>
      <c r="E402" s="123">
        <v>46132</v>
      </c>
      <c r="F402" s="122"/>
      <c r="G402" s="122">
        <v>889</v>
      </c>
      <c r="H402" s="122" t="s">
        <v>132</v>
      </c>
      <c r="I402" s="122">
        <v>4194</v>
      </c>
      <c r="J402" s="122">
        <v>490080</v>
      </c>
      <c r="K402" s="122"/>
      <c r="L402" s="122" t="s">
        <v>531</v>
      </c>
      <c r="M402" s="122" t="s">
        <v>160</v>
      </c>
      <c r="N402" s="122" t="s">
        <v>161</v>
      </c>
      <c r="O402" s="123">
        <v>46132</v>
      </c>
      <c r="P402" s="158">
        <v>149</v>
      </c>
      <c r="Q402" s="158" t="s">
        <v>67</v>
      </c>
      <c r="R402" s="158">
        <v>4.3099999999999996</v>
      </c>
      <c r="S402" s="158">
        <v>1.93</v>
      </c>
      <c r="T402" s="158">
        <v>0.35</v>
      </c>
      <c r="U402" s="158">
        <v>144.34</v>
      </c>
      <c r="V402" s="163">
        <v>0</v>
      </c>
      <c r="W402" s="122"/>
      <c r="X402" s="122">
        <v>20260421</v>
      </c>
      <c r="Y402" s="122"/>
      <c r="Z402" s="122" t="s">
        <v>139</v>
      </c>
      <c r="AA402" s="122">
        <v>3908900</v>
      </c>
      <c r="AB402" s="122" t="s">
        <v>145</v>
      </c>
      <c r="AC402" s="122"/>
      <c r="AD402" s="122"/>
      <c r="AE402" s="129">
        <v>0.72638888888888886</v>
      </c>
      <c r="AF402" s="122" t="s">
        <v>141</v>
      </c>
      <c r="AG402" s="139" t="s">
        <v>148</v>
      </c>
    </row>
    <row r="403" spans="1:33" x14ac:dyDescent="0.3">
      <c r="A403" s="121">
        <v>1044162</v>
      </c>
      <c r="B403" s="122" t="s">
        <v>162</v>
      </c>
      <c r="C403" s="122" t="s">
        <v>66</v>
      </c>
      <c r="D403" s="123">
        <v>46132</v>
      </c>
      <c r="E403" s="123">
        <v>46132</v>
      </c>
      <c r="F403" s="122"/>
      <c r="G403" s="122">
        <v>889</v>
      </c>
      <c r="H403" s="122" t="s">
        <v>132</v>
      </c>
      <c r="I403" s="122">
        <v>4196</v>
      </c>
      <c r="J403" s="122">
        <v>765695</v>
      </c>
      <c r="K403" s="122"/>
      <c r="L403" s="122" t="s">
        <v>532</v>
      </c>
      <c r="M403" s="122" t="s">
        <v>160</v>
      </c>
      <c r="N403" s="122" t="s">
        <v>161</v>
      </c>
      <c r="O403" s="123">
        <v>46132</v>
      </c>
      <c r="P403" s="158">
        <v>179</v>
      </c>
      <c r="Q403" s="158" t="s">
        <v>67</v>
      </c>
      <c r="R403" s="158">
        <v>5.17</v>
      </c>
      <c r="S403" s="158">
        <v>2.31</v>
      </c>
      <c r="T403" s="158">
        <v>0.42</v>
      </c>
      <c r="U403" s="158">
        <v>173.41</v>
      </c>
      <c r="V403" s="163">
        <v>0</v>
      </c>
      <c r="W403" s="122"/>
      <c r="X403" s="122">
        <v>20260421</v>
      </c>
      <c r="Y403" s="122"/>
      <c r="Z403" s="122" t="s">
        <v>139</v>
      </c>
      <c r="AA403" s="122">
        <v>3908900</v>
      </c>
      <c r="AB403" s="122" t="s">
        <v>145</v>
      </c>
      <c r="AC403" s="122"/>
      <c r="AD403" s="122"/>
      <c r="AE403" s="129">
        <v>0.72828703703703701</v>
      </c>
      <c r="AF403" s="122" t="s">
        <v>141</v>
      </c>
      <c r="AG403" s="139" t="s">
        <v>148</v>
      </c>
    </row>
    <row r="404" spans="1:33" x14ac:dyDescent="0.3">
      <c r="A404" s="121">
        <v>1044162</v>
      </c>
      <c r="B404" s="122" t="s">
        <v>162</v>
      </c>
      <c r="C404" s="122" t="s">
        <v>66</v>
      </c>
      <c r="D404" s="123">
        <v>46132</v>
      </c>
      <c r="E404" s="123">
        <v>46132</v>
      </c>
      <c r="F404" s="122"/>
      <c r="G404" s="122">
        <v>889</v>
      </c>
      <c r="H404" s="122" t="s">
        <v>132</v>
      </c>
      <c r="I404" s="122">
        <v>4198</v>
      </c>
      <c r="J404" s="122">
        <v>4231</v>
      </c>
      <c r="K404" s="122">
        <v>3</v>
      </c>
      <c r="L404" s="122" t="s">
        <v>533</v>
      </c>
      <c r="M404" s="122" t="s">
        <v>160</v>
      </c>
      <c r="N404" s="122" t="s">
        <v>161</v>
      </c>
      <c r="O404" s="123">
        <v>46132</v>
      </c>
      <c r="P404" s="158">
        <v>629</v>
      </c>
      <c r="Q404" s="158" t="s">
        <v>67</v>
      </c>
      <c r="R404" s="158">
        <v>18.18</v>
      </c>
      <c r="S404" s="158">
        <v>4.97</v>
      </c>
      <c r="T404" s="158">
        <v>0.89</v>
      </c>
      <c r="U404" s="158">
        <v>609.92999999999995</v>
      </c>
      <c r="V404" s="163">
        <v>0</v>
      </c>
      <c r="W404" s="122"/>
      <c r="X404" s="122">
        <v>20260421</v>
      </c>
      <c r="Y404" s="122"/>
      <c r="Z404" s="122" t="s">
        <v>142</v>
      </c>
      <c r="AA404" s="122">
        <v>3908900</v>
      </c>
      <c r="AB404" s="122" t="s">
        <v>145</v>
      </c>
      <c r="AC404" s="122" t="s">
        <v>144</v>
      </c>
      <c r="AD404" s="122"/>
      <c r="AE404" s="129">
        <v>0.75769675925925928</v>
      </c>
      <c r="AF404" s="122" t="s">
        <v>141</v>
      </c>
      <c r="AG404" s="139" t="s">
        <v>148</v>
      </c>
    </row>
    <row r="405" spans="1:33" x14ac:dyDescent="0.3">
      <c r="A405" s="121">
        <v>1044162</v>
      </c>
      <c r="B405" s="122" t="s">
        <v>162</v>
      </c>
      <c r="C405" s="122" t="s">
        <v>66</v>
      </c>
      <c r="D405" s="123">
        <v>46132</v>
      </c>
      <c r="E405" s="123">
        <v>46132</v>
      </c>
      <c r="F405" s="122"/>
      <c r="G405" s="122">
        <v>889</v>
      </c>
      <c r="H405" s="122" t="s">
        <v>132</v>
      </c>
      <c r="I405" s="122">
        <v>4204</v>
      </c>
      <c r="J405" s="122">
        <v>173964</v>
      </c>
      <c r="K405" s="122">
        <v>4</v>
      </c>
      <c r="L405" s="122" t="s">
        <v>534</v>
      </c>
      <c r="M405" s="122" t="s">
        <v>160</v>
      </c>
      <c r="N405" s="122" t="s">
        <v>161</v>
      </c>
      <c r="O405" s="123">
        <v>46132</v>
      </c>
      <c r="P405" s="158">
        <v>1749</v>
      </c>
      <c r="Q405" s="158" t="s">
        <v>67</v>
      </c>
      <c r="R405" s="158">
        <v>50.55</v>
      </c>
      <c r="S405" s="158">
        <v>10.32</v>
      </c>
      <c r="T405" s="158">
        <v>1.86</v>
      </c>
      <c r="U405" s="158">
        <v>1696.59</v>
      </c>
      <c r="V405" s="163">
        <v>0</v>
      </c>
      <c r="W405" s="122"/>
      <c r="X405" s="122">
        <v>20260421</v>
      </c>
      <c r="Y405" s="122"/>
      <c r="Z405" s="122" t="s">
        <v>142</v>
      </c>
      <c r="AA405" s="122">
        <v>3908900</v>
      </c>
      <c r="AB405" s="122" t="s">
        <v>147</v>
      </c>
      <c r="AC405" s="122" t="s">
        <v>144</v>
      </c>
      <c r="AD405" s="122"/>
      <c r="AE405" s="129">
        <v>0.76216435185185183</v>
      </c>
      <c r="AF405" s="122" t="s">
        <v>141</v>
      </c>
      <c r="AG405" s="139" t="s">
        <v>148</v>
      </c>
    </row>
    <row r="406" spans="1:33" x14ac:dyDescent="0.3">
      <c r="A406" s="121">
        <v>1044162</v>
      </c>
      <c r="B406" s="122" t="s">
        <v>162</v>
      </c>
      <c r="C406" s="122" t="s">
        <v>66</v>
      </c>
      <c r="D406" s="123">
        <v>46132</v>
      </c>
      <c r="E406" s="123">
        <v>46132</v>
      </c>
      <c r="F406" s="122"/>
      <c r="G406" s="122">
        <v>889</v>
      </c>
      <c r="H406" s="122" t="s">
        <v>132</v>
      </c>
      <c r="I406" s="122">
        <v>4206</v>
      </c>
      <c r="J406" s="122">
        <v>903228</v>
      </c>
      <c r="K406" s="122"/>
      <c r="L406" s="122" t="s">
        <v>535</v>
      </c>
      <c r="M406" s="122" t="s">
        <v>160</v>
      </c>
      <c r="N406" s="122" t="s">
        <v>161</v>
      </c>
      <c r="O406" s="123">
        <v>46132</v>
      </c>
      <c r="P406" s="158">
        <v>459</v>
      </c>
      <c r="Q406" s="158" t="s">
        <v>67</v>
      </c>
      <c r="R406" s="158">
        <v>13.27</v>
      </c>
      <c r="S406" s="158">
        <v>5.93</v>
      </c>
      <c r="T406" s="158">
        <v>1.07</v>
      </c>
      <c r="U406" s="158">
        <v>444.66</v>
      </c>
      <c r="V406" s="163">
        <v>0</v>
      </c>
      <c r="W406" s="122"/>
      <c r="X406" s="122">
        <v>20260421</v>
      </c>
      <c r="Y406" s="122"/>
      <c r="Z406" s="122" t="s">
        <v>139</v>
      </c>
      <c r="AA406" s="122">
        <v>3908900</v>
      </c>
      <c r="AB406" s="122" t="s">
        <v>145</v>
      </c>
      <c r="AC406" s="122"/>
      <c r="AD406" s="122"/>
      <c r="AE406" s="129">
        <v>0.77782407407407417</v>
      </c>
      <c r="AF406" s="122" t="s">
        <v>141</v>
      </c>
      <c r="AG406" s="139" t="s">
        <v>148</v>
      </c>
    </row>
    <row r="407" spans="1:33" x14ac:dyDescent="0.3">
      <c r="A407" s="121">
        <v>1044162</v>
      </c>
      <c r="B407" s="122" t="s">
        <v>162</v>
      </c>
      <c r="C407" s="122" t="s">
        <v>66</v>
      </c>
      <c r="D407" s="123">
        <v>46132</v>
      </c>
      <c r="E407" s="123">
        <v>46132</v>
      </c>
      <c r="F407" s="122"/>
      <c r="G407" s="122">
        <v>889</v>
      </c>
      <c r="H407" s="122" t="s">
        <v>132</v>
      </c>
      <c r="I407" s="122">
        <v>4209</v>
      </c>
      <c r="J407" s="122">
        <v>751903</v>
      </c>
      <c r="K407" s="122"/>
      <c r="L407" s="122" t="s">
        <v>536</v>
      </c>
      <c r="M407" s="122" t="s">
        <v>160</v>
      </c>
      <c r="N407" s="122" t="s">
        <v>161</v>
      </c>
      <c r="O407" s="123">
        <v>46132</v>
      </c>
      <c r="P407" s="158">
        <v>1000</v>
      </c>
      <c r="Q407" s="158" t="s">
        <v>67</v>
      </c>
      <c r="R407" s="158">
        <v>28.9</v>
      </c>
      <c r="S407" s="158">
        <v>12.9</v>
      </c>
      <c r="T407" s="158">
        <v>2.3199999999999998</v>
      </c>
      <c r="U407" s="158">
        <v>968.78</v>
      </c>
      <c r="V407" s="163">
        <v>0</v>
      </c>
      <c r="W407" s="122"/>
      <c r="X407" s="122">
        <v>20260421</v>
      </c>
      <c r="Y407" s="122"/>
      <c r="Z407" s="122" t="s">
        <v>139</v>
      </c>
      <c r="AA407" s="122">
        <v>3908900</v>
      </c>
      <c r="AB407" s="122" t="s">
        <v>145</v>
      </c>
      <c r="AC407" s="122"/>
      <c r="AD407" s="122"/>
      <c r="AE407" s="129">
        <v>0.84612268518518519</v>
      </c>
      <c r="AF407" s="122" t="s">
        <v>141</v>
      </c>
      <c r="AG407" s="139" t="s">
        <v>148</v>
      </c>
    </row>
    <row r="408" spans="1:33" x14ac:dyDescent="0.3">
      <c r="A408" s="121">
        <v>1044162</v>
      </c>
      <c r="B408" s="122" t="s">
        <v>162</v>
      </c>
      <c r="C408" s="122" t="s">
        <v>66</v>
      </c>
      <c r="D408" s="123">
        <v>46132</v>
      </c>
      <c r="E408" s="123">
        <v>46132</v>
      </c>
      <c r="F408" s="122"/>
      <c r="G408" s="122">
        <v>889</v>
      </c>
      <c r="H408" s="122">
        <v>65656565</v>
      </c>
      <c r="I408" s="122">
        <v>4213</v>
      </c>
      <c r="J408" s="122">
        <v>118400</v>
      </c>
      <c r="K408" s="122"/>
      <c r="L408" s="122" t="s">
        <v>537</v>
      </c>
      <c r="M408" s="122" t="s">
        <v>160</v>
      </c>
      <c r="N408" s="122" t="s">
        <v>161</v>
      </c>
      <c r="O408" s="123">
        <v>46132</v>
      </c>
      <c r="P408" s="158">
        <v>500</v>
      </c>
      <c r="Q408" s="158" t="s">
        <v>67</v>
      </c>
      <c r="R408" s="158">
        <v>14.45</v>
      </c>
      <c r="S408" s="158">
        <v>6.45</v>
      </c>
      <c r="T408" s="158">
        <v>1.1599999999999999</v>
      </c>
      <c r="U408" s="158">
        <v>484.39</v>
      </c>
      <c r="V408" s="163">
        <v>0</v>
      </c>
      <c r="W408" s="122"/>
      <c r="X408" s="122">
        <v>20260421</v>
      </c>
      <c r="Y408" s="122"/>
      <c r="Z408" s="122" t="s">
        <v>139</v>
      </c>
      <c r="AA408" s="122">
        <v>3908900</v>
      </c>
      <c r="AB408" s="122" t="s">
        <v>145</v>
      </c>
      <c r="AC408" s="122"/>
      <c r="AD408" s="122" t="s">
        <v>146</v>
      </c>
      <c r="AE408" s="129">
        <v>0.85290509259259262</v>
      </c>
      <c r="AF408" s="122" t="s">
        <v>141</v>
      </c>
      <c r="AG408" s="139" t="s">
        <v>148</v>
      </c>
    </row>
    <row r="409" spans="1:33" x14ac:dyDescent="0.3">
      <c r="A409" s="121">
        <v>1044162</v>
      </c>
      <c r="B409" s="122" t="s">
        <v>162</v>
      </c>
      <c r="C409" s="122" t="s">
        <v>66</v>
      </c>
      <c r="D409" s="123">
        <v>46132</v>
      </c>
      <c r="E409" s="123">
        <v>46132</v>
      </c>
      <c r="F409" s="122"/>
      <c r="G409" s="122">
        <v>889</v>
      </c>
      <c r="H409" s="122">
        <v>65656565</v>
      </c>
      <c r="I409" s="122">
        <v>4216</v>
      </c>
      <c r="J409" s="122">
        <v>849284</v>
      </c>
      <c r="K409" s="122"/>
      <c r="L409" s="122" t="s">
        <v>537</v>
      </c>
      <c r="M409" s="122" t="s">
        <v>160</v>
      </c>
      <c r="N409" s="122" t="s">
        <v>161</v>
      </c>
      <c r="O409" s="123">
        <v>46132</v>
      </c>
      <c r="P409" s="158">
        <v>249</v>
      </c>
      <c r="Q409" s="158" t="s">
        <v>67</v>
      </c>
      <c r="R409" s="158">
        <v>7.19</v>
      </c>
      <c r="S409" s="158">
        <v>3.21</v>
      </c>
      <c r="T409" s="158">
        <v>0.57999999999999996</v>
      </c>
      <c r="U409" s="158">
        <v>241.23</v>
      </c>
      <c r="V409" s="164">
        <v>7938.58</v>
      </c>
      <c r="W409" s="123">
        <v>46133</v>
      </c>
      <c r="X409" s="122">
        <v>20260421</v>
      </c>
      <c r="Y409" s="122"/>
      <c r="Z409" s="122" t="s">
        <v>139</v>
      </c>
      <c r="AA409" s="122">
        <v>3908900</v>
      </c>
      <c r="AB409" s="122" t="s">
        <v>145</v>
      </c>
      <c r="AC409" s="122"/>
      <c r="AD409" s="122" t="s">
        <v>146</v>
      </c>
      <c r="AE409" s="129">
        <v>0.85353009259259249</v>
      </c>
      <c r="AF409" s="122" t="s">
        <v>141</v>
      </c>
      <c r="AG409" s="139" t="s">
        <v>148</v>
      </c>
    </row>
    <row r="410" spans="1:33" x14ac:dyDescent="0.3">
      <c r="A410" s="121"/>
      <c r="B410" s="122"/>
      <c r="C410" s="122"/>
      <c r="D410" s="122"/>
      <c r="E410" s="123"/>
      <c r="F410" s="140"/>
      <c r="G410" s="122"/>
      <c r="H410" s="141"/>
      <c r="I410" s="122"/>
      <c r="J410" s="122"/>
      <c r="K410" s="122"/>
      <c r="L410" s="122"/>
      <c r="M410" s="122"/>
      <c r="N410" s="122"/>
      <c r="O410" s="122"/>
      <c r="P410" s="122"/>
      <c r="Q410" s="129"/>
      <c r="R410" s="122"/>
      <c r="S410" s="139"/>
    </row>
    <row r="411" spans="1:33" x14ac:dyDescent="0.3">
      <c r="A411" s="121"/>
      <c r="B411" s="122"/>
      <c r="C411" s="122"/>
      <c r="D411" s="122"/>
      <c r="E411" s="123"/>
      <c r="F411" s="140"/>
      <c r="G411" s="122"/>
      <c r="H411" s="141"/>
      <c r="I411" s="123"/>
      <c r="J411" s="122"/>
      <c r="K411" s="122"/>
      <c r="L411" s="122"/>
      <c r="M411" s="122"/>
      <c r="N411" s="122"/>
      <c r="O411" s="122"/>
      <c r="P411" s="122"/>
      <c r="Q411" s="129"/>
      <c r="R411" s="122"/>
      <c r="S411" s="139"/>
    </row>
    <row r="412" spans="1:33" x14ac:dyDescent="0.3">
      <c r="A412" s="121"/>
      <c r="B412" s="122"/>
      <c r="C412" s="122"/>
      <c r="D412" s="122"/>
      <c r="E412" s="123"/>
      <c r="F412" s="140"/>
      <c r="G412" s="122"/>
      <c r="H412" s="141"/>
      <c r="I412" s="123"/>
      <c r="J412" s="122"/>
      <c r="K412" s="122"/>
      <c r="L412" s="122"/>
      <c r="M412" s="122"/>
      <c r="N412" s="122"/>
      <c r="O412" s="122"/>
      <c r="P412" s="122"/>
      <c r="Q412" s="129"/>
      <c r="R412" s="122"/>
      <c r="S412" s="139"/>
    </row>
    <row r="413" spans="1:33" x14ac:dyDescent="0.3">
      <c r="A413" s="121"/>
      <c r="B413" s="122"/>
      <c r="C413" s="122"/>
      <c r="D413" s="122"/>
      <c r="E413" s="123"/>
      <c r="F413" s="140"/>
      <c r="G413" s="122"/>
      <c r="H413" s="141"/>
      <c r="I413" s="122"/>
      <c r="J413" s="122"/>
      <c r="K413" s="122"/>
      <c r="L413" s="122"/>
      <c r="M413" s="122"/>
      <c r="N413" s="122"/>
      <c r="O413" s="122"/>
      <c r="P413" s="122"/>
      <c r="Q413" s="129"/>
      <c r="R413" s="122"/>
      <c r="S413" s="139"/>
    </row>
    <row r="414" spans="1:33" x14ac:dyDescent="0.3">
      <c r="A414" s="121"/>
      <c r="B414" s="122"/>
      <c r="C414" s="122"/>
      <c r="D414" s="122"/>
      <c r="E414" s="123"/>
      <c r="F414" s="140"/>
      <c r="G414" s="122"/>
      <c r="H414" s="141"/>
      <c r="I414" s="122"/>
      <c r="J414" s="122"/>
      <c r="K414" s="122"/>
      <c r="L414" s="122"/>
      <c r="M414" s="122"/>
      <c r="N414" s="122"/>
      <c r="O414" s="122"/>
      <c r="P414" s="122"/>
      <c r="Q414" s="129"/>
      <c r="R414" s="122"/>
      <c r="S414" s="139"/>
    </row>
    <row r="415" spans="1:33" x14ac:dyDescent="0.3">
      <c r="A415" s="121"/>
      <c r="B415" s="122"/>
      <c r="C415" s="122"/>
      <c r="D415" s="122"/>
      <c r="E415" s="123"/>
      <c r="F415" s="140"/>
      <c r="G415" s="122"/>
      <c r="H415" s="141"/>
      <c r="I415" s="122"/>
      <c r="J415" s="122"/>
      <c r="K415" s="122"/>
      <c r="L415" s="122"/>
      <c r="M415" s="122"/>
      <c r="N415" s="122"/>
      <c r="O415" s="122"/>
      <c r="P415" s="122"/>
      <c r="Q415" s="129"/>
      <c r="R415" s="122"/>
      <c r="S415" s="139"/>
    </row>
    <row r="416" spans="1:33" x14ac:dyDescent="0.3">
      <c r="A416" s="121"/>
      <c r="B416" s="122"/>
      <c r="C416" s="122"/>
      <c r="D416" s="122"/>
      <c r="E416" s="123"/>
      <c r="F416" s="140"/>
      <c r="G416" s="122"/>
      <c r="H416" s="141"/>
      <c r="I416" s="122"/>
      <c r="J416" s="122"/>
      <c r="K416" s="122"/>
      <c r="L416" s="122"/>
      <c r="M416" s="122"/>
      <c r="N416" s="122"/>
      <c r="O416" s="122"/>
      <c r="P416" s="122"/>
      <c r="Q416" s="129"/>
      <c r="R416" s="122"/>
      <c r="S416" s="139"/>
    </row>
    <row r="417" spans="1:19" x14ac:dyDescent="0.3">
      <c r="A417" s="121"/>
      <c r="B417" s="122"/>
      <c r="C417" s="122"/>
      <c r="D417" s="122"/>
      <c r="E417" s="123"/>
      <c r="F417" s="140"/>
      <c r="G417" s="122"/>
      <c r="H417" s="141"/>
      <c r="I417" s="122"/>
      <c r="J417" s="122"/>
      <c r="K417" s="122"/>
      <c r="L417" s="122"/>
      <c r="M417" s="122"/>
      <c r="N417" s="122"/>
      <c r="O417" s="122"/>
      <c r="P417" s="122"/>
      <c r="Q417" s="129"/>
      <c r="R417" s="122"/>
      <c r="S417" s="139"/>
    </row>
    <row r="418" spans="1:19" x14ac:dyDescent="0.3">
      <c r="A418" s="121"/>
      <c r="B418" s="122"/>
      <c r="C418" s="122"/>
      <c r="D418" s="122"/>
      <c r="E418" s="123"/>
      <c r="F418" s="140"/>
      <c r="G418" s="122"/>
      <c r="H418" s="141"/>
      <c r="I418" s="122"/>
      <c r="J418" s="122"/>
      <c r="K418" s="122"/>
      <c r="L418" s="122"/>
      <c r="M418" s="122"/>
      <c r="N418" s="122"/>
      <c r="O418" s="122"/>
      <c r="P418" s="122"/>
      <c r="Q418" s="129"/>
      <c r="R418" s="122"/>
      <c r="S418" s="139"/>
    </row>
    <row r="419" spans="1:19" x14ac:dyDescent="0.3">
      <c r="A419" s="121"/>
      <c r="B419" s="122"/>
      <c r="C419" s="122"/>
      <c r="D419" s="122"/>
      <c r="E419" s="123"/>
      <c r="F419" s="140"/>
      <c r="G419" s="122"/>
      <c r="H419" s="141"/>
      <c r="I419" s="122"/>
      <c r="J419" s="122"/>
      <c r="K419" s="122"/>
      <c r="L419" s="122"/>
      <c r="M419" s="122"/>
      <c r="N419" s="122"/>
      <c r="O419" s="122"/>
      <c r="P419" s="122"/>
      <c r="Q419" s="129"/>
      <c r="R419" s="122"/>
      <c r="S419" s="139"/>
    </row>
    <row r="420" spans="1:19" x14ac:dyDescent="0.3">
      <c r="A420" s="121"/>
      <c r="B420" s="122"/>
      <c r="C420" s="122"/>
      <c r="D420" s="122"/>
      <c r="E420" s="123"/>
      <c r="F420" s="140"/>
      <c r="G420" s="122"/>
      <c r="H420" s="141"/>
      <c r="I420" s="122"/>
      <c r="J420" s="122"/>
      <c r="K420" s="122"/>
      <c r="L420" s="122"/>
      <c r="M420" s="122"/>
      <c r="N420" s="122"/>
      <c r="O420" s="122"/>
      <c r="P420" s="122"/>
      <c r="Q420" s="129"/>
      <c r="R420" s="122"/>
      <c r="S420" s="139"/>
    </row>
    <row r="421" spans="1:19" x14ac:dyDescent="0.3">
      <c r="A421" s="121"/>
      <c r="B421" s="122"/>
      <c r="C421" s="122"/>
      <c r="D421" s="122"/>
      <c r="E421" s="123"/>
      <c r="F421" s="140"/>
      <c r="G421" s="122"/>
      <c r="H421" s="141"/>
      <c r="I421" s="122"/>
      <c r="J421" s="122"/>
      <c r="K421" s="122"/>
      <c r="L421" s="122"/>
      <c r="M421" s="122"/>
      <c r="N421" s="122"/>
      <c r="O421" s="122"/>
      <c r="P421" s="122"/>
      <c r="Q421" s="129"/>
      <c r="R421" s="122"/>
      <c r="S421" s="139"/>
    </row>
    <row r="422" spans="1:19" x14ac:dyDescent="0.3">
      <c r="A422" s="121"/>
      <c r="B422" s="122"/>
      <c r="C422" s="122"/>
      <c r="D422" s="122"/>
      <c r="E422" s="123"/>
      <c r="F422" s="140"/>
      <c r="G422" s="122"/>
      <c r="H422" s="141"/>
      <c r="I422" s="122"/>
      <c r="J422" s="122"/>
      <c r="K422" s="122"/>
      <c r="L422" s="122"/>
      <c r="M422" s="122"/>
      <c r="N422" s="122"/>
      <c r="O422" s="122"/>
      <c r="P422" s="122"/>
      <c r="Q422" s="129"/>
      <c r="R422" s="122"/>
      <c r="S422" s="139"/>
    </row>
    <row r="423" spans="1:19" x14ac:dyDescent="0.3">
      <c r="A423" s="121"/>
      <c r="B423" s="122"/>
      <c r="C423" s="122"/>
      <c r="D423" s="122"/>
      <c r="E423" s="123"/>
      <c r="F423" s="140"/>
      <c r="G423" s="122"/>
      <c r="H423" s="141"/>
      <c r="I423" s="122"/>
      <c r="J423" s="122"/>
      <c r="K423" s="122"/>
      <c r="L423" s="122"/>
      <c r="M423" s="122"/>
      <c r="N423" s="122"/>
      <c r="O423" s="122"/>
      <c r="P423" s="122"/>
      <c r="Q423" s="129"/>
      <c r="R423" s="122"/>
      <c r="S423" s="139"/>
    </row>
    <row r="424" spans="1:19" x14ac:dyDescent="0.3">
      <c r="A424" s="121"/>
      <c r="B424" s="122"/>
      <c r="C424" s="122"/>
      <c r="D424" s="122"/>
      <c r="E424" s="123"/>
      <c r="F424" s="140"/>
      <c r="G424" s="122"/>
      <c r="H424" s="141"/>
      <c r="I424" s="122"/>
      <c r="J424" s="122"/>
      <c r="K424" s="122"/>
      <c r="L424" s="122"/>
      <c r="M424" s="122"/>
      <c r="N424" s="122"/>
      <c r="O424" s="122"/>
      <c r="P424" s="122"/>
      <c r="Q424" s="129"/>
      <c r="R424" s="122"/>
      <c r="S424" s="139"/>
    </row>
    <row r="425" spans="1:19" x14ac:dyDescent="0.3">
      <c r="A425" s="121"/>
      <c r="B425" s="122"/>
      <c r="C425" s="122"/>
      <c r="D425" s="122"/>
      <c r="E425" s="123"/>
      <c r="F425" s="140"/>
      <c r="G425" s="122"/>
      <c r="H425" s="141"/>
      <c r="I425" s="122"/>
      <c r="J425" s="122"/>
      <c r="K425" s="122"/>
      <c r="L425" s="122"/>
      <c r="M425" s="122"/>
      <c r="N425" s="122"/>
      <c r="O425" s="122"/>
      <c r="P425" s="122"/>
      <c r="Q425" s="129"/>
      <c r="R425" s="122"/>
      <c r="S425" s="139"/>
    </row>
    <row r="426" spans="1:19" x14ac:dyDescent="0.3">
      <c r="A426" s="121"/>
      <c r="B426" s="122"/>
      <c r="C426" s="122"/>
      <c r="D426" s="122"/>
      <c r="E426" s="123"/>
      <c r="F426" s="140"/>
      <c r="G426" s="122"/>
      <c r="H426" s="141"/>
      <c r="I426" s="122"/>
      <c r="J426" s="122"/>
      <c r="K426" s="122"/>
      <c r="L426" s="122"/>
      <c r="M426" s="122"/>
      <c r="N426" s="122"/>
      <c r="O426" s="122"/>
      <c r="P426" s="122"/>
      <c r="Q426" s="129"/>
      <c r="R426" s="122"/>
      <c r="S426" s="139"/>
    </row>
    <row r="427" spans="1:19" x14ac:dyDescent="0.3">
      <c r="A427" s="121"/>
      <c r="B427" s="122"/>
      <c r="C427" s="122"/>
      <c r="D427" s="122"/>
      <c r="E427" s="123"/>
      <c r="F427" s="140"/>
      <c r="G427" s="122"/>
      <c r="H427" s="141"/>
      <c r="I427" s="122"/>
      <c r="J427" s="122"/>
      <c r="K427" s="122"/>
      <c r="L427" s="122"/>
      <c r="M427" s="122"/>
      <c r="N427" s="122"/>
      <c r="O427" s="122"/>
      <c r="P427" s="122"/>
      <c r="Q427" s="129"/>
      <c r="R427" s="122"/>
      <c r="S427" s="139"/>
    </row>
    <row r="428" spans="1:19" x14ac:dyDescent="0.3">
      <c r="A428" s="121"/>
      <c r="B428" s="122"/>
      <c r="C428" s="122"/>
      <c r="D428" s="122"/>
      <c r="E428" s="123"/>
      <c r="F428" s="140"/>
      <c r="G428" s="122"/>
      <c r="H428" s="141"/>
      <c r="I428" s="122"/>
      <c r="J428" s="122"/>
      <c r="K428" s="122"/>
      <c r="L428" s="122"/>
      <c r="M428" s="122"/>
      <c r="N428" s="122"/>
      <c r="O428" s="122"/>
      <c r="P428" s="122"/>
      <c r="Q428" s="129"/>
      <c r="R428" s="122"/>
      <c r="S428" s="139"/>
    </row>
    <row r="429" spans="1:19" x14ac:dyDescent="0.3">
      <c r="A429" s="121"/>
      <c r="B429" s="122"/>
      <c r="C429" s="122"/>
      <c r="D429" s="122"/>
      <c r="E429" s="123"/>
      <c r="F429" s="140"/>
      <c r="G429" s="122"/>
      <c r="H429" s="141"/>
      <c r="I429" s="122"/>
      <c r="J429" s="122"/>
      <c r="K429" s="122"/>
      <c r="L429" s="122"/>
      <c r="M429" s="122"/>
      <c r="N429" s="122"/>
      <c r="O429" s="122"/>
      <c r="P429" s="122"/>
      <c r="Q429" s="129"/>
      <c r="R429" s="122"/>
      <c r="S429" s="139"/>
    </row>
    <row r="430" spans="1:19" x14ac:dyDescent="0.3">
      <c r="A430" s="121"/>
      <c r="B430" s="122"/>
      <c r="C430" s="122"/>
      <c r="D430" s="122"/>
      <c r="E430" s="123"/>
      <c r="F430" s="140"/>
      <c r="G430" s="122"/>
      <c r="H430" s="141"/>
      <c r="I430" s="122"/>
      <c r="J430" s="122"/>
      <c r="K430" s="122"/>
      <c r="L430" s="122"/>
      <c r="M430" s="122"/>
      <c r="N430" s="122"/>
      <c r="O430" s="122"/>
      <c r="P430" s="122"/>
      <c r="Q430" s="129"/>
      <c r="R430" s="122"/>
      <c r="S430" s="139"/>
    </row>
    <row r="431" spans="1:19" x14ac:dyDescent="0.3">
      <c r="A431" s="121"/>
      <c r="B431" s="122"/>
      <c r="C431" s="122"/>
      <c r="D431" s="122"/>
      <c r="E431" s="123"/>
      <c r="F431" s="140"/>
      <c r="G431" s="122"/>
      <c r="H431" s="141"/>
      <c r="I431" s="122"/>
      <c r="J431" s="122"/>
      <c r="K431" s="122"/>
      <c r="L431" s="122"/>
      <c r="M431" s="122"/>
      <c r="N431" s="122"/>
      <c r="O431" s="122"/>
      <c r="P431" s="122"/>
      <c r="Q431" s="129"/>
      <c r="R431" s="122"/>
      <c r="S431" s="139"/>
    </row>
    <row r="432" spans="1:19" x14ac:dyDescent="0.3">
      <c r="A432" s="121"/>
      <c r="B432" s="122"/>
      <c r="C432" s="122"/>
      <c r="D432" s="122"/>
      <c r="E432" s="123"/>
      <c r="F432" s="140"/>
      <c r="G432" s="122"/>
      <c r="H432" s="141"/>
      <c r="I432" s="122"/>
      <c r="J432" s="122"/>
      <c r="K432" s="122"/>
      <c r="L432" s="122"/>
      <c r="M432" s="122"/>
      <c r="N432" s="122"/>
      <c r="O432" s="122"/>
      <c r="P432" s="122"/>
      <c r="Q432" s="129"/>
      <c r="R432" s="122"/>
      <c r="S432" s="139"/>
    </row>
    <row r="433" spans="1:19" x14ac:dyDescent="0.3">
      <c r="A433" s="121"/>
      <c r="B433" s="122"/>
      <c r="C433" s="122"/>
      <c r="D433" s="122"/>
      <c r="E433" s="123"/>
      <c r="F433" s="140"/>
      <c r="G433" s="122"/>
      <c r="H433" s="141"/>
      <c r="I433" s="122"/>
      <c r="J433" s="122"/>
      <c r="K433" s="122"/>
      <c r="L433" s="122"/>
      <c r="M433" s="122"/>
      <c r="N433" s="122"/>
      <c r="O433" s="122"/>
      <c r="P433" s="122"/>
      <c r="Q433" s="129"/>
      <c r="R433" s="122"/>
      <c r="S433" s="139"/>
    </row>
    <row r="434" spans="1:19" x14ac:dyDescent="0.3">
      <c r="A434" s="121"/>
      <c r="B434" s="122"/>
      <c r="C434" s="122"/>
      <c r="D434" s="122"/>
      <c r="E434" s="123"/>
      <c r="F434" s="140"/>
      <c r="G434" s="122"/>
      <c r="H434" s="141"/>
      <c r="I434" s="122"/>
      <c r="J434" s="122"/>
      <c r="K434" s="122"/>
      <c r="L434" s="122"/>
      <c r="M434" s="122"/>
      <c r="N434" s="122"/>
      <c r="O434" s="122"/>
      <c r="P434" s="122"/>
      <c r="Q434" s="129"/>
      <c r="R434" s="122"/>
      <c r="S434" s="139"/>
    </row>
    <row r="435" spans="1:19" x14ac:dyDescent="0.3">
      <c r="A435" s="121"/>
      <c r="B435" s="122"/>
      <c r="C435" s="122"/>
      <c r="D435" s="122"/>
      <c r="E435" s="123"/>
      <c r="F435" s="140"/>
      <c r="G435" s="122"/>
      <c r="H435" s="141"/>
      <c r="I435" s="122"/>
      <c r="J435" s="122"/>
      <c r="K435" s="122"/>
      <c r="L435" s="122"/>
      <c r="M435" s="122"/>
      <c r="N435" s="122"/>
      <c r="O435" s="122"/>
      <c r="P435" s="122"/>
      <c r="Q435" s="129"/>
      <c r="R435" s="122"/>
      <c r="S435" s="139"/>
    </row>
    <row r="436" spans="1:19" x14ac:dyDescent="0.3">
      <c r="A436" s="121"/>
      <c r="B436" s="122"/>
      <c r="C436" s="122"/>
      <c r="D436" s="122"/>
      <c r="E436" s="123"/>
      <c r="F436" s="140"/>
      <c r="G436" s="122"/>
      <c r="H436" s="141"/>
      <c r="I436" s="122"/>
      <c r="J436" s="122"/>
      <c r="K436" s="122"/>
      <c r="L436" s="122"/>
      <c r="M436" s="122"/>
      <c r="N436" s="122"/>
      <c r="O436" s="122"/>
      <c r="P436" s="122"/>
      <c r="Q436" s="129"/>
      <c r="R436" s="122"/>
      <c r="S436" s="139"/>
    </row>
    <row r="437" spans="1:19" x14ac:dyDescent="0.3">
      <c r="A437" s="121"/>
      <c r="B437" s="122"/>
      <c r="C437" s="122"/>
      <c r="D437" s="122"/>
      <c r="E437" s="123"/>
      <c r="F437" s="140"/>
      <c r="G437" s="122"/>
      <c r="H437" s="141"/>
      <c r="I437" s="122"/>
      <c r="J437" s="122"/>
      <c r="K437" s="122"/>
      <c r="L437" s="122"/>
      <c r="M437" s="122"/>
      <c r="N437" s="122"/>
      <c r="O437" s="122"/>
      <c r="P437" s="122"/>
      <c r="Q437" s="129"/>
      <c r="R437" s="122"/>
      <c r="S437" s="139"/>
    </row>
    <row r="438" spans="1:19" x14ac:dyDescent="0.3">
      <c r="A438" s="121"/>
      <c r="B438" s="122"/>
      <c r="C438" s="122"/>
      <c r="D438" s="122"/>
      <c r="E438" s="123"/>
      <c r="F438" s="140"/>
      <c r="G438" s="122"/>
      <c r="H438" s="141"/>
      <c r="I438" s="122"/>
      <c r="J438" s="122"/>
      <c r="K438" s="122"/>
      <c r="L438" s="122"/>
      <c r="M438" s="122"/>
      <c r="N438" s="122"/>
      <c r="O438" s="122"/>
      <c r="P438" s="122"/>
      <c r="Q438" s="129"/>
      <c r="R438" s="122"/>
      <c r="S438" s="139"/>
    </row>
    <row r="439" spans="1:19" x14ac:dyDescent="0.3">
      <c r="A439" s="121"/>
      <c r="B439" s="122"/>
      <c r="C439" s="122"/>
      <c r="D439" s="122"/>
      <c r="E439" s="123"/>
      <c r="F439" s="140"/>
      <c r="G439" s="122"/>
      <c r="H439" s="141"/>
      <c r="I439" s="122"/>
      <c r="J439" s="122"/>
      <c r="K439" s="122"/>
      <c r="L439" s="122"/>
      <c r="M439" s="122"/>
      <c r="N439" s="122"/>
      <c r="O439" s="122"/>
      <c r="P439" s="122"/>
      <c r="Q439" s="129"/>
      <c r="R439" s="122"/>
      <c r="S439" s="139"/>
    </row>
    <row r="440" spans="1:19" x14ac:dyDescent="0.3">
      <c r="A440" s="121"/>
      <c r="B440" s="122"/>
      <c r="C440" s="122"/>
      <c r="D440" s="122"/>
      <c r="E440" s="123"/>
      <c r="F440" s="140"/>
      <c r="G440" s="122"/>
      <c r="H440" s="141"/>
      <c r="I440" s="122"/>
      <c r="J440" s="122"/>
      <c r="K440" s="122"/>
      <c r="L440" s="122"/>
      <c r="M440" s="122"/>
      <c r="N440" s="122"/>
      <c r="O440" s="122"/>
      <c r="P440" s="122"/>
      <c r="Q440" s="129"/>
      <c r="R440" s="122"/>
      <c r="S440" s="139"/>
    </row>
    <row r="441" spans="1:19" x14ac:dyDescent="0.3">
      <c r="A441" s="121"/>
      <c r="B441" s="122"/>
      <c r="C441" s="122"/>
      <c r="D441" s="122"/>
      <c r="E441" s="123"/>
      <c r="F441" s="140"/>
      <c r="G441" s="122"/>
      <c r="H441" s="141"/>
      <c r="I441" s="122"/>
      <c r="J441" s="122"/>
      <c r="K441" s="122"/>
      <c r="L441" s="122"/>
      <c r="M441" s="122"/>
      <c r="N441" s="122"/>
      <c r="O441" s="122"/>
      <c r="P441" s="122"/>
      <c r="Q441" s="129"/>
      <c r="R441" s="122"/>
      <c r="S441" s="139"/>
    </row>
    <row r="442" spans="1:19" x14ac:dyDescent="0.3">
      <c r="A442" s="121"/>
      <c r="B442" s="122"/>
      <c r="C442" s="122"/>
      <c r="D442" s="122"/>
      <c r="E442" s="123"/>
      <c r="F442" s="140"/>
      <c r="G442" s="122"/>
      <c r="H442" s="141"/>
      <c r="I442" s="122"/>
      <c r="J442" s="122"/>
      <c r="K442" s="122"/>
      <c r="L442" s="122"/>
      <c r="M442" s="122"/>
      <c r="N442" s="122"/>
      <c r="O442" s="122"/>
      <c r="P442" s="122"/>
      <c r="Q442" s="129"/>
      <c r="R442" s="122"/>
      <c r="S442" s="139"/>
    </row>
    <row r="443" spans="1:19" x14ac:dyDescent="0.3">
      <c r="A443" s="121"/>
      <c r="B443" s="122"/>
      <c r="C443" s="122"/>
      <c r="D443" s="122"/>
      <c r="E443" s="123"/>
      <c r="F443" s="140"/>
      <c r="G443" s="122"/>
      <c r="H443" s="141"/>
      <c r="I443" s="122"/>
      <c r="J443" s="122"/>
      <c r="K443" s="122"/>
      <c r="L443" s="122"/>
      <c r="M443" s="122"/>
      <c r="N443" s="122"/>
      <c r="O443" s="122"/>
      <c r="P443" s="122"/>
      <c r="Q443" s="129"/>
      <c r="R443" s="122"/>
      <c r="S443" s="139"/>
    </row>
    <row r="444" spans="1:19" x14ac:dyDescent="0.3">
      <c r="A444" s="121"/>
      <c r="B444" s="122"/>
      <c r="C444" s="122"/>
      <c r="D444" s="122"/>
      <c r="E444" s="123"/>
      <c r="F444" s="140"/>
      <c r="G444" s="122"/>
      <c r="H444" s="141"/>
      <c r="I444" s="122"/>
      <c r="J444" s="122"/>
      <c r="K444" s="122"/>
      <c r="L444" s="122"/>
      <c r="M444" s="122"/>
      <c r="N444" s="122"/>
      <c r="O444" s="122"/>
      <c r="P444" s="122"/>
      <c r="Q444" s="129"/>
      <c r="R444" s="122"/>
      <c r="S444" s="139"/>
    </row>
    <row r="445" spans="1:19" x14ac:dyDescent="0.3">
      <c r="A445" s="121"/>
      <c r="B445" s="122"/>
      <c r="C445" s="122"/>
      <c r="D445" s="122"/>
      <c r="E445" s="123"/>
      <c r="F445" s="140"/>
      <c r="G445" s="122"/>
      <c r="H445" s="141"/>
      <c r="I445" s="123"/>
      <c r="J445" s="122"/>
      <c r="K445" s="122"/>
      <c r="L445" s="122"/>
      <c r="M445" s="122"/>
      <c r="N445" s="122"/>
      <c r="O445" s="122"/>
      <c r="P445" s="122"/>
      <c r="Q445" s="129"/>
      <c r="R445" s="122"/>
      <c r="S445" s="139"/>
    </row>
    <row r="446" spans="1:19" x14ac:dyDescent="0.3">
      <c r="A446" s="121"/>
      <c r="B446" s="122"/>
      <c r="C446" s="122"/>
      <c r="D446" s="122"/>
      <c r="E446" s="123"/>
      <c r="F446" s="140"/>
      <c r="G446" s="122"/>
      <c r="H446" s="141"/>
      <c r="I446" s="123"/>
      <c r="J446" s="122"/>
      <c r="K446" s="122"/>
      <c r="L446" s="122"/>
      <c r="M446" s="122"/>
      <c r="N446" s="122"/>
      <c r="O446" s="122"/>
      <c r="P446" s="122"/>
      <c r="Q446" s="129"/>
      <c r="R446" s="122"/>
      <c r="S446" s="139"/>
    </row>
    <row r="447" spans="1:19" x14ac:dyDescent="0.3">
      <c r="A447" s="121"/>
      <c r="B447" s="122"/>
      <c r="C447" s="122"/>
      <c r="D447" s="122"/>
      <c r="E447" s="123"/>
      <c r="F447" s="140"/>
      <c r="G447" s="122"/>
      <c r="H447" s="141"/>
      <c r="I447" s="123"/>
      <c r="J447" s="122"/>
      <c r="K447" s="122"/>
      <c r="L447" s="122"/>
      <c r="M447" s="122"/>
      <c r="N447" s="122"/>
      <c r="O447" s="122"/>
      <c r="P447" s="122"/>
      <c r="Q447" s="129"/>
      <c r="R447" s="122"/>
      <c r="S447" s="139"/>
    </row>
    <row r="448" spans="1:19" x14ac:dyDescent="0.3">
      <c r="A448" s="121"/>
      <c r="B448" s="122"/>
      <c r="C448" s="122"/>
      <c r="D448" s="122"/>
      <c r="E448" s="123"/>
      <c r="F448" s="140"/>
      <c r="G448" s="122"/>
      <c r="H448" s="141"/>
      <c r="I448" s="122"/>
      <c r="J448" s="122"/>
      <c r="K448" s="122"/>
      <c r="L448" s="122"/>
      <c r="M448" s="122"/>
      <c r="N448" s="122"/>
      <c r="O448" s="122"/>
      <c r="P448" s="122"/>
      <c r="Q448" s="129"/>
      <c r="R448" s="122"/>
      <c r="S448" s="139"/>
    </row>
    <row r="449" spans="1:19" x14ac:dyDescent="0.3">
      <c r="A449" s="121"/>
      <c r="B449" s="122"/>
      <c r="C449" s="122"/>
      <c r="D449" s="122"/>
      <c r="E449" s="123"/>
      <c r="F449" s="140"/>
      <c r="G449" s="122"/>
      <c r="H449" s="141"/>
      <c r="I449" s="122"/>
      <c r="J449" s="122"/>
      <c r="K449" s="122"/>
      <c r="L449" s="122"/>
      <c r="M449" s="122"/>
      <c r="N449" s="122"/>
      <c r="O449" s="122"/>
      <c r="P449" s="122"/>
      <c r="Q449" s="129"/>
      <c r="R449" s="122"/>
      <c r="S449" s="139"/>
    </row>
    <row r="450" spans="1:19" x14ac:dyDescent="0.3">
      <c r="A450" s="121"/>
      <c r="B450" s="122"/>
      <c r="C450" s="122"/>
      <c r="D450" s="122"/>
      <c r="E450" s="123"/>
      <c r="F450" s="140"/>
      <c r="G450" s="122"/>
      <c r="H450" s="141"/>
      <c r="I450" s="122"/>
      <c r="J450" s="122"/>
      <c r="K450" s="122"/>
      <c r="L450" s="122"/>
      <c r="M450" s="122"/>
      <c r="N450" s="122"/>
      <c r="O450" s="122"/>
      <c r="P450" s="122"/>
      <c r="Q450" s="129"/>
      <c r="R450" s="122"/>
      <c r="S450" s="139"/>
    </row>
    <row r="451" spans="1:19" x14ac:dyDescent="0.3">
      <c r="A451" s="121"/>
      <c r="B451" s="122"/>
      <c r="C451" s="122"/>
      <c r="D451" s="122"/>
      <c r="E451" s="123"/>
      <c r="F451" s="140"/>
      <c r="G451" s="122"/>
      <c r="H451" s="141"/>
      <c r="I451" s="122"/>
      <c r="J451" s="122"/>
      <c r="K451" s="122"/>
      <c r="L451" s="122"/>
      <c r="M451" s="122"/>
      <c r="N451" s="122"/>
      <c r="O451" s="122"/>
      <c r="P451" s="122"/>
      <c r="Q451" s="129"/>
      <c r="R451" s="122"/>
      <c r="S451" s="139"/>
    </row>
    <row r="452" spans="1:19" x14ac:dyDescent="0.3">
      <c r="A452" s="121"/>
      <c r="B452" s="122"/>
      <c r="C452" s="122"/>
      <c r="D452" s="122"/>
      <c r="E452" s="123"/>
      <c r="F452" s="140"/>
      <c r="G452" s="122"/>
      <c r="H452" s="141"/>
      <c r="I452" s="122"/>
      <c r="J452" s="122"/>
      <c r="K452" s="122"/>
      <c r="L452" s="122"/>
      <c r="M452" s="122"/>
      <c r="N452" s="122"/>
      <c r="O452" s="122"/>
      <c r="P452" s="122"/>
      <c r="Q452" s="129"/>
      <c r="R452" s="122"/>
      <c r="S452" s="139"/>
    </row>
    <row r="453" spans="1:19" x14ac:dyDescent="0.3">
      <c r="A453" s="121"/>
      <c r="B453" s="122"/>
      <c r="C453" s="122"/>
      <c r="D453" s="122"/>
      <c r="E453" s="123"/>
      <c r="F453" s="140"/>
      <c r="G453" s="122"/>
      <c r="H453" s="141"/>
      <c r="I453" s="122"/>
      <c r="J453" s="122"/>
      <c r="K453" s="122"/>
      <c r="L453" s="122"/>
      <c r="M453" s="122"/>
      <c r="N453" s="122"/>
      <c r="O453" s="122"/>
      <c r="P453" s="122"/>
      <c r="Q453" s="129"/>
      <c r="R453" s="122"/>
      <c r="S453" s="139"/>
    </row>
    <row r="454" spans="1:19" x14ac:dyDescent="0.3">
      <c r="A454" s="121"/>
      <c r="B454" s="122"/>
      <c r="C454" s="122"/>
      <c r="D454" s="122"/>
      <c r="E454" s="123"/>
      <c r="F454" s="140"/>
      <c r="G454" s="122"/>
      <c r="H454" s="141"/>
      <c r="I454" s="122"/>
      <c r="J454" s="122"/>
      <c r="K454" s="122"/>
      <c r="L454" s="122"/>
      <c r="M454" s="122"/>
      <c r="N454" s="122"/>
      <c r="O454" s="122"/>
      <c r="P454" s="122"/>
      <c r="Q454" s="129"/>
      <c r="R454" s="122"/>
      <c r="S454" s="139"/>
    </row>
    <row r="455" spans="1:19" x14ac:dyDescent="0.3">
      <c r="A455" s="121"/>
      <c r="B455" s="122"/>
      <c r="C455" s="122"/>
      <c r="D455" s="122"/>
      <c r="E455" s="123"/>
      <c r="F455" s="140"/>
      <c r="G455" s="122"/>
      <c r="H455" s="141"/>
      <c r="I455" s="122"/>
      <c r="J455" s="122"/>
      <c r="K455" s="122"/>
      <c r="L455" s="122"/>
      <c r="M455" s="122"/>
      <c r="N455" s="122"/>
      <c r="O455" s="122"/>
      <c r="P455" s="122"/>
      <c r="Q455" s="129"/>
      <c r="R455" s="122"/>
      <c r="S455" s="139"/>
    </row>
    <row r="456" spans="1:19" x14ac:dyDescent="0.3">
      <c r="A456" s="121"/>
      <c r="B456" s="122"/>
      <c r="C456" s="122"/>
      <c r="D456" s="122"/>
      <c r="E456" s="123"/>
      <c r="F456" s="140"/>
      <c r="G456" s="122"/>
      <c r="H456" s="141"/>
      <c r="I456" s="122"/>
      <c r="J456" s="122"/>
      <c r="K456" s="122"/>
      <c r="L456" s="122"/>
      <c r="M456" s="122"/>
      <c r="N456" s="122"/>
      <c r="O456" s="122"/>
      <c r="P456" s="122"/>
      <c r="Q456" s="129"/>
      <c r="R456" s="122"/>
      <c r="S456" s="139"/>
    </row>
    <row r="457" spans="1:19" x14ac:dyDescent="0.3">
      <c r="A457" s="121"/>
      <c r="B457" s="122"/>
      <c r="C457" s="122"/>
      <c r="D457" s="122"/>
      <c r="E457" s="123"/>
      <c r="F457" s="140"/>
      <c r="G457" s="122"/>
      <c r="H457" s="141"/>
      <c r="I457" s="122"/>
      <c r="J457" s="122"/>
      <c r="K457" s="122"/>
      <c r="L457" s="122"/>
      <c r="M457" s="122"/>
      <c r="N457" s="122"/>
      <c r="O457" s="122"/>
      <c r="P457" s="122"/>
      <c r="Q457" s="129"/>
      <c r="R457" s="122"/>
      <c r="S457" s="139"/>
    </row>
    <row r="458" spans="1:19" x14ac:dyDescent="0.3">
      <c r="A458" s="121"/>
      <c r="B458" s="122"/>
      <c r="C458" s="122"/>
      <c r="D458" s="122"/>
      <c r="E458" s="123"/>
      <c r="F458" s="140"/>
      <c r="G458" s="122"/>
      <c r="H458" s="141"/>
      <c r="I458" s="122"/>
      <c r="J458" s="122"/>
      <c r="K458" s="122"/>
      <c r="L458" s="122"/>
      <c r="M458" s="122"/>
      <c r="N458" s="122"/>
      <c r="O458" s="122"/>
      <c r="P458" s="122"/>
      <c r="Q458" s="129"/>
      <c r="R458" s="122"/>
      <c r="S458" s="139"/>
    </row>
    <row r="459" spans="1:19" x14ac:dyDescent="0.3">
      <c r="A459" s="121"/>
      <c r="B459" s="122"/>
      <c r="C459" s="122"/>
      <c r="D459" s="122"/>
      <c r="E459" s="123"/>
      <c r="F459" s="140"/>
      <c r="G459" s="122"/>
      <c r="H459" s="141"/>
      <c r="I459" s="122"/>
      <c r="J459" s="122"/>
      <c r="K459" s="122"/>
      <c r="L459" s="122"/>
      <c r="M459" s="122"/>
      <c r="N459" s="122"/>
      <c r="O459" s="122"/>
      <c r="P459" s="122"/>
      <c r="Q459" s="129"/>
      <c r="R459" s="122"/>
      <c r="S459" s="139"/>
    </row>
    <row r="460" spans="1:19" x14ac:dyDescent="0.3">
      <c r="A460" s="121"/>
      <c r="B460" s="122"/>
      <c r="C460" s="122"/>
      <c r="D460" s="122"/>
      <c r="E460" s="123"/>
      <c r="F460" s="140"/>
      <c r="G460" s="122"/>
      <c r="H460" s="141"/>
      <c r="I460" s="122"/>
      <c r="J460" s="122"/>
      <c r="K460" s="122"/>
      <c r="L460" s="122"/>
      <c r="M460" s="122"/>
      <c r="N460" s="122"/>
      <c r="O460" s="122"/>
      <c r="P460" s="122"/>
      <c r="Q460" s="129"/>
      <c r="R460" s="122"/>
      <c r="S460" s="139"/>
    </row>
    <row r="461" spans="1:19" x14ac:dyDescent="0.3">
      <c r="A461" s="121"/>
      <c r="B461" s="122"/>
      <c r="C461" s="122"/>
      <c r="D461" s="122"/>
      <c r="E461" s="123"/>
      <c r="F461" s="140"/>
      <c r="G461" s="122"/>
      <c r="H461" s="141"/>
      <c r="I461" s="122"/>
      <c r="J461" s="122"/>
      <c r="K461" s="122"/>
      <c r="L461" s="122"/>
      <c r="M461" s="122"/>
      <c r="N461" s="122"/>
      <c r="O461" s="122"/>
      <c r="P461" s="122"/>
      <c r="Q461" s="129"/>
      <c r="R461" s="122"/>
      <c r="S461" s="139"/>
    </row>
    <row r="462" spans="1:19" x14ac:dyDescent="0.3">
      <c r="A462" s="121"/>
      <c r="B462" s="122"/>
      <c r="C462" s="122"/>
      <c r="D462" s="122"/>
      <c r="E462" s="123"/>
      <c r="F462" s="140"/>
      <c r="G462" s="122"/>
      <c r="H462" s="141"/>
      <c r="I462" s="122"/>
      <c r="J462" s="122"/>
      <c r="K462" s="122"/>
      <c r="L462" s="122"/>
      <c r="M462" s="122"/>
      <c r="N462" s="122"/>
      <c r="O462" s="122"/>
      <c r="P462" s="122"/>
      <c r="Q462" s="129"/>
      <c r="R462" s="122"/>
      <c r="S462" s="139"/>
    </row>
    <row r="463" spans="1:19" x14ac:dyDescent="0.3">
      <c r="A463" s="121"/>
      <c r="B463" s="122"/>
      <c r="C463" s="122"/>
      <c r="D463" s="122"/>
      <c r="E463" s="123"/>
      <c r="F463" s="140"/>
      <c r="G463" s="122"/>
      <c r="H463" s="141"/>
      <c r="I463" s="122"/>
      <c r="J463" s="122"/>
      <c r="K463" s="122"/>
      <c r="L463" s="122"/>
      <c r="M463" s="122"/>
      <c r="N463" s="122"/>
      <c r="O463" s="122"/>
      <c r="P463" s="122"/>
      <c r="Q463" s="129"/>
      <c r="R463" s="122"/>
      <c r="S463" s="139"/>
    </row>
    <row r="464" spans="1:19" x14ac:dyDescent="0.3">
      <c r="A464" s="121"/>
      <c r="B464" s="122"/>
      <c r="C464" s="122"/>
      <c r="D464" s="122"/>
      <c r="E464" s="123"/>
      <c r="F464" s="140"/>
      <c r="G464" s="122"/>
      <c r="H464" s="141"/>
      <c r="I464" s="122"/>
      <c r="J464" s="122"/>
      <c r="K464" s="122"/>
      <c r="L464" s="122"/>
      <c r="M464" s="122"/>
      <c r="N464" s="122"/>
      <c r="O464" s="122"/>
      <c r="P464" s="122"/>
      <c r="Q464" s="129"/>
      <c r="R464" s="122"/>
      <c r="S464" s="139"/>
    </row>
    <row r="465" spans="1:19" x14ac:dyDescent="0.3">
      <c r="A465" s="121"/>
      <c r="B465" s="122"/>
      <c r="C465" s="122"/>
      <c r="D465" s="122"/>
      <c r="E465" s="123"/>
      <c r="F465" s="140"/>
      <c r="G465" s="122"/>
      <c r="H465" s="141"/>
      <c r="I465" s="122"/>
      <c r="J465" s="122"/>
      <c r="K465" s="122"/>
      <c r="L465" s="122"/>
      <c r="M465" s="122"/>
      <c r="N465" s="122"/>
      <c r="O465" s="122"/>
      <c r="P465" s="122"/>
      <c r="Q465" s="129"/>
      <c r="R465" s="122"/>
      <c r="S465" s="139"/>
    </row>
    <row r="466" spans="1:19" x14ac:dyDescent="0.3">
      <c r="A466" s="121"/>
      <c r="B466" s="122"/>
      <c r="C466" s="122"/>
      <c r="D466" s="122"/>
      <c r="E466" s="123"/>
      <c r="F466" s="140"/>
      <c r="G466" s="122"/>
      <c r="H466" s="141"/>
      <c r="I466" s="123"/>
      <c r="J466" s="122"/>
      <c r="K466" s="122"/>
      <c r="L466" s="122"/>
      <c r="M466" s="122"/>
      <c r="N466" s="122"/>
      <c r="O466" s="122"/>
      <c r="P466" s="122"/>
      <c r="Q466" s="129"/>
      <c r="R466" s="122"/>
      <c r="S466" s="139"/>
    </row>
    <row r="467" spans="1:19" x14ac:dyDescent="0.3">
      <c r="A467" s="121"/>
      <c r="B467" s="122"/>
      <c r="C467" s="122"/>
      <c r="D467" s="122"/>
      <c r="E467" s="123"/>
      <c r="F467" s="140"/>
      <c r="G467" s="122"/>
      <c r="H467" s="141"/>
      <c r="I467" s="123"/>
      <c r="J467" s="122"/>
      <c r="K467" s="122"/>
      <c r="L467" s="122"/>
      <c r="M467" s="122"/>
      <c r="N467" s="122"/>
      <c r="O467" s="122"/>
      <c r="P467" s="122"/>
      <c r="Q467" s="129"/>
      <c r="R467" s="122"/>
      <c r="S467" s="139"/>
    </row>
    <row r="468" spans="1:19" x14ac:dyDescent="0.3">
      <c r="A468" s="121"/>
      <c r="B468" s="122"/>
      <c r="C468" s="122"/>
      <c r="D468" s="122"/>
      <c r="E468" s="123"/>
      <c r="F468" s="140"/>
      <c r="G468" s="122"/>
      <c r="H468" s="141"/>
      <c r="I468" s="122"/>
      <c r="J468" s="122"/>
      <c r="K468" s="122"/>
      <c r="L468" s="122"/>
      <c r="M468" s="122"/>
      <c r="N468" s="122"/>
      <c r="O468" s="122"/>
      <c r="P468" s="122"/>
      <c r="Q468" s="129"/>
      <c r="R468" s="122"/>
      <c r="S468" s="139"/>
    </row>
    <row r="469" spans="1:19" x14ac:dyDescent="0.3">
      <c r="A469" s="121"/>
      <c r="B469" s="122"/>
      <c r="C469" s="122"/>
      <c r="D469" s="122"/>
      <c r="E469" s="123"/>
      <c r="F469" s="140"/>
      <c r="G469" s="122"/>
      <c r="H469" s="141"/>
      <c r="I469" s="123"/>
      <c r="J469" s="122"/>
      <c r="K469" s="122"/>
      <c r="L469" s="122"/>
      <c r="M469" s="122"/>
      <c r="N469" s="122"/>
      <c r="O469" s="122"/>
      <c r="P469" s="122"/>
      <c r="Q469" s="129"/>
      <c r="R469" s="122"/>
      <c r="S469" s="139"/>
    </row>
    <row r="470" spans="1:19" x14ac:dyDescent="0.3">
      <c r="A470" s="121"/>
      <c r="B470" s="122"/>
      <c r="C470" s="122"/>
      <c r="D470" s="122"/>
      <c r="E470" s="123"/>
      <c r="F470" s="140"/>
      <c r="G470" s="122"/>
      <c r="H470" s="141"/>
      <c r="I470" s="122"/>
      <c r="J470" s="122"/>
      <c r="K470" s="122"/>
      <c r="L470" s="122"/>
      <c r="M470" s="122"/>
      <c r="N470" s="122"/>
      <c r="O470" s="122"/>
      <c r="P470" s="122"/>
      <c r="Q470" s="129"/>
      <c r="R470" s="122"/>
      <c r="S470" s="139"/>
    </row>
    <row r="471" spans="1:19" x14ac:dyDescent="0.3">
      <c r="A471" s="121"/>
      <c r="B471" s="122"/>
      <c r="C471" s="122"/>
      <c r="D471" s="122"/>
      <c r="E471" s="123"/>
      <c r="F471" s="140"/>
      <c r="G471" s="122"/>
      <c r="H471" s="141"/>
      <c r="I471" s="122"/>
      <c r="J471" s="122"/>
      <c r="K471" s="122"/>
      <c r="L471" s="122"/>
      <c r="M471" s="122"/>
      <c r="N471" s="122"/>
      <c r="O471" s="122"/>
      <c r="P471" s="122"/>
      <c r="Q471" s="129"/>
      <c r="R471" s="122"/>
      <c r="S471" s="139"/>
    </row>
    <row r="472" spans="1:19" x14ac:dyDescent="0.3">
      <c r="A472" s="121"/>
      <c r="B472" s="122"/>
      <c r="C472" s="122"/>
      <c r="D472" s="122"/>
      <c r="E472" s="123"/>
      <c r="F472" s="140"/>
      <c r="G472" s="122"/>
      <c r="H472" s="141"/>
      <c r="I472" s="122"/>
      <c r="J472" s="122"/>
      <c r="K472" s="122"/>
      <c r="L472" s="122"/>
      <c r="M472" s="122"/>
      <c r="N472" s="122"/>
      <c r="O472" s="122"/>
      <c r="P472" s="122"/>
      <c r="Q472" s="129"/>
      <c r="R472" s="122"/>
      <c r="S472" s="139"/>
    </row>
    <row r="473" spans="1:19" x14ac:dyDescent="0.3">
      <c r="A473" s="121"/>
      <c r="B473" s="122"/>
      <c r="C473" s="122"/>
      <c r="D473" s="122"/>
      <c r="E473" s="123"/>
      <c r="F473" s="140"/>
      <c r="G473" s="122"/>
      <c r="H473" s="141"/>
      <c r="I473" s="122"/>
      <c r="J473" s="122"/>
      <c r="K473" s="122"/>
      <c r="L473" s="122"/>
      <c r="M473" s="122"/>
      <c r="N473" s="122"/>
      <c r="O473" s="122"/>
      <c r="P473" s="122"/>
      <c r="Q473" s="129"/>
      <c r="R473" s="122"/>
      <c r="S473" s="139"/>
    </row>
    <row r="474" spans="1:19" x14ac:dyDescent="0.3">
      <c r="A474" s="121"/>
      <c r="B474" s="122"/>
      <c r="C474" s="122"/>
      <c r="D474" s="122"/>
      <c r="E474" s="123"/>
      <c r="F474" s="140"/>
      <c r="G474" s="122"/>
      <c r="H474" s="141"/>
      <c r="I474" s="122"/>
      <c r="J474" s="122"/>
      <c r="K474" s="122"/>
      <c r="L474" s="122"/>
      <c r="M474" s="122"/>
      <c r="N474" s="122"/>
      <c r="O474" s="122"/>
      <c r="P474" s="122"/>
      <c r="Q474" s="129"/>
      <c r="R474" s="122"/>
      <c r="S474" s="139"/>
    </row>
    <row r="475" spans="1:19" x14ac:dyDescent="0.3">
      <c r="A475" s="121"/>
      <c r="B475" s="122"/>
      <c r="C475" s="122"/>
      <c r="D475" s="122"/>
      <c r="E475" s="123"/>
      <c r="F475" s="140"/>
      <c r="G475" s="122"/>
      <c r="H475" s="141"/>
      <c r="I475" s="122"/>
      <c r="J475" s="122"/>
      <c r="K475" s="122"/>
      <c r="L475" s="122"/>
      <c r="M475" s="122"/>
      <c r="N475" s="122"/>
      <c r="O475" s="122"/>
      <c r="P475" s="122"/>
      <c r="Q475" s="129"/>
      <c r="R475" s="122"/>
      <c r="S475" s="139"/>
    </row>
    <row r="476" spans="1:19" x14ac:dyDescent="0.3">
      <c r="A476" s="121"/>
      <c r="B476" s="122"/>
      <c r="C476" s="122"/>
      <c r="D476" s="122"/>
      <c r="E476" s="123"/>
      <c r="F476" s="140"/>
      <c r="G476" s="122"/>
      <c r="H476" s="141"/>
      <c r="I476" s="122"/>
      <c r="J476" s="122"/>
      <c r="K476" s="122"/>
      <c r="L476" s="122"/>
      <c r="M476" s="122"/>
      <c r="N476" s="122"/>
      <c r="O476" s="122"/>
      <c r="P476" s="122"/>
      <c r="Q476" s="129"/>
      <c r="R476" s="122"/>
      <c r="S476" s="139"/>
    </row>
    <row r="477" spans="1:19" x14ac:dyDescent="0.3">
      <c r="A477" s="121"/>
      <c r="B477" s="122"/>
      <c r="C477" s="122"/>
      <c r="D477" s="122"/>
      <c r="E477" s="123"/>
      <c r="F477" s="140"/>
      <c r="G477" s="122"/>
      <c r="H477" s="141"/>
      <c r="I477" s="122"/>
      <c r="J477" s="122"/>
      <c r="K477" s="122"/>
      <c r="L477" s="122"/>
      <c r="M477" s="122"/>
      <c r="N477" s="122"/>
      <c r="O477" s="122"/>
      <c r="P477" s="122"/>
      <c r="Q477" s="129"/>
      <c r="R477" s="122"/>
      <c r="S477" s="139"/>
    </row>
    <row r="478" spans="1:19" x14ac:dyDescent="0.3">
      <c r="A478" s="121"/>
      <c r="B478" s="122"/>
      <c r="C478" s="122"/>
      <c r="D478" s="122"/>
      <c r="E478" s="123"/>
      <c r="F478" s="140"/>
      <c r="G478" s="122"/>
      <c r="H478" s="141"/>
      <c r="I478" s="122"/>
      <c r="J478" s="122"/>
      <c r="K478" s="122"/>
      <c r="L478" s="122"/>
      <c r="M478" s="122"/>
      <c r="N478" s="122"/>
      <c r="O478" s="122"/>
      <c r="P478" s="122"/>
      <c r="Q478" s="129"/>
      <c r="R478" s="122"/>
      <c r="S478" s="139"/>
    </row>
    <row r="479" spans="1:19" x14ac:dyDescent="0.3">
      <c r="A479" s="121"/>
      <c r="B479" s="122"/>
      <c r="C479" s="122"/>
      <c r="D479" s="122"/>
      <c r="E479" s="123"/>
      <c r="F479" s="140"/>
      <c r="G479" s="122"/>
      <c r="H479" s="141"/>
      <c r="I479" s="122"/>
      <c r="J479" s="122"/>
      <c r="K479" s="122"/>
      <c r="L479" s="122"/>
      <c r="M479" s="122"/>
      <c r="N479" s="122"/>
      <c r="O479" s="122"/>
      <c r="P479" s="122"/>
      <c r="Q479" s="129"/>
      <c r="R479" s="122"/>
      <c r="S479" s="139"/>
    </row>
    <row r="480" spans="1:19" x14ac:dyDescent="0.3">
      <c r="A480" s="121"/>
      <c r="B480" s="122"/>
      <c r="C480" s="122"/>
      <c r="D480" s="122"/>
      <c r="E480" s="123"/>
      <c r="F480" s="140"/>
      <c r="G480" s="122"/>
      <c r="H480" s="141"/>
      <c r="I480" s="122"/>
      <c r="J480" s="122"/>
      <c r="K480" s="122"/>
      <c r="L480" s="122"/>
      <c r="M480" s="122"/>
      <c r="N480" s="122"/>
      <c r="O480" s="122"/>
      <c r="P480" s="122"/>
      <c r="Q480" s="129"/>
      <c r="R480" s="122"/>
      <c r="S480" s="139"/>
    </row>
    <row r="481" spans="1:19" x14ac:dyDescent="0.3">
      <c r="A481" s="121"/>
      <c r="B481" s="122"/>
      <c r="C481" s="122"/>
      <c r="D481" s="122"/>
      <c r="E481" s="123"/>
      <c r="F481" s="140"/>
      <c r="G481" s="122"/>
      <c r="H481" s="141"/>
      <c r="I481" s="122"/>
      <c r="J481" s="122"/>
      <c r="K481" s="122"/>
      <c r="L481" s="122"/>
      <c r="M481" s="122"/>
      <c r="N481" s="122"/>
      <c r="O481" s="122"/>
      <c r="P481" s="122"/>
      <c r="Q481" s="129"/>
      <c r="R481" s="122"/>
      <c r="S481" s="139"/>
    </row>
    <row r="482" spans="1:19" x14ac:dyDescent="0.3">
      <c r="A482" s="121"/>
      <c r="B482" s="122"/>
      <c r="C482" s="122"/>
      <c r="D482" s="122"/>
      <c r="E482" s="123"/>
      <c r="F482" s="140"/>
      <c r="G482" s="122"/>
      <c r="H482" s="141"/>
      <c r="I482" s="123"/>
      <c r="J482" s="122"/>
      <c r="K482" s="122"/>
      <c r="L482" s="122"/>
      <c r="M482" s="122"/>
      <c r="N482" s="122"/>
      <c r="O482" s="122"/>
      <c r="P482" s="122"/>
      <c r="Q482" s="129"/>
      <c r="R482" s="122"/>
      <c r="S482" s="139"/>
    </row>
    <row r="483" spans="1:19" x14ac:dyDescent="0.3">
      <c r="A483" s="121"/>
      <c r="B483" s="122"/>
      <c r="C483" s="122"/>
      <c r="D483" s="122"/>
      <c r="E483" s="123"/>
      <c r="F483" s="140"/>
      <c r="G483" s="122"/>
      <c r="H483" s="141"/>
      <c r="I483" s="122"/>
      <c r="J483" s="122"/>
      <c r="K483" s="122"/>
      <c r="L483" s="122"/>
      <c r="M483" s="122"/>
      <c r="N483" s="122"/>
      <c r="O483" s="122"/>
      <c r="P483" s="122"/>
      <c r="Q483" s="129"/>
      <c r="R483" s="122"/>
      <c r="S483" s="139"/>
    </row>
    <row r="484" spans="1:19" x14ac:dyDescent="0.3">
      <c r="A484" s="121"/>
      <c r="B484" s="122"/>
      <c r="C484" s="122"/>
      <c r="D484" s="122"/>
      <c r="E484" s="123"/>
      <c r="F484" s="140"/>
      <c r="G484" s="122"/>
      <c r="H484" s="141"/>
      <c r="I484" s="122"/>
      <c r="J484" s="122"/>
      <c r="K484" s="122"/>
      <c r="L484" s="122"/>
      <c r="M484" s="122"/>
      <c r="N484" s="122"/>
      <c r="O484" s="122"/>
      <c r="P484" s="122"/>
      <c r="Q484" s="129"/>
      <c r="R484" s="122"/>
      <c r="S484" s="139"/>
    </row>
    <row r="485" spans="1:19" x14ac:dyDescent="0.3">
      <c r="A485" s="121"/>
      <c r="B485" s="122"/>
      <c r="C485" s="122"/>
      <c r="D485" s="122"/>
      <c r="E485" s="123"/>
      <c r="F485" s="140"/>
      <c r="G485" s="122"/>
      <c r="H485" s="141"/>
      <c r="I485" s="122"/>
      <c r="J485" s="122"/>
      <c r="K485" s="122"/>
      <c r="L485" s="122"/>
      <c r="M485" s="122"/>
      <c r="N485" s="122"/>
      <c r="O485" s="122"/>
      <c r="P485" s="122"/>
      <c r="Q485" s="129"/>
      <c r="R485" s="122"/>
      <c r="S485" s="139"/>
    </row>
    <row r="486" spans="1:19" x14ac:dyDescent="0.3">
      <c r="A486" s="121"/>
      <c r="B486" s="122"/>
      <c r="C486" s="122"/>
      <c r="D486" s="122"/>
      <c r="E486" s="123"/>
      <c r="F486" s="140"/>
      <c r="G486" s="122"/>
      <c r="H486" s="141"/>
      <c r="I486" s="122"/>
      <c r="J486" s="122"/>
      <c r="K486" s="122"/>
      <c r="L486" s="122"/>
      <c r="M486" s="122"/>
      <c r="N486" s="122"/>
      <c r="O486" s="122"/>
      <c r="P486" s="122"/>
      <c r="Q486" s="129"/>
      <c r="R486" s="122"/>
      <c r="S486" s="139"/>
    </row>
    <row r="487" spans="1:19" x14ac:dyDescent="0.3">
      <c r="A487" s="121"/>
      <c r="B487" s="122"/>
      <c r="C487" s="122"/>
      <c r="D487" s="122"/>
      <c r="E487" s="123"/>
      <c r="F487" s="140"/>
      <c r="G487" s="122"/>
      <c r="H487" s="141"/>
      <c r="I487" s="122"/>
      <c r="J487" s="122"/>
      <c r="K487" s="122"/>
      <c r="L487" s="122"/>
      <c r="M487" s="122"/>
      <c r="N487" s="122"/>
      <c r="O487" s="122"/>
      <c r="P487" s="122"/>
      <c r="Q487" s="129"/>
      <c r="R487" s="122"/>
      <c r="S487" s="139"/>
    </row>
    <row r="488" spans="1:19" x14ac:dyDescent="0.3">
      <c r="A488" s="121"/>
      <c r="B488" s="122"/>
      <c r="C488" s="122"/>
      <c r="D488" s="122"/>
      <c r="E488" s="123"/>
      <c r="F488" s="140"/>
      <c r="G488" s="122"/>
      <c r="H488" s="141"/>
      <c r="I488" s="122"/>
      <c r="J488" s="122"/>
      <c r="K488" s="122"/>
      <c r="L488" s="122"/>
      <c r="M488" s="122"/>
      <c r="N488" s="122"/>
      <c r="O488" s="122"/>
      <c r="P488" s="122"/>
      <c r="Q488" s="129"/>
      <c r="R488" s="122"/>
      <c r="S488" s="139"/>
    </row>
    <row r="489" spans="1:19" x14ac:dyDescent="0.3">
      <c r="A489" s="121"/>
      <c r="B489" s="122"/>
      <c r="C489" s="122"/>
      <c r="D489" s="122"/>
      <c r="E489" s="123"/>
      <c r="F489" s="140"/>
      <c r="G489" s="122"/>
      <c r="H489" s="141"/>
      <c r="I489" s="122"/>
      <c r="J489" s="122"/>
      <c r="K489" s="122"/>
      <c r="L489" s="122"/>
      <c r="M489" s="122"/>
      <c r="N489" s="122"/>
      <c r="O489" s="122"/>
      <c r="P489" s="122"/>
      <c r="Q489" s="129"/>
      <c r="R489" s="122"/>
      <c r="S489" s="139"/>
    </row>
    <row r="490" spans="1:19" x14ac:dyDescent="0.3">
      <c r="A490" s="121"/>
      <c r="B490" s="122"/>
      <c r="C490" s="122"/>
      <c r="D490" s="122"/>
      <c r="E490" s="123"/>
      <c r="F490" s="140"/>
      <c r="G490" s="122"/>
      <c r="H490" s="141"/>
      <c r="I490" s="122"/>
      <c r="J490" s="122"/>
      <c r="K490" s="122"/>
      <c r="L490" s="122"/>
      <c r="M490" s="122"/>
      <c r="N490" s="122"/>
      <c r="O490" s="122"/>
      <c r="P490" s="122"/>
      <c r="Q490" s="129"/>
      <c r="R490" s="122"/>
      <c r="S490" s="139"/>
    </row>
    <row r="491" spans="1:19" x14ac:dyDescent="0.3">
      <c r="A491" s="121"/>
      <c r="B491" s="122"/>
      <c r="C491" s="122"/>
      <c r="D491" s="122"/>
      <c r="E491" s="123"/>
      <c r="F491" s="140"/>
      <c r="G491" s="122"/>
      <c r="H491" s="141"/>
      <c r="I491" s="122"/>
      <c r="J491" s="122"/>
      <c r="K491" s="122"/>
      <c r="L491" s="122"/>
      <c r="M491" s="122"/>
      <c r="N491" s="122"/>
      <c r="O491" s="122"/>
      <c r="P491" s="122"/>
      <c r="Q491" s="129"/>
      <c r="R491" s="122"/>
      <c r="S491" s="139"/>
    </row>
    <row r="492" spans="1:19" x14ac:dyDescent="0.3">
      <c r="A492" s="121"/>
      <c r="B492" s="122"/>
      <c r="C492" s="122"/>
      <c r="D492" s="122"/>
      <c r="E492" s="123"/>
      <c r="F492" s="140"/>
      <c r="G492" s="122"/>
      <c r="H492" s="141"/>
      <c r="I492" s="122"/>
      <c r="J492" s="122"/>
      <c r="K492" s="122"/>
      <c r="L492" s="122"/>
      <c r="M492" s="122"/>
      <c r="N492" s="122"/>
      <c r="O492" s="122"/>
      <c r="P492" s="122"/>
      <c r="Q492" s="129"/>
      <c r="R492" s="122"/>
      <c r="S492" s="139"/>
    </row>
    <row r="493" spans="1:19" x14ac:dyDescent="0.3">
      <c r="A493" s="121"/>
      <c r="B493" s="122"/>
      <c r="C493" s="122"/>
      <c r="D493" s="122"/>
      <c r="E493" s="123"/>
      <c r="F493" s="140"/>
      <c r="G493" s="122"/>
      <c r="H493" s="141"/>
      <c r="I493" s="122"/>
      <c r="J493" s="122"/>
      <c r="K493" s="122"/>
      <c r="L493" s="122"/>
      <c r="M493" s="122"/>
      <c r="N493" s="122"/>
      <c r="O493" s="122"/>
      <c r="P493" s="122"/>
      <c r="Q493" s="129"/>
      <c r="R493" s="122"/>
      <c r="S493" s="139"/>
    </row>
    <row r="494" spans="1:19" x14ac:dyDescent="0.3">
      <c r="A494" s="121"/>
      <c r="B494" s="122"/>
      <c r="C494" s="122"/>
      <c r="D494" s="122"/>
      <c r="E494" s="123"/>
      <c r="F494" s="140"/>
      <c r="G494" s="122"/>
      <c r="H494" s="141"/>
      <c r="I494" s="122"/>
      <c r="J494" s="122"/>
      <c r="K494" s="122"/>
      <c r="L494" s="122"/>
      <c r="M494" s="122"/>
      <c r="N494" s="122"/>
      <c r="O494" s="122"/>
      <c r="P494" s="122"/>
      <c r="Q494" s="129"/>
      <c r="R494" s="122"/>
      <c r="S494" s="139"/>
    </row>
    <row r="495" spans="1:19" x14ac:dyDescent="0.3">
      <c r="A495" s="121"/>
      <c r="B495" s="122"/>
      <c r="C495" s="122"/>
      <c r="D495" s="122"/>
      <c r="E495" s="123"/>
      <c r="F495" s="140"/>
      <c r="G495" s="122"/>
      <c r="H495" s="141"/>
      <c r="I495" s="123"/>
      <c r="J495" s="122"/>
      <c r="K495" s="122"/>
      <c r="L495" s="122"/>
      <c r="M495" s="122"/>
      <c r="N495" s="122"/>
      <c r="O495" s="122"/>
      <c r="P495" s="122"/>
      <c r="Q495" s="129"/>
      <c r="R495" s="122"/>
      <c r="S495" s="139"/>
    </row>
    <row r="496" spans="1:19" x14ac:dyDescent="0.3">
      <c r="A496" s="121"/>
      <c r="B496" s="122"/>
      <c r="C496" s="122"/>
      <c r="D496" s="122"/>
      <c r="E496" s="123"/>
      <c r="F496" s="140"/>
      <c r="G496" s="122"/>
      <c r="H496" s="141"/>
      <c r="I496" s="122"/>
      <c r="J496" s="122"/>
      <c r="K496" s="122"/>
      <c r="L496" s="122"/>
      <c r="M496" s="122"/>
      <c r="N496" s="122"/>
      <c r="O496" s="122"/>
      <c r="P496" s="122"/>
      <c r="Q496" s="129"/>
      <c r="R496" s="122"/>
      <c r="S496" s="139"/>
    </row>
    <row r="497" spans="1:19" x14ac:dyDescent="0.3">
      <c r="A497" s="121"/>
      <c r="B497" s="122"/>
      <c r="C497" s="122"/>
      <c r="D497" s="122"/>
      <c r="E497" s="123"/>
      <c r="F497" s="140"/>
      <c r="G497" s="122"/>
      <c r="H497" s="141"/>
      <c r="I497" s="122"/>
      <c r="J497" s="122"/>
      <c r="K497" s="122"/>
      <c r="L497" s="122"/>
      <c r="M497" s="122"/>
      <c r="N497" s="122"/>
      <c r="O497" s="122"/>
      <c r="P497" s="122"/>
      <c r="Q497" s="129"/>
      <c r="R497" s="122"/>
      <c r="S497" s="139"/>
    </row>
    <row r="498" spans="1:19" x14ac:dyDescent="0.3">
      <c r="A498" s="121"/>
      <c r="B498" s="122"/>
      <c r="C498" s="122"/>
      <c r="D498" s="122"/>
      <c r="E498" s="123"/>
      <c r="F498" s="140"/>
      <c r="G498" s="122"/>
      <c r="H498" s="141"/>
      <c r="I498" s="123"/>
      <c r="J498" s="122"/>
      <c r="K498" s="122"/>
      <c r="L498" s="122"/>
      <c r="M498" s="122"/>
      <c r="N498" s="122"/>
      <c r="O498" s="122"/>
      <c r="P498" s="122"/>
      <c r="Q498" s="129"/>
      <c r="R498" s="122"/>
      <c r="S498" s="139"/>
    </row>
    <row r="499" spans="1:19" x14ac:dyDescent="0.3">
      <c r="A499" s="121"/>
      <c r="B499" s="122"/>
      <c r="C499" s="122"/>
      <c r="D499" s="122"/>
      <c r="E499" s="123"/>
      <c r="F499" s="140"/>
      <c r="G499" s="122"/>
      <c r="H499" s="141"/>
      <c r="I499" s="122"/>
      <c r="J499" s="122"/>
      <c r="K499" s="122"/>
      <c r="L499" s="122"/>
      <c r="M499" s="122"/>
      <c r="N499" s="122"/>
      <c r="O499" s="122"/>
      <c r="P499" s="122"/>
      <c r="Q499" s="129"/>
      <c r="R499" s="122"/>
      <c r="S499" s="139"/>
    </row>
    <row r="500" spans="1:19" x14ac:dyDescent="0.3">
      <c r="A500" s="121"/>
      <c r="B500" s="122"/>
      <c r="C500" s="122"/>
      <c r="D500" s="122"/>
      <c r="E500" s="123"/>
      <c r="F500" s="140"/>
      <c r="G500" s="122"/>
      <c r="H500" s="141"/>
      <c r="I500" s="122"/>
      <c r="J500" s="122"/>
      <c r="K500" s="122"/>
      <c r="L500" s="122"/>
      <c r="M500" s="122"/>
      <c r="N500" s="122"/>
      <c r="O500" s="122"/>
      <c r="P500" s="122"/>
      <c r="Q500" s="129"/>
      <c r="R500" s="122"/>
      <c r="S500" s="139"/>
    </row>
    <row r="501" spans="1:19" x14ac:dyDescent="0.3">
      <c r="A501" s="121"/>
      <c r="B501" s="122"/>
      <c r="C501" s="122"/>
      <c r="D501" s="122"/>
      <c r="E501" s="123"/>
      <c r="F501" s="140"/>
      <c r="G501" s="122"/>
      <c r="H501" s="141"/>
      <c r="I501" s="122"/>
      <c r="J501" s="122"/>
      <c r="K501" s="122"/>
      <c r="L501" s="122"/>
      <c r="M501" s="122"/>
      <c r="N501" s="122"/>
      <c r="O501" s="122"/>
      <c r="P501" s="122"/>
      <c r="Q501" s="129"/>
      <c r="R501" s="122"/>
      <c r="S501" s="139"/>
    </row>
    <row r="502" spans="1:19" x14ac:dyDescent="0.3">
      <c r="A502" s="121"/>
      <c r="B502" s="122"/>
      <c r="C502" s="122"/>
      <c r="D502" s="122"/>
      <c r="E502" s="123"/>
      <c r="F502" s="140"/>
      <c r="G502" s="122"/>
      <c r="H502" s="141"/>
      <c r="I502" s="122"/>
      <c r="J502" s="122"/>
      <c r="K502" s="122"/>
      <c r="L502" s="122"/>
      <c r="M502" s="122"/>
      <c r="N502" s="122"/>
      <c r="O502" s="122"/>
      <c r="P502" s="122"/>
      <c r="Q502" s="129"/>
      <c r="R502" s="122"/>
      <c r="S502" s="139"/>
    </row>
    <row r="503" spans="1:19" x14ac:dyDescent="0.3">
      <c r="A503" s="121"/>
      <c r="B503" s="122"/>
      <c r="C503" s="122"/>
      <c r="D503" s="122"/>
      <c r="E503" s="123"/>
      <c r="F503" s="140"/>
      <c r="G503" s="122"/>
      <c r="H503" s="141"/>
      <c r="I503" s="122"/>
      <c r="J503" s="122"/>
      <c r="K503" s="122"/>
      <c r="L503" s="122"/>
      <c r="M503" s="122"/>
      <c r="N503" s="122"/>
      <c r="O503" s="122"/>
      <c r="P503" s="122"/>
      <c r="Q503" s="129"/>
      <c r="R503" s="122"/>
      <c r="S503" s="139"/>
    </row>
    <row r="504" spans="1:19" x14ac:dyDescent="0.3">
      <c r="A504" s="121"/>
      <c r="B504" s="122"/>
      <c r="C504" s="122"/>
      <c r="D504" s="122"/>
      <c r="E504" s="123"/>
      <c r="F504" s="140"/>
      <c r="G504" s="122"/>
      <c r="H504" s="141"/>
      <c r="I504" s="122"/>
      <c r="J504" s="122"/>
      <c r="K504" s="122"/>
      <c r="L504" s="122"/>
      <c r="M504" s="122"/>
      <c r="N504" s="122"/>
      <c r="O504" s="122"/>
      <c r="P504" s="122"/>
      <c r="Q504" s="129"/>
      <c r="R504" s="122"/>
      <c r="S504" s="139"/>
    </row>
    <row r="505" spans="1:19" x14ac:dyDescent="0.3">
      <c r="A505" s="121"/>
      <c r="B505" s="122"/>
      <c r="C505" s="122"/>
      <c r="D505" s="122"/>
      <c r="E505" s="123"/>
      <c r="F505" s="140"/>
      <c r="G505" s="122"/>
      <c r="H505" s="141"/>
      <c r="I505" s="122"/>
      <c r="J505" s="122"/>
      <c r="K505" s="122"/>
      <c r="L505" s="122"/>
      <c r="M505" s="122"/>
      <c r="N505" s="122"/>
      <c r="O505" s="122"/>
      <c r="P505" s="122"/>
      <c r="Q505" s="129"/>
      <c r="R505" s="122"/>
      <c r="S505" s="139"/>
    </row>
    <row r="506" spans="1:19" x14ac:dyDescent="0.3">
      <c r="A506" s="121"/>
      <c r="B506" s="122"/>
      <c r="C506" s="122"/>
      <c r="D506" s="122"/>
      <c r="E506" s="123"/>
      <c r="F506" s="140"/>
      <c r="G506" s="122"/>
      <c r="H506" s="141"/>
      <c r="I506" s="122"/>
      <c r="J506" s="122"/>
      <c r="K506" s="122"/>
      <c r="L506" s="122"/>
      <c r="M506" s="122"/>
      <c r="N506" s="122"/>
      <c r="O506" s="122"/>
      <c r="P506" s="122"/>
      <c r="Q506" s="129"/>
      <c r="R506" s="122"/>
      <c r="S506" s="139"/>
    </row>
    <row r="507" spans="1:19" x14ac:dyDescent="0.3">
      <c r="A507" s="121"/>
      <c r="B507" s="122"/>
      <c r="C507" s="122"/>
      <c r="D507" s="122"/>
      <c r="E507" s="123"/>
      <c r="F507" s="140"/>
      <c r="G507" s="122"/>
      <c r="H507" s="141"/>
      <c r="I507" s="122"/>
      <c r="J507" s="122"/>
      <c r="K507" s="122"/>
      <c r="L507" s="122"/>
      <c r="M507" s="122"/>
      <c r="N507" s="122"/>
      <c r="O507" s="122"/>
      <c r="P507" s="122"/>
      <c r="Q507" s="129"/>
      <c r="R507" s="122"/>
      <c r="S507" s="139"/>
    </row>
    <row r="508" spans="1:19" x14ac:dyDescent="0.3">
      <c r="A508" s="121"/>
      <c r="B508" s="122"/>
      <c r="C508" s="122"/>
      <c r="D508" s="122"/>
      <c r="E508" s="123"/>
      <c r="F508" s="140"/>
      <c r="G508" s="122"/>
      <c r="H508" s="141"/>
      <c r="I508" s="122"/>
      <c r="J508" s="122"/>
      <c r="K508" s="122"/>
      <c r="L508" s="122"/>
      <c r="M508" s="122"/>
      <c r="N508" s="122"/>
      <c r="O508" s="122"/>
      <c r="P508" s="122"/>
      <c r="Q508" s="129"/>
      <c r="R508" s="122"/>
      <c r="S508" s="139"/>
    </row>
    <row r="509" spans="1:19" x14ac:dyDescent="0.3">
      <c r="A509" s="121"/>
      <c r="B509" s="122"/>
      <c r="C509" s="122"/>
      <c r="D509" s="122"/>
      <c r="E509" s="123"/>
      <c r="F509" s="140"/>
      <c r="G509" s="122"/>
      <c r="H509" s="141"/>
      <c r="I509" s="122"/>
      <c r="J509" s="122"/>
      <c r="K509" s="122"/>
      <c r="L509" s="122"/>
      <c r="M509" s="122"/>
      <c r="N509" s="122"/>
      <c r="O509" s="122"/>
      <c r="P509" s="122"/>
      <c r="Q509" s="129"/>
      <c r="R509" s="122"/>
      <c r="S509" s="139"/>
    </row>
    <row r="510" spans="1:19" x14ac:dyDescent="0.3">
      <c r="A510" s="121"/>
      <c r="B510" s="122"/>
      <c r="C510" s="122"/>
      <c r="D510" s="122"/>
      <c r="E510" s="123"/>
      <c r="F510" s="140"/>
      <c r="G510" s="122"/>
      <c r="H510" s="141"/>
      <c r="I510" s="122"/>
      <c r="J510" s="122"/>
      <c r="K510" s="122"/>
      <c r="L510" s="122"/>
      <c r="M510" s="122"/>
      <c r="N510" s="122"/>
      <c r="O510" s="122"/>
      <c r="P510" s="122"/>
      <c r="Q510" s="129"/>
      <c r="R510" s="122"/>
      <c r="S510" s="139"/>
    </row>
    <row r="511" spans="1:19" x14ac:dyDescent="0.3">
      <c r="A511" s="121"/>
      <c r="B511" s="122"/>
      <c r="C511" s="122"/>
      <c r="D511" s="122"/>
      <c r="E511" s="123"/>
      <c r="F511" s="140"/>
      <c r="G511" s="122"/>
      <c r="H511" s="141"/>
      <c r="I511" s="122"/>
      <c r="J511" s="122"/>
      <c r="K511" s="122"/>
      <c r="L511" s="122"/>
      <c r="M511" s="122"/>
      <c r="N511" s="122"/>
      <c r="O511" s="122"/>
      <c r="P511" s="122"/>
      <c r="Q511" s="129"/>
      <c r="R511" s="122"/>
      <c r="S511" s="139"/>
    </row>
    <row r="512" spans="1:19" x14ac:dyDescent="0.3">
      <c r="A512" s="121"/>
      <c r="B512" s="122"/>
      <c r="C512" s="122"/>
      <c r="D512" s="122"/>
      <c r="E512" s="123"/>
      <c r="F512" s="140"/>
      <c r="G512" s="122"/>
      <c r="H512" s="141"/>
      <c r="I512" s="122"/>
      <c r="J512" s="122"/>
      <c r="K512" s="122"/>
      <c r="L512" s="122"/>
      <c r="M512" s="122"/>
      <c r="N512" s="122"/>
      <c r="O512" s="122"/>
      <c r="P512" s="122"/>
      <c r="Q512" s="129"/>
      <c r="R512" s="122"/>
      <c r="S512" s="139"/>
    </row>
    <row r="513" spans="1:19" x14ac:dyDescent="0.3">
      <c r="A513" s="121"/>
      <c r="B513" s="122"/>
      <c r="C513" s="122"/>
      <c r="D513" s="122"/>
      <c r="E513" s="123"/>
      <c r="F513" s="140"/>
      <c r="G513" s="122"/>
      <c r="H513" s="141"/>
      <c r="I513" s="122"/>
      <c r="J513" s="122"/>
      <c r="K513" s="122"/>
      <c r="L513" s="122"/>
      <c r="M513" s="122"/>
      <c r="N513" s="122"/>
      <c r="O513" s="122"/>
      <c r="P513" s="122"/>
      <c r="Q513" s="129"/>
      <c r="R513" s="122"/>
      <c r="S513" s="139"/>
    </row>
    <row r="514" spans="1:19" x14ac:dyDescent="0.3">
      <c r="A514" s="121"/>
      <c r="B514" s="122"/>
      <c r="C514" s="122"/>
      <c r="D514" s="122"/>
      <c r="E514" s="123"/>
      <c r="F514" s="140"/>
      <c r="G514" s="122"/>
      <c r="H514" s="141"/>
      <c r="I514" s="122"/>
      <c r="J514" s="122"/>
      <c r="K514" s="122"/>
      <c r="L514" s="122"/>
      <c r="M514" s="122"/>
      <c r="N514" s="122"/>
      <c r="O514" s="122"/>
      <c r="P514" s="122"/>
      <c r="Q514" s="129"/>
      <c r="R514" s="122"/>
      <c r="S514" s="139"/>
    </row>
    <row r="515" spans="1:19" x14ac:dyDescent="0.3">
      <c r="A515" s="121"/>
      <c r="B515" s="122"/>
      <c r="C515" s="122"/>
      <c r="D515" s="122"/>
      <c r="E515" s="123"/>
      <c r="F515" s="140"/>
      <c r="G515" s="122"/>
      <c r="H515" s="141"/>
      <c r="I515" s="122"/>
      <c r="J515" s="122"/>
      <c r="K515" s="122"/>
      <c r="L515" s="122"/>
      <c r="M515" s="122"/>
      <c r="N515" s="122"/>
      <c r="O515" s="122"/>
      <c r="P515" s="122"/>
      <c r="Q515" s="129"/>
      <c r="R515" s="122"/>
      <c r="S515" s="139"/>
    </row>
    <row r="516" spans="1:19" x14ac:dyDescent="0.3">
      <c r="A516" s="121"/>
      <c r="B516" s="122"/>
      <c r="C516" s="122"/>
      <c r="D516" s="122"/>
      <c r="E516" s="123"/>
      <c r="F516" s="140"/>
      <c r="G516" s="122"/>
      <c r="H516" s="141"/>
      <c r="I516" s="122"/>
      <c r="J516" s="122"/>
      <c r="K516" s="122"/>
      <c r="L516" s="122"/>
      <c r="M516" s="122"/>
      <c r="N516" s="122"/>
      <c r="O516" s="122"/>
      <c r="P516" s="122"/>
      <c r="Q516" s="129"/>
      <c r="R516" s="122"/>
      <c r="S516" s="139"/>
    </row>
    <row r="517" spans="1:19" x14ac:dyDescent="0.3">
      <c r="A517" s="121"/>
      <c r="B517" s="122"/>
      <c r="C517" s="122"/>
      <c r="D517" s="122"/>
      <c r="E517" s="123"/>
      <c r="F517" s="140"/>
      <c r="G517" s="122"/>
      <c r="H517" s="141"/>
      <c r="I517" s="123"/>
      <c r="J517" s="122"/>
      <c r="K517" s="122"/>
      <c r="L517" s="122"/>
      <c r="M517" s="122"/>
      <c r="N517" s="122"/>
      <c r="O517" s="122"/>
      <c r="P517" s="122"/>
      <c r="Q517" s="129"/>
      <c r="R517" s="122"/>
      <c r="S517" s="139"/>
    </row>
    <row r="518" spans="1:19" x14ac:dyDescent="0.3">
      <c r="A518" s="121"/>
      <c r="B518" s="122"/>
      <c r="C518" s="122"/>
      <c r="D518" s="122"/>
      <c r="E518" s="123"/>
      <c r="F518" s="140"/>
      <c r="G518" s="122"/>
      <c r="H518" s="141"/>
      <c r="I518" s="122"/>
      <c r="J518" s="122"/>
      <c r="K518" s="122"/>
      <c r="L518" s="122"/>
      <c r="M518" s="122"/>
      <c r="N518" s="122"/>
      <c r="O518" s="122"/>
      <c r="P518" s="122"/>
      <c r="Q518" s="129"/>
      <c r="R518" s="122"/>
      <c r="S518" s="139"/>
    </row>
    <row r="519" spans="1:19" x14ac:dyDescent="0.3">
      <c r="A519" s="121"/>
      <c r="B519" s="122"/>
      <c r="C519" s="122"/>
      <c r="D519" s="122"/>
      <c r="E519" s="123"/>
      <c r="F519" s="140"/>
      <c r="G519" s="122"/>
      <c r="H519" s="141"/>
      <c r="I519" s="122"/>
      <c r="J519" s="122"/>
      <c r="K519" s="122"/>
      <c r="L519" s="122"/>
      <c r="M519" s="122"/>
      <c r="N519" s="122"/>
      <c r="O519" s="122"/>
      <c r="P519" s="122"/>
      <c r="Q519" s="129"/>
      <c r="R519" s="122"/>
      <c r="S519" s="139"/>
    </row>
    <row r="520" spans="1:19" x14ac:dyDescent="0.3">
      <c r="A520" s="121"/>
      <c r="B520" s="122"/>
      <c r="C520" s="122"/>
      <c r="D520" s="122"/>
      <c r="E520" s="123"/>
      <c r="F520" s="140"/>
      <c r="G520" s="122"/>
      <c r="H520" s="141"/>
      <c r="I520" s="122"/>
      <c r="J520" s="122"/>
      <c r="K520" s="122"/>
      <c r="L520" s="122"/>
      <c r="M520" s="122"/>
      <c r="N520" s="122"/>
      <c r="O520" s="122"/>
      <c r="P520" s="122"/>
      <c r="Q520" s="129"/>
      <c r="R520" s="122"/>
      <c r="S520" s="139"/>
    </row>
    <row r="521" spans="1:19" x14ac:dyDescent="0.3">
      <c r="A521" s="121"/>
      <c r="B521" s="122"/>
      <c r="C521" s="122"/>
      <c r="D521" s="122"/>
      <c r="E521" s="123"/>
      <c r="F521" s="140"/>
      <c r="G521" s="122"/>
      <c r="H521" s="141"/>
      <c r="I521" s="122"/>
      <c r="J521" s="122"/>
      <c r="K521" s="122"/>
      <c r="L521" s="122"/>
      <c r="M521" s="122"/>
      <c r="N521" s="122"/>
      <c r="O521" s="122"/>
      <c r="P521" s="122"/>
      <c r="Q521" s="129"/>
      <c r="R521" s="122"/>
      <c r="S521" s="139"/>
    </row>
    <row r="522" spans="1:19" x14ac:dyDescent="0.3">
      <c r="A522" s="121"/>
      <c r="B522" s="122"/>
      <c r="C522" s="122"/>
      <c r="D522" s="122"/>
      <c r="E522" s="123"/>
      <c r="F522" s="140"/>
      <c r="G522" s="122"/>
      <c r="H522" s="141"/>
      <c r="I522" s="122"/>
      <c r="J522" s="122"/>
      <c r="K522" s="122"/>
      <c r="L522" s="122"/>
      <c r="M522" s="122"/>
      <c r="N522" s="122"/>
      <c r="O522" s="122"/>
      <c r="P522" s="122"/>
      <c r="Q522" s="129"/>
      <c r="R522" s="122"/>
      <c r="S522" s="139"/>
    </row>
    <row r="523" spans="1:19" x14ac:dyDescent="0.3">
      <c r="A523" s="121"/>
      <c r="B523" s="122"/>
      <c r="C523" s="122"/>
      <c r="D523" s="122"/>
      <c r="E523" s="123"/>
      <c r="F523" s="140"/>
      <c r="G523" s="122"/>
      <c r="H523" s="141"/>
      <c r="I523" s="122"/>
      <c r="J523" s="122"/>
      <c r="K523" s="122"/>
      <c r="L523" s="122"/>
      <c r="M523" s="122"/>
      <c r="N523" s="122"/>
      <c r="O523" s="122"/>
      <c r="P523" s="122"/>
      <c r="Q523" s="129"/>
      <c r="R523" s="122"/>
      <c r="S523" s="139"/>
    </row>
    <row r="524" spans="1:19" x14ac:dyDescent="0.3">
      <c r="A524" s="121"/>
      <c r="B524" s="122"/>
      <c r="C524" s="122"/>
      <c r="D524" s="122"/>
      <c r="E524" s="123"/>
      <c r="F524" s="140"/>
      <c r="G524" s="122"/>
      <c r="H524" s="141"/>
      <c r="I524" s="122"/>
      <c r="J524" s="122"/>
      <c r="K524" s="122"/>
      <c r="L524" s="122"/>
      <c r="M524" s="122"/>
      <c r="N524" s="122"/>
      <c r="O524" s="122"/>
      <c r="P524" s="122"/>
      <c r="Q524" s="129"/>
      <c r="R524" s="122"/>
      <c r="S524" s="139"/>
    </row>
    <row r="525" spans="1:19" x14ac:dyDescent="0.3">
      <c r="A525" s="121"/>
      <c r="B525" s="122"/>
      <c r="C525" s="122"/>
      <c r="D525" s="122"/>
      <c r="E525" s="123"/>
      <c r="F525" s="140"/>
      <c r="G525" s="122"/>
      <c r="H525" s="141"/>
      <c r="I525" s="122"/>
      <c r="J525" s="122"/>
      <c r="K525" s="122"/>
      <c r="L525" s="122"/>
      <c r="M525" s="122"/>
      <c r="N525" s="122"/>
      <c r="O525" s="122"/>
      <c r="P525" s="122"/>
      <c r="Q525" s="129"/>
      <c r="R525" s="122"/>
      <c r="S525" s="139"/>
    </row>
    <row r="526" spans="1:19" x14ac:dyDescent="0.3">
      <c r="A526" s="121"/>
      <c r="B526" s="122"/>
      <c r="C526" s="122"/>
      <c r="D526" s="122"/>
      <c r="E526" s="123"/>
      <c r="F526" s="140"/>
      <c r="G526" s="122"/>
      <c r="H526" s="141"/>
      <c r="I526" s="122"/>
      <c r="J526" s="122"/>
      <c r="K526" s="122"/>
      <c r="L526" s="122"/>
      <c r="M526" s="122"/>
      <c r="N526" s="122"/>
      <c r="O526" s="122"/>
      <c r="P526" s="122"/>
      <c r="Q526" s="129"/>
      <c r="R526" s="122"/>
      <c r="S526" s="139"/>
    </row>
    <row r="527" spans="1:19" x14ac:dyDescent="0.3">
      <c r="A527" s="121"/>
      <c r="B527" s="122"/>
      <c r="C527" s="122"/>
      <c r="D527" s="122"/>
      <c r="E527" s="123"/>
      <c r="F527" s="140"/>
      <c r="G527" s="122"/>
      <c r="H527" s="141"/>
      <c r="I527" s="122"/>
      <c r="J527" s="122"/>
      <c r="K527" s="122"/>
      <c r="L527" s="122"/>
      <c r="M527" s="122"/>
      <c r="N527" s="122"/>
      <c r="O527" s="122"/>
      <c r="P527" s="122"/>
      <c r="Q527" s="129"/>
      <c r="R527" s="122"/>
      <c r="S527" s="139"/>
    </row>
    <row r="528" spans="1:19" x14ac:dyDescent="0.3">
      <c r="A528" s="121"/>
      <c r="B528" s="122"/>
      <c r="C528" s="122"/>
      <c r="D528" s="122"/>
      <c r="E528" s="123"/>
      <c r="F528" s="140"/>
      <c r="G528" s="122"/>
      <c r="H528" s="141"/>
      <c r="I528" s="122"/>
      <c r="J528" s="122"/>
      <c r="K528" s="122"/>
      <c r="L528" s="122"/>
      <c r="M528" s="122"/>
      <c r="N528" s="122"/>
      <c r="O528" s="122"/>
      <c r="P528" s="122"/>
      <c r="Q528" s="129"/>
      <c r="R528" s="122"/>
      <c r="S528" s="139"/>
    </row>
    <row r="529" spans="1:19" x14ac:dyDescent="0.3">
      <c r="A529" s="121"/>
      <c r="B529" s="122"/>
      <c r="C529" s="122"/>
      <c r="D529" s="122"/>
      <c r="E529" s="123"/>
      <c r="F529" s="140"/>
      <c r="G529" s="122"/>
      <c r="H529" s="141"/>
      <c r="I529" s="122"/>
      <c r="J529" s="122"/>
      <c r="K529" s="122"/>
      <c r="L529" s="122"/>
      <c r="M529" s="122"/>
      <c r="N529" s="122"/>
      <c r="O529" s="122"/>
      <c r="P529" s="122"/>
      <c r="Q529" s="129"/>
      <c r="R529" s="122"/>
      <c r="S529" s="139"/>
    </row>
    <row r="530" spans="1:19" x14ac:dyDescent="0.3">
      <c r="A530" s="121"/>
      <c r="B530" s="122"/>
      <c r="C530" s="122"/>
      <c r="D530" s="122"/>
      <c r="E530" s="123"/>
      <c r="F530" s="140"/>
      <c r="G530" s="122"/>
      <c r="H530" s="141"/>
      <c r="I530" s="122"/>
      <c r="J530" s="122"/>
      <c r="K530" s="122"/>
      <c r="L530" s="122"/>
      <c r="M530" s="122"/>
      <c r="N530" s="122"/>
      <c r="O530" s="122"/>
      <c r="P530" s="122"/>
      <c r="Q530" s="129"/>
      <c r="R530" s="122"/>
      <c r="S530" s="139"/>
    </row>
    <row r="531" spans="1:19" x14ac:dyDescent="0.3">
      <c r="A531" s="121"/>
      <c r="B531" s="122"/>
      <c r="C531" s="122"/>
      <c r="D531" s="122"/>
      <c r="E531" s="123"/>
      <c r="F531" s="140"/>
      <c r="G531" s="122"/>
      <c r="H531" s="141"/>
      <c r="I531" s="122"/>
      <c r="J531" s="122"/>
      <c r="K531" s="122"/>
      <c r="L531" s="122"/>
      <c r="M531" s="122"/>
      <c r="N531" s="122"/>
      <c r="O531" s="122"/>
      <c r="P531" s="122"/>
      <c r="Q531" s="129"/>
      <c r="R531" s="122"/>
      <c r="S531" s="139"/>
    </row>
    <row r="532" spans="1:19" x14ac:dyDescent="0.3">
      <c r="A532" s="121"/>
      <c r="B532" s="122"/>
      <c r="C532" s="122"/>
      <c r="D532" s="122"/>
      <c r="E532" s="123"/>
      <c r="F532" s="140"/>
      <c r="G532" s="122"/>
      <c r="H532" s="141"/>
      <c r="I532" s="122"/>
      <c r="J532" s="122"/>
      <c r="K532" s="122"/>
      <c r="L532" s="122"/>
      <c r="M532" s="122"/>
      <c r="N532" s="122"/>
      <c r="O532" s="122"/>
      <c r="P532" s="122"/>
      <c r="Q532" s="129"/>
      <c r="R532" s="122"/>
      <c r="S532" s="139"/>
    </row>
    <row r="533" spans="1:19" x14ac:dyDescent="0.3">
      <c r="A533" s="121"/>
      <c r="B533" s="122"/>
      <c r="C533" s="122"/>
      <c r="D533" s="122"/>
      <c r="E533" s="123"/>
      <c r="F533" s="140"/>
      <c r="G533" s="122"/>
      <c r="H533" s="141"/>
      <c r="I533" s="123"/>
      <c r="J533" s="122"/>
      <c r="K533" s="122"/>
      <c r="L533" s="122"/>
      <c r="M533" s="122"/>
      <c r="N533" s="122"/>
      <c r="O533" s="122"/>
      <c r="P533" s="122"/>
      <c r="Q533" s="129"/>
      <c r="R533" s="122"/>
      <c r="S533" s="139"/>
    </row>
    <row r="534" spans="1:19" x14ac:dyDescent="0.3">
      <c r="A534" s="121"/>
      <c r="B534" s="122"/>
      <c r="C534" s="122"/>
      <c r="D534" s="122"/>
      <c r="E534" s="123"/>
      <c r="F534" s="140"/>
      <c r="G534" s="122"/>
      <c r="H534" s="141"/>
      <c r="I534" s="123"/>
      <c r="J534" s="122"/>
      <c r="K534" s="122"/>
      <c r="L534" s="122"/>
      <c r="M534" s="122"/>
      <c r="N534" s="122"/>
      <c r="O534" s="122"/>
      <c r="P534" s="122"/>
      <c r="Q534" s="129"/>
      <c r="R534" s="122"/>
      <c r="S534" s="139"/>
    </row>
    <row r="535" spans="1:19" x14ac:dyDescent="0.3">
      <c r="A535" s="121"/>
      <c r="B535" s="122"/>
      <c r="C535" s="122"/>
      <c r="D535" s="122"/>
      <c r="E535" s="123"/>
      <c r="F535" s="140"/>
      <c r="G535" s="122"/>
      <c r="H535" s="141"/>
      <c r="I535" s="122"/>
      <c r="J535" s="122"/>
      <c r="K535" s="122"/>
      <c r="L535" s="122"/>
      <c r="M535" s="122"/>
      <c r="N535" s="122"/>
      <c r="O535" s="122"/>
      <c r="P535" s="122"/>
      <c r="Q535" s="129"/>
      <c r="R535" s="122"/>
      <c r="S535" s="139"/>
    </row>
    <row r="536" spans="1:19" x14ac:dyDescent="0.3">
      <c r="A536" s="121"/>
      <c r="B536" s="122"/>
      <c r="C536" s="122"/>
      <c r="D536" s="122"/>
      <c r="E536" s="123"/>
      <c r="F536" s="140"/>
      <c r="G536" s="122"/>
      <c r="H536" s="141"/>
      <c r="I536" s="122"/>
      <c r="J536" s="122"/>
      <c r="K536" s="122"/>
      <c r="L536" s="122"/>
      <c r="M536" s="122"/>
      <c r="N536" s="122"/>
      <c r="O536" s="122"/>
      <c r="P536" s="122"/>
      <c r="Q536" s="129"/>
      <c r="R536" s="122"/>
      <c r="S536" s="139"/>
    </row>
    <row r="537" spans="1:19" x14ac:dyDescent="0.3">
      <c r="A537" s="121"/>
      <c r="B537" s="122"/>
      <c r="C537" s="122"/>
      <c r="D537" s="122"/>
      <c r="E537" s="123"/>
      <c r="F537" s="140"/>
      <c r="G537" s="122"/>
      <c r="H537" s="141"/>
      <c r="I537" s="122"/>
      <c r="J537" s="122"/>
      <c r="K537" s="122"/>
      <c r="L537" s="122"/>
      <c r="M537" s="122"/>
      <c r="N537" s="122"/>
      <c r="O537" s="122"/>
      <c r="P537" s="122"/>
      <c r="Q537" s="129"/>
      <c r="R537" s="122"/>
      <c r="S537" s="139"/>
    </row>
    <row r="538" spans="1:19" x14ac:dyDescent="0.3">
      <c r="A538" s="121"/>
      <c r="B538" s="122"/>
      <c r="C538" s="122"/>
      <c r="D538" s="122"/>
      <c r="E538" s="123"/>
      <c r="F538" s="140"/>
      <c r="G538" s="122"/>
      <c r="H538" s="141"/>
      <c r="I538" s="122"/>
      <c r="J538" s="122"/>
      <c r="K538" s="122"/>
      <c r="L538" s="122"/>
      <c r="M538" s="122"/>
      <c r="N538" s="122"/>
      <c r="O538" s="122"/>
      <c r="P538" s="122"/>
      <c r="Q538" s="129"/>
      <c r="R538" s="122"/>
      <c r="S538" s="139"/>
    </row>
    <row r="539" spans="1:19" x14ac:dyDescent="0.3">
      <c r="A539" s="121"/>
      <c r="B539" s="122"/>
      <c r="C539" s="122"/>
      <c r="D539" s="122"/>
      <c r="E539" s="123"/>
      <c r="F539" s="140"/>
      <c r="G539" s="122"/>
      <c r="H539" s="141"/>
      <c r="I539" s="122"/>
      <c r="J539" s="122"/>
      <c r="K539" s="122"/>
      <c r="L539" s="122"/>
      <c r="M539" s="122"/>
      <c r="N539" s="122"/>
      <c r="O539" s="122"/>
      <c r="P539" s="122"/>
      <c r="Q539" s="129"/>
      <c r="R539" s="122"/>
      <c r="S539" s="139"/>
    </row>
    <row r="540" spans="1:19" x14ac:dyDescent="0.3">
      <c r="A540" s="121"/>
      <c r="B540" s="122"/>
      <c r="C540" s="122"/>
      <c r="D540" s="122"/>
      <c r="E540" s="123"/>
      <c r="F540" s="140"/>
      <c r="G540" s="122"/>
      <c r="H540" s="141"/>
      <c r="I540" s="122"/>
      <c r="J540" s="122"/>
      <c r="K540" s="122"/>
      <c r="L540" s="122"/>
      <c r="M540" s="122"/>
      <c r="N540" s="122"/>
      <c r="O540" s="122"/>
      <c r="P540" s="122"/>
      <c r="Q540" s="129"/>
      <c r="R540" s="122"/>
      <c r="S540" s="139"/>
    </row>
    <row r="541" spans="1:19" x14ac:dyDescent="0.3">
      <c r="A541" s="121"/>
      <c r="B541" s="122"/>
      <c r="C541" s="122"/>
      <c r="D541" s="122"/>
      <c r="E541" s="123"/>
      <c r="F541" s="140"/>
      <c r="G541" s="122"/>
      <c r="H541" s="141"/>
      <c r="I541" s="122"/>
      <c r="J541" s="122"/>
      <c r="K541" s="122"/>
      <c r="L541" s="122"/>
      <c r="M541" s="122"/>
      <c r="N541" s="122"/>
      <c r="O541" s="122"/>
      <c r="P541" s="122"/>
      <c r="Q541" s="129"/>
      <c r="R541" s="122"/>
      <c r="S541" s="139"/>
    </row>
    <row r="542" spans="1:19" x14ac:dyDescent="0.3">
      <c r="A542" s="121"/>
      <c r="B542" s="122"/>
      <c r="C542" s="122"/>
      <c r="D542" s="122"/>
      <c r="E542" s="123"/>
      <c r="F542" s="140"/>
      <c r="G542" s="122"/>
      <c r="H542" s="141"/>
      <c r="I542" s="122"/>
      <c r="J542" s="122"/>
      <c r="K542" s="122"/>
      <c r="L542" s="122"/>
      <c r="M542" s="122"/>
      <c r="N542" s="122"/>
      <c r="O542" s="122"/>
      <c r="P542" s="122"/>
      <c r="Q542" s="129"/>
      <c r="R542" s="122"/>
      <c r="S542" s="139"/>
    </row>
    <row r="543" spans="1:19" x14ac:dyDescent="0.3">
      <c r="A543" s="121"/>
      <c r="B543" s="122"/>
      <c r="C543" s="122"/>
      <c r="D543" s="122"/>
      <c r="E543" s="123"/>
      <c r="F543" s="140"/>
      <c r="G543" s="122"/>
      <c r="H543" s="141"/>
      <c r="I543" s="122"/>
      <c r="J543" s="122"/>
      <c r="K543" s="122"/>
      <c r="L543" s="122"/>
      <c r="M543" s="122"/>
      <c r="N543" s="122"/>
      <c r="O543" s="122"/>
      <c r="P543" s="122"/>
      <c r="Q543" s="129"/>
      <c r="R543" s="122"/>
      <c r="S543" s="139"/>
    </row>
    <row r="544" spans="1:19" x14ac:dyDescent="0.3">
      <c r="A544" s="121"/>
      <c r="B544" s="122"/>
      <c r="C544" s="122"/>
      <c r="D544" s="122"/>
      <c r="E544" s="123"/>
      <c r="F544" s="140"/>
      <c r="G544" s="122"/>
      <c r="H544" s="141"/>
      <c r="I544" s="122"/>
      <c r="J544" s="122"/>
      <c r="K544" s="122"/>
      <c r="L544" s="122"/>
      <c r="M544" s="122"/>
      <c r="N544" s="122"/>
      <c r="O544" s="122"/>
      <c r="P544" s="122"/>
      <c r="Q544" s="129"/>
      <c r="R544" s="122"/>
      <c r="S544" s="139"/>
    </row>
    <row r="545" spans="1:19" x14ac:dyDescent="0.3">
      <c r="A545" s="121"/>
      <c r="B545" s="122"/>
      <c r="C545" s="122"/>
      <c r="D545" s="122"/>
      <c r="E545" s="123"/>
      <c r="F545" s="140"/>
      <c r="G545" s="122"/>
      <c r="H545" s="141"/>
      <c r="I545" s="122"/>
      <c r="J545" s="122"/>
      <c r="K545" s="122"/>
      <c r="L545" s="122"/>
      <c r="M545" s="122"/>
      <c r="N545" s="122"/>
      <c r="O545" s="122"/>
      <c r="P545" s="122"/>
      <c r="Q545" s="129"/>
      <c r="R545" s="122"/>
      <c r="S545" s="139"/>
    </row>
    <row r="546" spans="1:19" x14ac:dyDescent="0.3">
      <c r="A546" s="121"/>
      <c r="B546" s="122"/>
      <c r="C546" s="122"/>
      <c r="D546" s="122"/>
      <c r="E546" s="123"/>
      <c r="F546" s="140"/>
      <c r="G546" s="122"/>
      <c r="H546" s="141"/>
      <c r="I546" s="122"/>
      <c r="J546" s="122"/>
      <c r="K546" s="122"/>
      <c r="L546" s="122"/>
      <c r="M546" s="122"/>
      <c r="N546" s="122"/>
      <c r="O546" s="122"/>
      <c r="P546" s="122"/>
      <c r="Q546" s="129"/>
      <c r="R546" s="122"/>
      <c r="S546" s="139"/>
    </row>
    <row r="547" spans="1:19" x14ac:dyDescent="0.3">
      <c r="A547" s="121"/>
      <c r="B547" s="122"/>
      <c r="C547" s="122"/>
      <c r="D547" s="122"/>
      <c r="E547" s="123"/>
      <c r="F547" s="140"/>
      <c r="G547" s="122"/>
      <c r="H547" s="141"/>
      <c r="I547" s="122"/>
      <c r="J547" s="122"/>
      <c r="K547" s="122"/>
      <c r="L547" s="122"/>
      <c r="M547" s="122"/>
      <c r="N547" s="122"/>
      <c r="O547" s="122"/>
      <c r="P547" s="122"/>
      <c r="Q547" s="129"/>
      <c r="R547" s="122"/>
      <c r="S547" s="139"/>
    </row>
    <row r="548" spans="1:19" x14ac:dyDescent="0.3">
      <c r="A548" s="121"/>
      <c r="B548" s="122"/>
      <c r="C548" s="122"/>
      <c r="D548" s="122"/>
      <c r="E548" s="123"/>
      <c r="F548" s="140"/>
      <c r="G548" s="122"/>
      <c r="H548" s="141"/>
      <c r="I548" s="122"/>
      <c r="J548" s="122"/>
      <c r="K548" s="122"/>
      <c r="L548" s="122"/>
      <c r="M548" s="122"/>
      <c r="N548" s="122"/>
      <c r="O548" s="122"/>
      <c r="P548" s="122"/>
      <c r="Q548" s="129"/>
      <c r="R548" s="122"/>
      <c r="S548" s="139"/>
    </row>
    <row r="549" spans="1:19" x14ac:dyDescent="0.3">
      <c r="A549" s="121"/>
      <c r="B549" s="122"/>
      <c r="C549" s="122"/>
      <c r="D549" s="122"/>
      <c r="E549" s="123"/>
      <c r="F549" s="140"/>
      <c r="G549" s="122"/>
      <c r="H549" s="141"/>
      <c r="I549" s="122"/>
      <c r="J549" s="122"/>
      <c r="K549" s="122"/>
      <c r="L549" s="122"/>
      <c r="M549" s="122"/>
      <c r="N549" s="122"/>
      <c r="O549" s="122"/>
      <c r="P549" s="122"/>
      <c r="Q549" s="129"/>
      <c r="R549" s="122"/>
      <c r="S549" s="139"/>
    </row>
    <row r="550" spans="1:19" x14ac:dyDescent="0.3">
      <c r="A550" s="121"/>
      <c r="B550" s="122"/>
      <c r="C550" s="122"/>
      <c r="D550" s="122"/>
      <c r="E550" s="123"/>
      <c r="F550" s="140"/>
      <c r="G550" s="122"/>
      <c r="H550" s="141"/>
      <c r="I550" s="122"/>
      <c r="J550" s="122"/>
      <c r="K550" s="122"/>
      <c r="L550" s="122"/>
      <c r="M550" s="122"/>
      <c r="N550" s="122"/>
      <c r="O550" s="122"/>
      <c r="P550" s="122"/>
      <c r="Q550" s="129"/>
      <c r="R550" s="122"/>
      <c r="S550" s="139"/>
    </row>
    <row r="551" spans="1:19" x14ac:dyDescent="0.3">
      <c r="A551" s="121"/>
      <c r="B551" s="122"/>
      <c r="C551" s="122"/>
      <c r="D551" s="122"/>
      <c r="E551" s="123"/>
      <c r="F551" s="140"/>
      <c r="G551" s="122"/>
      <c r="H551" s="141"/>
      <c r="I551" s="123"/>
      <c r="J551" s="122"/>
      <c r="K551" s="122"/>
      <c r="L551" s="122"/>
      <c r="M551" s="122"/>
      <c r="N551" s="122"/>
      <c r="O551" s="122"/>
      <c r="P551" s="122"/>
      <c r="Q551" s="129"/>
      <c r="R551" s="122"/>
      <c r="S551" s="139"/>
    </row>
    <row r="552" spans="1:19" x14ac:dyDescent="0.3">
      <c r="D552" s="2"/>
      <c r="E552" s="2"/>
      <c r="F552"/>
      <c r="O552"/>
      <c r="P552"/>
      <c r="Q552"/>
    </row>
    <row r="553" spans="1:19" x14ac:dyDescent="0.3">
      <c r="D553" s="2"/>
      <c r="E553" s="2"/>
      <c r="F553"/>
      <c r="O553"/>
      <c r="P553"/>
      <c r="Q553"/>
    </row>
    <row r="554" spans="1:19" x14ac:dyDescent="0.3">
      <c r="D554" s="2"/>
      <c r="E554" s="2"/>
      <c r="F554"/>
      <c r="O554"/>
      <c r="P554"/>
      <c r="Q554"/>
    </row>
    <row r="555" spans="1:19" x14ac:dyDescent="0.3">
      <c r="D555" s="2"/>
      <c r="E555" s="2"/>
      <c r="F555">
        <f>SUBTOTAL(9,F2:F517)</f>
        <v>0</v>
      </c>
      <c r="H555">
        <f>SUBTOTAL(9,H2:H517)</f>
        <v>3479797945</v>
      </c>
      <c r="O555"/>
      <c r="P555"/>
      <c r="Q555"/>
    </row>
    <row r="556" spans="1:19" x14ac:dyDescent="0.3">
      <c r="D556" s="2"/>
      <c r="E556" s="2"/>
      <c r="F556"/>
      <c r="H556">
        <f>+F555-H555</f>
        <v>-3479797945</v>
      </c>
      <c r="O556"/>
      <c r="P556"/>
      <c r="Q556"/>
    </row>
    <row r="557" spans="1:19" x14ac:dyDescent="0.3">
      <c r="D557" s="2"/>
      <c r="E557" s="2"/>
      <c r="F557"/>
      <c r="O557"/>
      <c r="P557"/>
      <c r="Q557"/>
    </row>
    <row r="558" spans="1:19" x14ac:dyDescent="0.3">
      <c r="D558" s="2"/>
      <c r="E558" s="2"/>
      <c r="F558"/>
      <c r="O558"/>
      <c r="P558"/>
      <c r="Q558"/>
    </row>
    <row r="559" spans="1:19" x14ac:dyDescent="0.3">
      <c r="D559" s="2"/>
      <c r="E559" s="2"/>
      <c r="F559"/>
      <c r="O559"/>
      <c r="P559"/>
      <c r="Q559"/>
    </row>
    <row r="560" spans="1:19" x14ac:dyDescent="0.3">
      <c r="D560" s="2"/>
      <c r="E560" s="2"/>
      <c r="F560"/>
      <c r="O560"/>
      <c r="P560"/>
      <c r="Q560"/>
    </row>
    <row r="561" spans="4:17" x14ac:dyDescent="0.3">
      <c r="D561" s="2"/>
      <c r="E561" s="2"/>
      <c r="F561"/>
      <c r="O561"/>
      <c r="P561"/>
      <c r="Q561"/>
    </row>
    <row r="562" spans="4:17" x14ac:dyDescent="0.3">
      <c r="D562" s="2"/>
      <c r="E562" s="2"/>
      <c r="F562"/>
      <c r="O562"/>
      <c r="P562"/>
      <c r="Q562"/>
    </row>
    <row r="563" spans="4:17" x14ac:dyDescent="0.3">
      <c r="D563" s="2"/>
      <c r="E563" s="2"/>
      <c r="F563"/>
      <c r="O563"/>
      <c r="P563"/>
      <c r="Q563"/>
    </row>
    <row r="564" spans="4:17" x14ac:dyDescent="0.3">
      <c r="D564" s="2"/>
      <c r="E564" s="2"/>
      <c r="F564"/>
      <c r="O564"/>
      <c r="P564"/>
      <c r="Q564"/>
    </row>
    <row r="565" spans="4:17" x14ac:dyDescent="0.3">
      <c r="D565" s="2"/>
      <c r="E565" s="2"/>
      <c r="F565"/>
      <c r="O565"/>
      <c r="P565"/>
      <c r="Q565"/>
    </row>
    <row r="566" spans="4:17" x14ac:dyDescent="0.3">
      <c r="D566" s="2"/>
      <c r="E566" s="2"/>
      <c r="F566"/>
      <c r="O566"/>
      <c r="P566"/>
      <c r="Q566"/>
    </row>
    <row r="567" spans="4:17" x14ac:dyDescent="0.3">
      <c r="D567" s="2"/>
      <c r="E567" s="2"/>
      <c r="F567"/>
      <c r="O567"/>
      <c r="P567"/>
      <c r="Q567"/>
    </row>
    <row r="568" spans="4:17" x14ac:dyDescent="0.3">
      <c r="D568" s="2"/>
      <c r="E568" s="2"/>
      <c r="F568"/>
      <c r="O568"/>
      <c r="P568"/>
      <c r="Q568"/>
    </row>
    <row r="569" spans="4:17" x14ac:dyDescent="0.3">
      <c r="D569" s="2"/>
      <c r="E569" s="2"/>
      <c r="F569"/>
      <c r="O569"/>
      <c r="P569"/>
      <c r="Q569"/>
    </row>
    <row r="570" spans="4:17" x14ac:dyDescent="0.3">
      <c r="D570" s="2"/>
      <c r="E570" s="2"/>
      <c r="F570"/>
      <c r="O570"/>
      <c r="P570"/>
      <c r="Q570"/>
    </row>
    <row r="571" spans="4:17" x14ac:dyDescent="0.3">
      <c r="D571" s="2"/>
      <c r="E571" s="2"/>
      <c r="F571"/>
      <c r="O571"/>
      <c r="P571"/>
      <c r="Q571"/>
    </row>
    <row r="572" spans="4:17" x14ac:dyDescent="0.3">
      <c r="D572" s="2"/>
      <c r="E572" s="2"/>
      <c r="F572"/>
      <c r="O572"/>
      <c r="P572"/>
      <c r="Q572"/>
    </row>
    <row r="573" spans="4:17" x14ac:dyDescent="0.3">
      <c r="D573" s="2"/>
      <c r="E573" s="2"/>
      <c r="F573"/>
      <c r="O573"/>
      <c r="P573"/>
      <c r="Q573"/>
    </row>
    <row r="574" spans="4:17" x14ac:dyDescent="0.3">
      <c r="D574" s="2"/>
      <c r="E574" s="2"/>
      <c r="F574"/>
      <c r="O574"/>
      <c r="P574"/>
      <c r="Q574"/>
    </row>
    <row r="575" spans="4:17" x14ac:dyDescent="0.3">
      <c r="D575" s="2"/>
      <c r="E575" s="2"/>
      <c r="F575"/>
      <c r="O575"/>
      <c r="P575"/>
      <c r="Q575"/>
    </row>
    <row r="576" spans="4:17" x14ac:dyDescent="0.3">
      <c r="D576" s="2"/>
      <c r="E576" s="2"/>
      <c r="F576"/>
      <c r="O576"/>
      <c r="P576"/>
      <c r="Q576"/>
    </row>
    <row r="577" spans="4:17" x14ac:dyDescent="0.3">
      <c r="D577" s="2"/>
      <c r="E577" s="2"/>
      <c r="F577"/>
      <c r="O577"/>
      <c r="P577"/>
      <c r="Q577"/>
    </row>
    <row r="578" spans="4:17" x14ac:dyDescent="0.3">
      <c r="D578" s="2"/>
      <c r="E578" s="2"/>
      <c r="F578"/>
      <c r="O578"/>
      <c r="P578"/>
      <c r="Q578"/>
    </row>
    <row r="579" spans="4:17" x14ac:dyDescent="0.3">
      <c r="D579" s="2"/>
      <c r="E579" s="2"/>
      <c r="F579"/>
      <c r="O579"/>
      <c r="P579"/>
      <c r="Q579"/>
    </row>
    <row r="580" spans="4:17" x14ac:dyDescent="0.3">
      <c r="D580" s="2"/>
      <c r="E580" s="2"/>
      <c r="F580"/>
      <c r="O580"/>
      <c r="P580"/>
      <c r="Q580"/>
    </row>
    <row r="581" spans="4:17" x14ac:dyDescent="0.3">
      <c r="D581" s="2"/>
      <c r="E581" s="2"/>
      <c r="F581"/>
      <c r="O581"/>
      <c r="P581"/>
      <c r="Q581"/>
    </row>
    <row r="582" spans="4:17" x14ac:dyDescent="0.3">
      <c r="D582" s="2"/>
      <c r="E582" s="2"/>
      <c r="F582"/>
      <c r="O582"/>
      <c r="P582"/>
      <c r="Q582"/>
    </row>
    <row r="583" spans="4:17" x14ac:dyDescent="0.3">
      <c r="D583" s="2"/>
      <c r="E583" s="2"/>
      <c r="F583"/>
      <c r="O583"/>
      <c r="P583"/>
      <c r="Q583"/>
    </row>
    <row r="584" spans="4:17" x14ac:dyDescent="0.3">
      <c r="D584" s="2"/>
      <c r="E584" s="2"/>
      <c r="F584"/>
      <c r="O584"/>
      <c r="P584"/>
      <c r="Q584"/>
    </row>
    <row r="585" spans="4:17" x14ac:dyDescent="0.3">
      <c r="D585" s="2"/>
      <c r="E585" s="2"/>
      <c r="F585"/>
      <c r="O585"/>
      <c r="P585"/>
      <c r="Q585"/>
    </row>
    <row r="586" spans="4:17" x14ac:dyDescent="0.3">
      <c r="D586" s="2"/>
      <c r="E586" s="2"/>
      <c r="F586"/>
      <c r="O586"/>
      <c r="P586"/>
      <c r="Q586"/>
    </row>
    <row r="587" spans="4:17" x14ac:dyDescent="0.3">
      <c r="D587" s="2"/>
      <c r="E587" s="2"/>
      <c r="F587"/>
      <c r="O587"/>
      <c r="P587"/>
      <c r="Q587"/>
    </row>
    <row r="588" spans="4:17" x14ac:dyDescent="0.3">
      <c r="D588" s="2"/>
      <c r="E588" s="2"/>
      <c r="F588"/>
      <c r="O588"/>
      <c r="P588"/>
      <c r="Q588"/>
    </row>
    <row r="589" spans="4:17" x14ac:dyDescent="0.3">
      <c r="D589" s="2"/>
      <c r="E589" s="2"/>
      <c r="F589"/>
      <c r="O589"/>
      <c r="P589"/>
      <c r="Q589"/>
    </row>
    <row r="590" spans="4:17" x14ac:dyDescent="0.3">
      <c r="D590" s="2"/>
      <c r="E590" s="2"/>
      <c r="F590"/>
      <c r="O590"/>
      <c r="P590"/>
      <c r="Q590"/>
    </row>
    <row r="591" spans="4:17" x14ac:dyDescent="0.3">
      <c r="D591" s="2"/>
      <c r="E591" s="2"/>
      <c r="F591"/>
      <c r="O591"/>
      <c r="P591"/>
      <c r="Q591"/>
    </row>
    <row r="592" spans="4:17" x14ac:dyDescent="0.3">
      <c r="D592" s="2"/>
      <c r="E592" s="2"/>
      <c r="F592"/>
      <c r="O592"/>
      <c r="P592"/>
      <c r="Q592"/>
    </row>
    <row r="593" spans="4:17" x14ac:dyDescent="0.3">
      <c r="D593" s="2"/>
      <c r="E593" s="2"/>
      <c r="F593"/>
      <c r="O593"/>
      <c r="P593"/>
      <c r="Q593"/>
    </row>
    <row r="594" spans="4:17" x14ac:dyDescent="0.3">
      <c r="D594" s="2"/>
      <c r="E594" s="2"/>
      <c r="F594"/>
      <c r="O594"/>
      <c r="P594"/>
      <c r="Q594"/>
    </row>
    <row r="595" spans="4:17" x14ac:dyDescent="0.3">
      <c r="D595" s="2"/>
      <c r="E595" s="2"/>
      <c r="F595"/>
      <c r="O595"/>
      <c r="P595"/>
      <c r="Q595"/>
    </row>
    <row r="596" spans="4:17" x14ac:dyDescent="0.3">
      <c r="D596" s="2"/>
      <c r="E596" s="2"/>
      <c r="F596"/>
      <c r="O596"/>
      <c r="P596"/>
      <c r="Q596"/>
    </row>
    <row r="597" spans="4:17" x14ac:dyDescent="0.3">
      <c r="D597" s="2"/>
      <c r="E597" s="2"/>
      <c r="F597"/>
      <c r="O597"/>
      <c r="P597"/>
      <c r="Q597"/>
    </row>
    <row r="598" spans="4:17" x14ac:dyDescent="0.3">
      <c r="D598" s="2"/>
      <c r="E598" s="2"/>
      <c r="F598"/>
      <c r="O598"/>
      <c r="P598"/>
      <c r="Q598"/>
    </row>
    <row r="599" spans="4:17" x14ac:dyDescent="0.3">
      <c r="D599" s="2"/>
      <c r="E599" s="2"/>
      <c r="F599"/>
      <c r="O599"/>
      <c r="P599"/>
      <c r="Q599"/>
    </row>
    <row r="600" spans="4:17" x14ac:dyDescent="0.3">
      <c r="D600" s="2"/>
      <c r="E600" s="2"/>
      <c r="F600"/>
      <c r="O600"/>
      <c r="P600"/>
      <c r="Q600"/>
    </row>
    <row r="601" spans="4:17" x14ac:dyDescent="0.3">
      <c r="D601" s="2"/>
      <c r="E601" s="2"/>
      <c r="F601"/>
      <c r="O601"/>
      <c r="P601"/>
      <c r="Q601"/>
    </row>
    <row r="602" spans="4:17" x14ac:dyDescent="0.3">
      <c r="D602" s="2"/>
      <c r="E602" s="2"/>
      <c r="F602"/>
      <c r="O602"/>
      <c r="P602"/>
      <c r="Q602"/>
    </row>
    <row r="603" spans="4:17" x14ac:dyDescent="0.3">
      <c r="D603" s="2"/>
      <c r="E603" s="2"/>
      <c r="F603"/>
      <c r="O603"/>
      <c r="P603"/>
      <c r="Q603"/>
    </row>
    <row r="604" spans="4:17" x14ac:dyDescent="0.3">
      <c r="D604" s="2"/>
      <c r="E604" s="2"/>
      <c r="F604"/>
      <c r="O604"/>
      <c r="P604"/>
      <c r="Q604"/>
    </row>
    <row r="605" spans="4:17" x14ac:dyDescent="0.3">
      <c r="D605" s="2"/>
      <c r="E605" s="2"/>
      <c r="F605"/>
      <c r="O605"/>
      <c r="P605"/>
      <c r="Q605"/>
    </row>
    <row r="606" spans="4:17" x14ac:dyDescent="0.3">
      <c r="D606" s="2"/>
      <c r="E606" s="2"/>
      <c r="F606"/>
      <c r="O606"/>
      <c r="P606"/>
      <c r="Q606"/>
    </row>
    <row r="607" spans="4:17" x14ac:dyDescent="0.3">
      <c r="D607" s="2"/>
      <c r="E607" s="2"/>
      <c r="F607"/>
      <c r="O607"/>
      <c r="P607"/>
      <c r="Q607"/>
    </row>
    <row r="608" spans="4:17" x14ac:dyDescent="0.3">
      <c r="D608" s="2"/>
      <c r="E608" s="2"/>
      <c r="F608"/>
      <c r="O608"/>
      <c r="P608"/>
      <c r="Q608"/>
    </row>
    <row r="609" spans="4:17" x14ac:dyDescent="0.3">
      <c r="D609" s="2"/>
      <c r="E609" s="2"/>
      <c r="F609"/>
      <c r="O609"/>
      <c r="P609"/>
      <c r="Q609"/>
    </row>
    <row r="610" spans="4:17" x14ac:dyDescent="0.3">
      <c r="D610" s="2"/>
      <c r="E610" s="2"/>
      <c r="F610"/>
      <c r="O610"/>
      <c r="P610"/>
      <c r="Q610"/>
    </row>
    <row r="611" spans="4:17" x14ac:dyDescent="0.3">
      <c r="D611" s="2"/>
      <c r="E611" s="2"/>
      <c r="F611"/>
      <c r="O611"/>
      <c r="P611"/>
      <c r="Q611"/>
    </row>
    <row r="612" spans="4:17" x14ac:dyDescent="0.3">
      <c r="D612" s="2"/>
      <c r="E612" s="2"/>
      <c r="F612"/>
      <c r="O612"/>
      <c r="P612"/>
      <c r="Q612"/>
    </row>
    <row r="613" spans="4:17" x14ac:dyDescent="0.3">
      <c r="D613" s="2"/>
      <c r="E613" s="2"/>
      <c r="F613"/>
      <c r="O613"/>
      <c r="P613"/>
      <c r="Q613"/>
    </row>
    <row r="614" spans="4:17" x14ac:dyDescent="0.3">
      <c r="D614" s="2"/>
      <c r="E614" s="2"/>
      <c r="F614"/>
      <c r="O614"/>
      <c r="P614"/>
      <c r="Q614"/>
    </row>
    <row r="615" spans="4:17" x14ac:dyDescent="0.3">
      <c r="D615" s="2"/>
      <c r="E615" s="2"/>
      <c r="F615"/>
      <c r="O615"/>
      <c r="P615"/>
      <c r="Q615"/>
    </row>
    <row r="616" spans="4:17" x14ac:dyDescent="0.3">
      <c r="D616" s="2"/>
      <c r="E616" s="2"/>
      <c r="F616"/>
      <c r="O616"/>
      <c r="P616"/>
      <c r="Q616"/>
    </row>
    <row r="617" spans="4:17" x14ac:dyDescent="0.3">
      <c r="D617" s="2"/>
      <c r="E617" s="2"/>
      <c r="F617"/>
      <c r="O617"/>
      <c r="P617"/>
      <c r="Q617"/>
    </row>
    <row r="618" spans="4:17" x14ac:dyDescent="0.3">
      <c r="D618" s="2"/>
      <c r="E618" s="2"/>
      <c r="F618"/>
      <c r="O618"/>
      <c r="P618"/>
      <c r="Q618"/>
    </row>
    <row r="619" spans="4:17" x14ac:dyDescent="0.3">
      <c r="D619" s="2"/>
      <c r="E619" s="2"/>
      <c r="F619"/>
      <c r="O619"/>
      <c r="P619"/>
      <c r="Q619"/>
    </row>
    <row r="620" spans="4:17" x14ac:dyDescent="0.3">
      <c r="D620" s="2"/>
      <c r="E620" s="2"/>
      <c r="F620"/>
      <c r="O620"/>
      <c r="P620"/>
      <c r="Q620"/>
    </row>
    <row r="621" spans="4:17" x14ac:dyDescent="0.3">
      <c r="D621" s="2"/>
      <c r="E621" s="2"/>
      <c r="F621"/>
      <c r="O621"/>
      <c r="P621"/>
      <c r="Q621"/>
    </row>
    <row r="622" spans="4:17" x14ac:dyDescent="0.3">
      <c r="D622" s="2"/>
      <c r="E622" s="2"/>
      <c r="F622"/>
      <c r="O622"/>
      <c r="P622"/>
      <c r="Q622"/>
    </row>
    <row r="623" spans="4:17" x14ac:dyDescent="0.3">
      <c r="D623" s="2"/>
      <c r="E623" s="2"/>
      <c r="F623"/>
      <c r="O623"/>
      <c r="P623"/>
      <c r="Q623"/>
    </row>
    <row r="624" spans="4:17" x14ac:dyDescent="0.3">
      <c r="D624" s="2"/>
      <c r="E624" s="2"/>
      <c r="F624"/>
      <c r="O624"/>
      <c r="P624"/>
      <c r="Q624"/>
    </row>
    <row r="625" spans="4:17" x14ac:dyDescent="0.3">
      <c r="D625" s="2"/>
      <c r="E625" s="2"/>
      <c r="F625"/>
      <c r="O625"/>
      <c r="P625"/>
      <c r="Q625"/>
    </row>
    <row r="626" spans="4:17" x14ac:dyDescent="0.3">
      <c r="D626" s="2"/>
      <c r="E626" s="2"/>
      <c r="F626"/>
      <c r="O626"/>
      <c r="P626"/>
      <c r="Q626"/>
    </row>
    <row r="627" spans="4:17" x14ac:dyDescent="0.3">
      <c r="D627" s="2"/>
      <c r="E627" s="2"/>
      <c r="F627"/>
      <c r="O627"/>
      <c r="P627"/>
      <c r="Q627"/>
    </row>
    <row r="628" spans="4:17" x14ac:dyDescent="0.3">
      <c r="D628" s="2"/>
      <c r="E628" s="2"/>
      <c r="F628"/>
      <c r="O628"/>
      <c r="P628"/>
      <c r="Q628"/>
    </row>
    <row r="629" spans="4:17" x14ac:dyDescent="0.3">
      <c r="D629" s="2"/>
      <c r="E629" s="2"/>
      <c r="F629"/>
      <c r="O629"/>
      <c r="P629"/>
      <c r="Q629"/>
    </row>
    <row r="630" spans="4:17" x14ac:dyDescent="0.3">
      <c r="D630" s="2"/>
      <c r="E630" s="2"/>
      <c r="F630"/>
      <c r="O630"/>
      <c r="P630"/>
      <c r="Q630"/>
    </row>
    <row r="631" spans="4:17" x14ac:dyDescent="0.3">
      <c r="D631" s="2"/>
      <c r="E631" s="2"/>
      <c r="F631"/>
      <c r="O631"/>
      <c r="P631"/>
      <c r="Q631"/>
    </row>
    <row r="632" spans="4:17" x14ac:dyDescent="0.3">
      <c r="D632" s="2"/>
      <c r="E632" s="2"/>
      <c r="F632"/>
      <c r="O632"/>
      <c r="P632"/>
      <c r="Q632"/>
    </row>
    <row r="633" spans="4:17" x14ac:dyDescent="0.3">
      <c r="D633" s="2"/>
      <c r="E633" s="2"/>
      <c r="F633"/>
      <c r="O633"/>
      <c r="P633"/>
      <c r="Q633"/>
    </row>
    <row r="634" spans="4:17" x14ac:dyDescent="0.3">
      <c r="D634" s="2"/>
      <c r="E634" s="2"/>
      <c r="F634"/>
      <c r="O634"/>
      <c r="P634"/>
      <c r="Q634"/>
    </row>
    <row r="635" spans="4:17" x14ac:dyDescent="0.3">
      <c r="D635" s="2"/>
      <c r="E635" s="2"/>
      <c r="F635"/>
      <c r="O635"/>
      <c r="P635"/>
      <c r="Q635"/>
    </row>
    <row r="636" spans="4:17" x14ac:dyDescent="0.3">
      <c r="D636" s="2"/>
      <c r="E636" s="2"/>
      <c r="F636"/>
      <c r="O636"/>
      <c r="P636"/>
      <c r="Q636"/>
    </row>
    <row r="637" spans="4:17" x14ac:dyDescent="0.3">
      <c r="D637" s="2"/>
      <c r="E637" s="2"/>
      <c r="F637"/>
      <c r="O637"/>
      <c r="P637"/>
      <c r="Q637"/>
    </row>
    <row r="638" spans="4:17" x14ac:dyDescent="0.3">
      <c r="D638" s="2"/>
      <c r="E638" s="2"/>
      <c r="F638"/>
      <c r="O638"/>
      <c r="P638"/>
      <c r="Q638"/>
    </row>
    <row r="639" spans="4:17" x14ac:dyDescent="0.3">
      <c r="D639" s="2"/>
      <c r="E639" s="2"/>
      <c r="F639"/>
      <c r="O639"/>
      <c r="P639"/>
      <c r="Q639"/>
    </row>
    <row r="640" spans="4:17" x14ac:dyDescent="0.3">
      <c r="D640" s="2"/>
      <c r="E640" s="2"/>
      <c r="F640"/>
      <c r="O640"/>
      <c r="P640"/>
      <c r="Q640"/>
    </row>
    <row r="641" spans="4:17" x14ac:dyDescent="0.3">
      <c r="D641" s="2"/>
      <c r="E641" s="2"/>
      <c r="F641"/>
      <c r="O641"/>
      <c r="P641"/>
      <c r="Q641"/>
    </row>
    <row r="642" spans="4:17" x14ac:dyDescent="0.3">
      <c r="D642" s="2"/>
      <c r="E642" s="2"/>
      <c r="F642"/>
      <c r="O642"/>
      <c r="P642"/>
      <c r="Q642"/>
    </row>
    <row r="643" spans="4:17" x14ac:dyDescent="0.3">
      <c r="D643" s="2"/>
      <c r="E643" s="2"/>
      <c r="F643"/>
      <c r="O643"/>
      <c r="P643"/>
      <c r="Q643"/>
    </row>
    <row r="644" spans="4:17" x14ac:dyDescent="0.3">
      <c r="D644" s="2"/>
      <c r="E644" s="2"/>
      <c r="F644"/>
      <c r="O644"/>
      <c r="P644"/>
      <c r="Q644"/>
    </row>
    <row r="645" spans="4:17" x14ac:dyDescent="0.3">
      <c r="D645" s="2"/>
      <c r="E645" s="2"/>
      <c r="F645"/>
      <c r="O645"/>
      <c r="P645"/>
      <c r="Q645"/>
    </row>
    <row r="646" spans="4:17" x14ac:dyDescent="0.3">
      <c r="D646" s="2"/>
      <c r="E646" s="2"/>
      <c r="F646"/>
      <c r="O646"/>
      <c r="P646"/>
      <c r="Q646"/>
    </row>
    <row r="647" spans="4:17" x14ac:dyDescent="0.3">
      <c r="D647" s="2"/>
      <c r="E647" s="2"/>
      <c r="F647"/>
      <c r="O647"/>
      <c r="P647"/>
      <c r="Q647"/>
    </row>
    <row r="648" spans="4:17" x14ac:dyDescent="0.3">
      <c r="D648" s="2"/>
      <c r="E648" s="2"/>
      <c r="F648"/>
      <c r="O648"/>
      <c r="P648"/>
      <c r="Q648"/>
    </row>
    <row r="649" spans="4:17" x14ac:dyDescent="0.3">
      <c r="D649" s="2"/>
      <c r="E649" s="2"/>
      <c r="F649"/>
      <c r="O649"/>
      <c r="P649"/>
      <c r="Q649"/>
    </row>
    <row r="650" spans="4:17" x14ac:dyDescent="0.3">
      <c r="D650" s="2"/>
      <c r="E650" s="2"/>
      <c r="F650"/>
      <c r="O650"/>
      <c r="P650"/>
      <c r="Q650"/>
    </row>
    <row r="651" spans="4:17" x14ac:dyDescent="0.3">
      <c r="D651" s="2"/>
      <c r="E651" s="2"/>
      <c r="F651"/>
      <c r="O651"/>
      <c r="P651"/>
      <c r="Q651"/>
    </row>
    <row r="652" spans="4:17" x14ac:dyDescent="0.3">
      <c r="D652" s="2"/>
      <c r="E652" s="2"/>
      <c r="F652"/>
      <c r="O652"/>
      <c r="P652"/>
      <c r="Q652"/>
    </row>
    <row r="653" spans="4:17" x14ac:dyDescent="0.3">
      <c r="D653" s="2"/>
      <c r="E653" s="2"/>
      <c r="F653"/>
      <c r="O653"/>
      <c r="P653"/>
      <c r="Q653"/>
    </row>
    <row r="654" spans="4:17" x14ac:dyDescent="0.3">
      <c r="D654" s="2"/>
      <c r="E654" s="2"/>
      <c r="F654"/>
      <c r="O654"/>
      <c r="P654"/>
      <c r="Q654"/>
    </row>
    <row r="655" spans="4:17" x14ac:dyDescent="0.3">
      <c r="D655" s="2"/>
      <c r="E655" s="2"/>
      <c r="F655"/>
      <c r="O655"/>
      <c r="P655"/>
      <c r="Q655"/>
    </row>
    <row r="656" spans="4:17" x14ac:dyDescent="0.3">
      <c r="D656" s="2"/>
      <c r="E656" s="2"/>
      <c r="F656"/>
      <c r="O656"/>
      <c r="P656"/>
      <c r="Q656"/>
    </row>
    <row r="657" spans="4:17" x14ac:dyDescent="0.3">
      <c r="D657" s="2"/>
      <c r="E657" s="2"/>
      <c r="F657"/>
      <c r="O657"/>
      <c r="P657"/>
      <c r="Q657"/>
    </row>
    <row r="658" spans="4:17" x14ac:dyDescent="0.3">
      <c r="D658" s="2"/>
      <c r="E658" s="2"/>
      <c r="F658"/>
      <c r="O658"/>
      <c r="P658"/>
      <c r="Q658"/>
    </row>
    <row r="659" spans="4:17" x14ac:dyDescent="0.3">
      <c r="D659" s="2"/>
      <c r="E659" s="2"/>
      <c r="F659"/>
      <c r="O659"/>
      <c r="P659"/>
      <c r="Q659"/>
    </row>
    <row r="660" spans="4:17" x14ac:dyDescent="0.3">
      <c r="D660" s="2"/>
      <c r="E660" s="2"/>
      <c r="F660"/>
      <c r="O660"/>
      <c r="P660"/>
      <c r="Q660"/>
    </row>
    <row r="661" spans="4:17" x14ac:dyDescent="0.3">
      <c r="D661" s="2"/>
      <c r="E661" s="2"/>
      <c r="F661"/>
      <c r="O661"/>
      <c r="P661"/>
      <c r="Q661"/>
    </row>
    <row r="662" spans="4:17" x14ac:dyDescent="0.3">
      <c r="D662" s="2"/>
      <c r="E662" s="2"/>
      <c r="F662"/>
      <c r="O662"/>
      <c r="P662"/>
      <c r="Q662"/>
    </row>
    <row r="663" spans="4:17" x14ac:dyDescent="0.3">
      <c r="D663" s="2"/>
      <c r="E663" s="2"/>
      <c r="F663"/>
      <c r="O663"/>
      <c r="P663"/>
      <c r="Q663"/>
    </row>
    <row r="664" spans="4:17" x14ac:dyDescent="0.3">
      <c r="D664" s="2"/>
      <c r="E664" s="2"/>
      <c r="F664"/>
      <c r="O664"/>
      <c r="P664"/>
      <c r="Q664"/>
    </row>
    <row r="665" spans="4:17" x14ac:dyDescent="0.3">
      <c r="D665" s="2"/>
      <c r="E665" s="2"/>
      <c r="F665"/>
      <c r="O665"/>
      <c r="P665"/>
      <c r="Q665"/>
    </row>
    <row r="666" spans="4:17" x14ac:dyDescent="0.3">
      <c r="D666" s="2"/>
      <c r="E666" s="2"/>
      <c r="F666"/>
      <c r="O666"/>
      <c r="P666"/>
      <c r="Q666"/>
    </row>
    <row r="667" spans="4:17" x14ac:dyDescent="0.3">
      <c r="D667" s="2"/>
      <c r="E667" s="2"/>
      <c r="F667"/>
      <c r="O667"/>
      <c r="P667"/>
      <c r="Q667"/>
    </row>
    <row r="668" spans="4:17" x14ac:dyDescent="0.3">
      <c r="D668" s="2"/>
      <c r="E668" s="2"/>
      <c r="F668"/>
      <c r="O668"/>
      <c r="P668"/>
      <c r="Q668"/>
    </row>
    <row r="669" spans="4:17" x14ac:dyDescent="0.3">
      <c r="D669" s="2"/>
      <c r="E669" s="2"/>
      <c r="F669"/>
      <c r="O669"/>
      <c r="P669"/>
      <c r="Q669"/>
    </row>
    <row r="670" spans="4:17" x14ac:dyDescent="0.3">
      <c r="D670" s="2"/>
      <c r="E670" s="2"/>
      <c r="F670"/>
      <c r="O670"/>
      <c r="P670"/>
      <c r="Q670"/>
    </row>
    <row r="671" spans="4:17" x14ac:dyDescent="0.3">
      <c r="D671" s="2"/>
      <c r="E671" s="2"/>
      <c r="F671"/>
      <c r="O671"/>
      <c r="P671"/>
      <c r="Q671"/>
    </row>
    <row r="672" spans="4:17" x14ac:dyDescent="0.3">
      <c r="D672" s="2"/>
      <c r="E672" s="2"/>
      <c r="F672"/>
      <c r="O672"/>
      <c r="P672"/>
      <c r="Q672"/>
    </row>
    <row r="673" spans="4:17" x14ac:dyDescent="0.3">
      <c r="D673" s="2"/>
      <c r="E673" s="2"/>
      <c r="F673"/>
      <c r="O673"/>
      <c r="P673"/>
      <c r="Q673"/>
    </row>
    <row r="674" spans="4:17" x14ac:dyDescent="0.3">
      <c r="D674" s="2"/>
      <c r="E674" s="2"/>
      <c r="F674"/>
      <c r="O674"/>
      <c r="P674"/>
      <c r="Q674"/>
    </row>
    <row r="675" spans="4:17" x14ac:dyDescent="0.3">
      <c r="D675" s="2"/>
      <c r="E675" s="2"/>
      <c r="F675"/>
      <c r="O675"/>
      <c r="P675"/>
      <c r="Q675"/>
    </row>
    <row r="676" spans="4:17" x14ac:dyDescent="0.3">
      <c r="D676" s="2"/>
      <c r="E676" s="2"/>
      <c r="F676"/>
      <c r="O676"/>
      <c r="P676"/>
      <c r="Q676"/>
    </row>
    <row r="677" spans="4:17" x14ac:dyDescent="0.3">
      <c r="D677" s="2"/>
      <c r="E677" s="2"/>
      <c r="F677"/>
      <c r="O677"/>
      <c r="P677"/>
      <c r="Q677"/>
    </row>
    <row r="678" spans="4:17" x14ac:dyDescent="0.3">
      <c r="D678" s="2"/>
      <c r="E678" s="2"/>
      <c r="F678"/>
      <c r="O678"/>
      <c r="P678"/>
      <c r="Q678"/>
    </row>
    <row r="679" spans="4:17" x14ac:dyDescent="0.3">
      <c r="D679" s="2"/>
      <c r="E679" s="2"/>
      <c r="F679"/>
      <c r="O679"/>
      <c r="P679"/>
      <c r="Q679"/>
    </row>
    <row r="680" spans="4:17" x14ac:dyDescent="0.3">
      <c r="D680" s="2"/>
      <c r="E680" s="2"/>
      <c r="F680"/>
      <c r="O680"/>
      <c r="P680"/>
      <c r="Q680"/>
    </row>
    <row r="681" spans="4:17" x14ac:dyDescent="0.3">
      <c r="D681" s="2"/>
      <c r="E681" s="2"/>
      <c r="F681"/>
      <c r="O681"/>
      <c r="P681"/>
      <c r="Q681"/>
    </row>
    <row r="682" spans="4:17" x14ac:dyDescent="0.3">
      <c r="D682" s="2"/>
      <c r="E682" s="2"/>
      <c r="F682"/>
      <c r="O682"/>
      <c r="P682"/>
      <c r="Q682"/>
    </row>
    <row r="683" spans="4:17" x14ac:dyDescent="0.3">
      <c r="D683" s="2"/>
      <c r="E683" s="2"/>
      <c r="F683"/>
      <c r="O683"/>
      <c r="P683"/>
      <c r="Q683"/>
    </row>
  </sheetData>
  <autoFilter ref="A1:AG409" xr:uid="{99D8BCE6-E31C-4AE2-BF58-C05892EB92D5}"/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6D61-EFC1-4DA7-B916-9EFE791A863B}">
  <dimension ref="A1:AI32"/>
  <sheetViews>
    <sheetView showGridLines="0" topLeftCell="Z1" zoomScale="80" zoomScaleNormal="80" workbookViewId="0">
      <pane ySplit="1" topLeftCell="A2" activePane="bottomLeft" state="frozen"/>
      <selection activeCell="L1" sqref="L1"/>
      <selection pane="bottomLeft" activeCell="AI19" sqref="AI19"/>
    </sheetView>
  </sheetViews>
  <sheetFormatPr baseColWidth="10" defaultRowHeight="14.4" x14ac:dyDescent="0.3"/>
  <cols>
    <col min="1" max="1" width="11.33203125" style="88" customWidth="1"/>
    <col min="2" max="11" width="11.44140625" customWidth="1"/>
    <col min="12" max="12" width="17.44140625" bestFit="1" customWidth="1"/>
    <col min="13" max="14" width="11.44140625" customWidth="1"/>
    <col min="15" max="15" width="15.5546875" style="2" bestFit="1" customWidth="1"/>
    <col min="16" max="16" width="11.44140625" style="104" customWidth="1"/>
    <col min="17" max="19" width="11.44140625" style="16" hidden="1" customWidth="1"/>
    <col min="20" max="20" width="12.33203125" style="16" hidden="1" customWidth="1"/>
    <col min="21" max="21" width="11.44140625" style="105"/>
    <col min="22" max="22" width="11.44140625" style="36"/>
    <col min="23" max="23" width="8.33203125" style="36" customWidth="1"/>
    <col min="24" max="27" width="11.44140625" style="36"/>
    <col min="28" max="28" width="18.44140625" style="13" bestFit="1" customWidth="1"/>
    <col min="29" max="29" width="16.44140625" style="124" bestFit="1" customWidth="1"/>
    <col min="30" max="32" width="2" style="13" customWidth="1"/>
    <col min="33" max="33" width="11.44140625" style="13"/>
  </cols>
  <sheetData>
    <row r="1" spans="1:35" s="1" customFormat="1" x14ac:dyDescent="0.3">
      <c r="A1" s="73" t="s">
        <v>43</v>
      </c>
      <c r="B1" s="74" t="s">
        <v>44</v>
      </c>
      <c r="C1" s="74" t="s">
        <v>45</v>
      </c>
      <c r="D1" s="74" t="s">
        <v>46</v>
      </c>
      <c r="E1" s="74" t="s">
        <v>47</v>
      </c>
      <c r="F1" s="74" t="s">
        <v>48</v>
      </c>
      <c r="G1" s="74" t="s">
        <v>49</v>
      </c>
      <c r="H1" s="74" t="s">
        <v>50</v>
      </c>
      <c r="I1" s="74" t="s">
        <v>51</v>
      </c>
      <c r="J1" s="74" t="s">
        <v>52</v>
      </c>
      <c r="K1" s="74" t="s">
        <v>53</v>
      </c>
      <c r="L1" s="74" t="s">
        <v>54</v>
      </c>
      <c r="M1" s="74" t="s">
        <v>55</v>
      </c>
      <c r="N1" s="74" t="s">
        <v>56</v>
      </c>
      <c r="O1" s="74" t="s">
        <v>57</v>
      </c>
      <c r="P1" s="166" t="s">
        <v>30</v>
      </c>
      <c r="Q1" s="166" t="s">
        <v>59</v>
      </c>
      <c r="R1" s="166" t="s">
        <v>68</v>
      </c>
      <c r="S1" s="166" t="s">
        <v>60</v>
      </c>
      <c r="T1" s="166" t="s">
        <v>61</v>
      </c>
      <c r="U1" s="166" t="s">
        <v>62</v>
      </c>
      <c r="V1" s="74" t="s">
        <v>63</v>
      </c>
      <c r="W1" s="74" t="s">
        <v>64</v>
      </c>
      <c r="X1" s="74" t="s">
        <v>40</v>
      </c>
      <c r="Y1" s="147" t="s">
        <v>546</v>
      </c>
      <c r="Z1" s="13"/>
      <c r="AA1" s="20"/>
      <c r="AB1" s="33" t="s">
        <v>73</v>
      </c>
      <c r="AC1" t="s">
        <v>75</v>
      </c>
      <c r="AD1"/>
      <c r="AE1"/>
      <c r="AF1"/>
      <c r="AG1" s="21"/>
    </row>
    <row r="2" spans="1:35" x14ac:dyDescent="0.3">
      <c r="A2" s="75">
        <v>1044162</v>
      </c>
      <c r="B2" s="76" t="s">
        <v>80</v>
      </c>
      <c r="C2" s="76" t="s">
        <v>66</v>
      </c>
      <c r="D2" s="77">
        <v>46113</v>
      </c>
      <c r="E2" s="77">
        <v>46113</v>
      </c>
      <c r="F2" s="76"/>
      <c r="G2" s="76">
        <v>870</v>
      </c>
      <c r="H2" s="76" t="s">
        <v>132</v>
      </c>
      <c r="I2" s="76">
        <v>2990</v>
      </c>
      <c r="J2" s="76">
        <v>232578</v>
      </c>
      <c r="K2" s="76"/>
      <c r="L2" s="76" t="s">
        <v>547</v>
      </c>
      <c r="M2" s="76" t="s">
        <v>80</v>
      </c>
      <c r="N2" s="76" t="s">
        <v>69</v>
      </c>
      <c r="O2" s="77">
        <v>46113</v>
      </c>
      <c r="P2" s="167">
        <v>459</v>
      </c>
      <c r="Q2" s="167">
        <v>18.309999999999999</v>
      </c>
      <c r="R2" s="167">
        <v>3.66</v>
      </c>
      <c r="S2" s="167">
        <v>0.66</v>
      </c>
      <c r="T2" s="167">
        <v>440.03</v>
      </c>
      <c r="U2" s="167">
        <v>0</v>
      </c>
      <c r="V2" s="168">
        <v>20260407</v>
      </c>
      <c r="W2" s="76" t="s">
        <v>80</v>
      </c>
      <c r="X2" s="76" t="s">
        <v>141</v>
      </c>
      <c r="Y2" s="58" t="s">
        <v>148</v>
      </c>
      <c r="Z2"/>
      <c r="AA2"/>
      <c r="AB2" s="34">
        <v>46113</v>
      </c>
      <c r="AC2">
        <v>459</v>
      </c>
      <c r="AD2"/>
      <c r="AE2"/>
      <c r="AF2"/>
      <c r="AG2"/>
      <c r="AH2" s="23">
        <v>46082</v>
      </c>
      <c r="AI2" s="5">
        <v>459</v>
      </c>
    </row>
    <row r="3" spans="1:35" x14ac:dyDescent="0.3">
      <c r="A3" s="75">
        <v>1044162</v>
      </c>
      <c r="B3" s="76" t="s">
        <v>80</v>
      </c>
      <c r="C3" s="76" t="s">
        <v>70</v>
      </c>
      <c r="D3" s="77">
        <v>46113</v>
      </c>
      <c r="E3" s="77">
        <v>46113</v>
      </c>
      <c r="F3" s="76">
        <v>9996</v>
      </c>
      <c r="G3" s="76"/>
      <c r="H3" s="76" t="s">
        <v>80</v>
      </c>
      <c r="I3" s="76"/>
      <c r="J3" s="76"/>
      <c r="K3" s="76"/>
      <c r="L3" s="76" t="s">
        <v>80</v>
      </c>
      <c r="M3" s="76" t="s">
        <v>80</v>
      </c>
      <c r="N3" s="76" t="s">
        <v>71</v>
      </c>
      <c r="O3" s="77">
        <v>46113</v>
      </c>
      <c r="P3" s="167">
        <v>0</v>
      </c>
      <c r="Q3" s="167">
        <v>-5</v>
      </c>
      <c r="R3" s="167">
        <v>-5</v>
      </c>
      <c r="S3" s="167">
        <v>-0.9</v>
      </c>
      <c r="T3" s="167">
        <v>-5.9</v>
      </c>
      <c r="U3" s="167">
        <v>0</v>
      </c>
      <c r="V3" s="168">
        <v>20260407</v>
      </c>
      <c r="W3" s="76" t="s">
        <v>72</v>
      </c>
      <c r="X3" s="76" t="s">
        <v>141</v>
      </c>
      <c r="Y3" s="58" t="s">
        <v>148</v>
      </c>
      <c r="Z3"/>
      <c r="AA3"/>
      <c r="AB3" s="34">
        <v>46114</v>
      </c>
      <c r="AC3">
        <v>3247</v>
      </c>
      <c r="AD3"/>
      <c r="AE3"/>
      <c r="AF3"/>
      <c r="AG3"/>
      <c r="AH3" s="23">
        <f>+AH2+1</f>
        <v>46083</v>
      </c>
      <c r="AI3" s="5">
        <v>3247</v>
      </c>
    </row>
    <row r="4" spans="1:35" x14ac:dyDescent="0.3">
      <c r="A4" s="75">
        <v>1044162</v>
      </c>
      <c r="B4" s="76" t="s">
        <v>80</v>
      </c>
      <c r="C4" s="76" t="s">
        <v>66</v>
      </c>
      <c r="D4" s="77">
        <v>46113</v>
      </c>
      <c r="E4" s="77"/>
      <c r="F4" s="76"/>
      <c r="G4" s="76"/>
      <c r="H4" s="76" t="s">
        <v>80</v>
      </c>
      <c r="I4" s="76"/>
      <c r="J4" s="76"/>
      <c r="K4" s="76"/>
      <c r="L4" s="76" t="s">
        <v>80</v>
      </c>
      <c r="M4" s="76" t="s">
        <v>80</v>
      </c>
      <c r="N4" s="76" t="s">
        <v>80</v>
      </c>
      <c r="O4" s="77"/>
      <c r="P4" s="167">
        <v>0</v>
      </c>
      <c r="Q4" s="167">
        <v>0</v>
      </c>
      <c r="R4" s="167">
        <v>0</v>
      </c>
      <c r="S4" s="167">
        <v>0</v>
      </c>
      <c r="T4" s="167">
        <v>-5.9</v>
      </c>
      <c r="U4" s="169">
        <v>434.13</v>
      </c>
      <c r="V4" s="168">
        <v>20260407</v>
      </c>
      <c r="W4" s="76">
        <v>104101</v>
      </c>
      <c r="X4" s="76" t="s">
        <v>141</v>
      </c>
      <c r="Y4" s="58" t="s">
        <v>148</v>
      </c>
      <c r="Z4"/>
      <c r="AA4"/>
      <c r="AB4" s="34">
        <v>46115</v>
      </c>
      <c r="AC4">
        <v>587</v>
      </c>
      <c r="AD4"/>
      <c r="AE4"/>
      <c r="AF4"/>
      <c r="AG4"/>
      <c r="AH4" s="23">
        <f t="shared" ref="AH4:AH32" si="0">+AH3+1</f>
        <v>46084</v>
      </c>
      <c r="AI4" s="5">
        <v>587</v>
      </c>
    </row>
    <row r="5" spans="1:35" x14ac:dyDescent="0.3">
      <c r="A5" s="75">
        <v>1044162</v>
      </c>
      <c r="B5" s="76" t="s">
        <v>80</v>
      </c>
      <c r="C5" s="76" t="s">
        <v>66</v>
      </c>
      <c r="D5" s="77">
        <v>46114</v>
      </c>
      <c r="E5" s="77">
        <v>46114</v>
      </c>
      <c r="F5" s="76"/>
      <c r="G5" s="76">
        <v>871</v>
      </c>
      <c r="H5" s="76" t="s">
        <v>132</v>
      </c>
      <c r="I5" s="76">
        <v>3011</v>
      </c>
      <c r="J5" s="76">
        <v>662867</v>
      </c>
      <c r="K5" s="76"/>
      <c r="L5" s="76" t="s">
        <v>548</v>
      </c>
      <c r="M5" s="76" t="s">
        <v>80</v>
      </c>
      <c r="N5" s="76" t="s">
        <v>69</v>
      </c>
      <c r="O5" s="77">
        <v>46114</v>
      </c>
      <c r="P5" s="167">
        <v>1248</v>
      </c>
      <c r="Q5" s="167">
        <v>49.8</v>
      </c>
      <c r="R5" s="167">
        <v>9.9600000000000009</v>
      </c>
      <c r="S5" s="167">
        <v>1.79</v>
      </c>
      <c r="T5" s="167">
        <v>1196.4100000000001</v>
      </c>
      <c r="U5" s="167">
        <v>0</v>
      </c>
      <c r="V5" s="168">
        <v>20260407</v>
      </c>
      <c r="W5" s="76" t="s">
        <v>80</v>
      </c>
      <c r="X5" s="76" t="s">
        <v>141</v>
      </c>
      <c r="Y5" s="58" t="s">
        <v>148</v>
      </c>
      <c r="Z5"/>
      <c r="AA5"/>
      <c r="AB5" s="34">
        <v>46119</v>
      </c>
      <c r="AC5">
        <v>1399</v>
      </c>
      <c r="AD5"/>
      <c r="AE5"/>
      <c r="AF5"/>
      <c r="AG5"/>
      <c r="AH5" s="23">
        <f t="shared" si="0"/>
        <v>46085</v>
      </c>
      <c r="AI5" s="5"/>
    </row>
    <row r="6" spans="1:35" x14ac:dyDescent="0.3">
      <c r="A6" s="75">
        <v>1044162</v>
      </c>
      <c r="B6" s="76" t="s">
        <v>80</v>
      </c>
      <c r="C6" s="76" t="s">
        <v>66</v>
      </c>
      <c r="D6" s="77">
        <v>46114</v>
      </c>
      <c r="E6" s="77">
        <v>46114</v>
      </c>
      <c r="F6" s="76"/>
      <c r="G6" s="76">
        <v>871</v>
      </c>
      <c r="H6" s="76" t="s">
        <v>132</v>
      </c>
      <c r="I6" s="76">
        <v>3013</v>
      </c>
      <c r="J6" s="76">
        <v>253782</v>
      </c>
      <c r="K6" s="76"/>
      <c r="L6" s="76" t="s">
        <v>549</v>
      </c>
      <c r="M6" s="76" t="s">
        <v>80</v>
      </c>
      <c r="N6" s="76" t="s">
        <v>69</v>
      </c>
      <c r="O6" s="77">
        <v>46114</v>
      </c>
      <c r="P6" s="167">
        <v>1999</v>
      </c>
      <c r="Q6" s="167">
        <v>79.760000000000005</v>
      </c>
      <c r="R6" s="167">
        <v>15.95</v>
      </c>
      <c r="S6" s="167">
        <v>2.87</v>
      </c>
      <c r="T6" s="167">
        <v>1916.37</v>
      </c>
      <c r="U6" s="169">
        <v>3112.78</v>
      </c>
      <c r="V6" s="168">
        <v>20260407</v>
      </c>
      <c r="W6" s="76">
        <v>104101</v>
      </c>
      <c r="X6" s="76" t="s">
        <v>141</v>
      </c>
      <c r="Y6" s="58" t="s">
        <v>148</v>
      </c>
      <c r="Z6" s="22"/>
      <c r="AA6"/>
      <c r="AB6" s="34">
        <v>46122</v>
      </c>
      <c r="AC6">
        <v>2148</v>
      </c>
      <c r="AD6"/>
      <c r="AE6"/>
      <c r="AF6"/>
      <c r="AG6" s="22"/>
      <c r="AH6" s="23">
        <f t="shared" si="0"/>
        <v>46086</v>
      </c>
      <c r="AI6" s="5"/>
    </row>
    <row r="7" spans="1:35" x14ac:dyDescent="0.3">
      <c r="A7" s="75">
        <v>1044162</v>
      </c>
      <c r="B7" s="76" t="s">
        <v>80</v>
      </c>
      <c r="C7" s="76" t="s">
        <v>66</v>
      </c>
      <c r="D7" s="77">
        <v>46115</v>
      </c>
      <c r="E7" s="77">
        <v>46115</v>
      </c>
      <c r="F7" s="76"/>
      <c r="G7" s="76">
        <v>872</v>
      </c>
      <c r="H7" s="76" t="s">
        <v>132</v>
      </c>
      <c r="I7" s="76">
        <v>3117</v>
      </c>
      <c r="J7" s="76">
        <v>802638</v>
      </c>
      <c r="K7" s="76"/>
      <c r="L7" s="76" t="s">
        <v>550</v>
      </c>
      <c r="M7" s="76" t="s">
        <v>80</v>
      </c>
      <c r="N7" s="76" t="s">
        <v>69</v>
      </c>
      <c r="O7" s="77">
        <v>46115</v>
      </c>
      <c r="P7" s="167">
        <v>498</v>
      </c>
      <c r="Q7" s="167">
        <v>22.16</v>
      </c>
      <c r="R7" s="167">
        <v>14.69</v>
      </c>
      <c r="S7" s="167">
        <v>2.64</v>
      </c>
      <c r="T7" s="167">
        <v>473.2</v>
      </c>
      <c r="U7" s="167">
        <v>0</v>
      </c>
      <c r="V7" s="168">
        <v>20260407</v>
      </c>
      <c r="W7" s="76" t="s">
        <v>80</v>
      </c>
      <c r="X7" s="76" t="s">
        <v>141</v>
      </c>
      <c r="Y7" s="58" t="s">
        <v>148</v>
      </c>
      <c r="Z7" s="22"/>
      <c r="AA7"/>
      <c r="AB7" s="34">
        <v>46123</v>
      </c>
      <c r="AC7">
        <v>1399</v>
      </c>
      <c r="AD7"/>
      <c r="AE7"/>
      <c r="AF7"/>
      <c r="AG7"/>
      <c r="AH7" s="23">
        <f t="shared" si="0"/>
        <v>46087</v>
      </c>
      <c r="AI7" s="5"/>
    </row>
    <row r="8" spans="1:35" x14ac:dyDescent="0.3">
      <c r="A8" s="75">
        <v>1044162</v>
      </c>
      <c r="B8" s="76" t="s">
        <v>80</v>
      </c>
      <c r="C8" s="76" t="s">
        <v>66</v>
      </c>
      <c r="D8" s="77">
        <v>46115</v>
      </c>
      <c r="E8" s="77">
        <v>46115</v>
      </c>
      <c r="F8" s="76"/>
      <c r="G8" s="76">
        <v>872</v>
      </c>
      <c r="H8" s="76" t="s">
        <v>132</v>
      </c>
      <c r="I8" s="76">
        <v>3121</v>
      </c>
      <c r="J8" s="76">
        <v>394561</v>
      </c>
      <c r="K8" s="76"/>
      <c r="L8" s="76" t="s">
        <v>551</v>
      </c>
      <c r="M8" s="76" t="s">
        <v>80</v>
      </c>
      <c r="N8" s="76" t="s">
        <v>69</v>
      </c>
      <c r="O8" s="77">
        <v>46115</v>
      </c>
      <c r="P8" s="167">
        <v>89</v>
      </c>
      <c r="Q8" s="167">
        <v>3.55</v>
      </c>
      <c r="R8" s="167">
        <v>0.71</v>
      </c>
      <c r="S8" s="167">
        <v>0.13</v>
      </c>
      <c r="T8" s="167">
        <v>85.32</v>
      </c>
      <c r="U8" s="169">
        <v>558.52</v>
      </c>
      <c r="V8" s="168">
        <v>20260407</v>
      </c>
      <c r="W8" s="76">
        <v>104101</v>
      </c>
      <c r="X8" s="76" t="s">
        <v>141</v>
      </c>
      <c r="Y8" s="58" t="s">
        <v>148</v>
      </c>
      <c r="Z8"/>
      <c r="AA8"/>
      <c r="AB8" s="34">
        <v>46130</v>
      </c>
      <c r="AC8">
        <v>8998</v>
      </c>
      <c r="AD8"/>
      <c r="AE8"/>
      <c r="AF8"/>
      <c r="AG8"/>
      <c r="AH8" s="23">
        <f t="shared" si="0"/>
        <v>46088</v>
      </c>
      <c r="AI8" s="5">
        <v>1399</v>
      </c>
    </row>
    <row r="9" spans="1:35" x14ac:dyDescent="0.3">
      <c r="A9" s="75">
        <v>1044162</v>
      </c>
      <c r="B9" s="76" t="s">
        <v>80</v>
      </c>
      <c r="C9" s="76" t="s">
        <v>66</v>
      </c>
      <c r="D9" s="77">
        <v>46119</v>
      </c>
      <c r="E9" s="77">
        <v>46119</v>
      </c>
      <c r="F9" s="76"/>
      <c r="G9" s="76">
        <v>876</v>
      </c>
      <c r="H9" s="76" t="s">
        <v>132</v>
      </c>
      <c r="I9" s="76">
        <v>3383</v>
      </c>
      <c r="J9" s="76">
        <v>163256</v>
      </c>
      <c r="K9" s="76">
        <v>2</v>
      </c>
      <c r="L9" s="76" t="s">
        <v>552</v>
      </c>
      <c r="M9" s="76" t="s">
        <v>80</v>
      </c>
      <c r="N9" s="76" t="s">
        <v>69</v>
      </c>
      <c r="O9" s="77">
        <v>46119</v>
      </c>
      <c r="P9" s="167">
        <v>1399</v>
      </c>
      <c r="Q9" s="167">
        <v>55.82</v>
      </c>
      <c r="R9" s="167">
        <v>11.16</v>
      </c>
      <c r="S9" s="167">
        <v>2.0099999999999998</v>
      </c>
      <c r="T9" s="167">
        <v>1341.17</v>
      </c>
      <c r="U9" s="169">
        <v>1341.17</v>
      </c>
      <c r="V9" s="168">
        <v>20260409</v>
      </c>
      <c r="W9" s="76">
        <v>104101</v>
      </c>
      <c r="X9" s="76" t="s">
        <v>141</v>
      </c>
      <c r="Y9" s="58" t="s">
        <v>148</v>
      </c>
      <c r="Z9"/>
      <c r="AA9"/>
      <c r="AB9" s="35" t="s">
        <v>76</v>
      </c>
      <c r="AC9">
        <v>0</v>
      </c>
      <c r="AD9"/>
      <c r="AE9"/>
      <c r="AF9"/>
      <c r="AG9"/>
      <c r="AH9" s="23">
        <f t="shared" si="0"/>
        <v>46089</v>
      </c>
      <c r="AI9" s="5"/>
    </row>
    <row r="10" spans="1:35" x14ac:dyDescent="0.3">
      <c r="A10" s="75">
        <v>1044162</v>
      </c>
      <c r="B10" s="76" t="s">
        <v>80</v>
      </c>
      <c r="C10" s="76" t="s">
        <v>66</v>
      </c>
      <c r="D10" s="77">
        <v>46122</v>
      </c>
      <c r="E10" s="77">
        <v>46122</v>
      </c>
      <c r="F10" s="76"/>
      <c r="G10" s="76">
        <v>879</v>
      </c>
      <c r="H10" s="76" t="s">
        <v>132</v>
      </c>
      <c r="I10" s="76">
        <v>3539</v>
      </c>
      <c r="J10" s="76">
        <v>495280</v>
      </c>
      <c r="K10" s="76"/>
      <c r="L10" s="76" t="s">
        <v>553</v>
      </c>
      <c r="M10" s="76" t="s">
        <v>80</v>
      </c>
      <c r="N10" s="76" t="s">
        <v>69</v>
      </c>
      <c r="O10" s="77">
        <v>46122</v>
      </c>
      <c r="P10" s="167">
        <v>149</v>
      </c>
      <c r="Q10" s="167">
        <v>5.95</v>
      </c>
      <c r="R10" s="167">
        <v>1.19</v>
      </c>
      <c r="S10" s="167">
        <v>0.21</v>
      </c>
      <c r="T10" s="167">
        <v>142.84</v>
      </c>
      <c r="U10" s="167">
        <v>0</v>
      </c>
      <c r="V10" s="168">
        <v>20260414</v>
      </c>
      <c r="W10" s="76" t="s">
        <v>80</v>
      </c>
      <c r="X10" s="76" t="s">
        <v>141</v>
      </c>
      <c r="Y10" s="58" t="s">
        <v>148</v>
      </c>
      <c r="Z10"/>
      <c r="AA10"/>
      <c r="AB10" s="35" t="s">
        <v>74</v>
      </c>
      <c r="AC10">
        <v>18237</v>
      </c>
      <c r="AD10"/>
      <c r="AE10"/>
      <c r="AF10"/>
      <c r="AG10"/>
      <c r="AH10" s="23">
        <f t="shared" si="0"/>
        <v>46090</v>
      </c>
      <c r="AI10" s="5"/>
    </row>
    <row r="11" spans="1:35" x14ac:dyDescent="0.3">
      <c r="A11" s="75">
        <v>1044162</v>
      </c>
      <c r="B11" s="76" t="s">
        <v>80</v>
      </c>
      <c r="C11" s="76" t="s">
        <v>66</v>
      </c>
      <c r="D11" s="77">
        <v>46122</v>
      </c>
      <c r="E11" s="77">
        <v>46122</v>
      </c>
      <c r="F11" s="76"/>
      <c r="G11" s="76">
        <v>879</v>
      </c>
      <c r="H11" s="76" t="s">
        <v>132</v>
      </c>
      <c r="I11" s="76">
        <v>3574</v>
      </c>
      <c r="J11" s="76">
        <v>306143</v>
      </c>
      <c r="K11" s="76">
        <v>6</v>
      </c>
      <c r="L11" s="76" t="s">
        <v>554</v>
      </c>
      <c r="M11" s="76" t="s">
        <v>80</v>
      </c>
      <c r="N11" s="76" t="s">
        <v>69</v>
      </c>
      <c r="O11" s="77">
        <v>46122</v>
      </c>
      <c r="P11" s="167">
        <v>1999</v>
      </c>
      <c r="Q11" s="167">
        <v>79.760000000000005</v>
      </c>
      <c r="R11" s="167">
        <v>15.95</v>
      </c>
      <c r="S11" s="167">
        <v>2.87</v>
      </c>
      <c r="T11" s="167">
        <v>1916.37</v>
      </c>
      <c r="U11" s="169">
        <v>2059.21</v>
      </c>
      <c r="V11" s="168">
        <v>20260414</v>
      </c>
      <c r="W11" s="76">
        <v>104101</v>
      </c>
      <c r="X11" s="76" t="s">
        <v>141</v>
      </c>
      <c r="Y11" s="58" t="s">
        <v>148</v>
      </c>
      <c r="Z11"/>
      <c r="AA11"/>
      <c r="AB11"/>
      <c r="AC11"/>
      <c r="AD11"/>
      <c r="AE11"/>
      <c r="AF11"/>
      <c r="AG11"/>
      <c r="AH11" s="23">
        <f t="shared" si="0"/>
        <v>46091</v>
      </c>
      <c r="AI11" s="5">
        <v>2148</v>
      </c>
    </row>
    <row r="12" spans="1:35" x14ac:dyDescent="0.3">
      <c r="A12" s="75">
        <v>1044162</v>
      </c>
      <c r="B12" s="76" t="s">
        <v>80</v>
      </c>
      <c r="C12" s="76" t="s">
        <v>66</v>
      </c>
      <c r="D12" s="77">
        <v>46123</v>
      </c>
      <c r="E12" s="77">
        <v>46123</v>
      </c>
      <c r="F12" s="76"/>
      <c r="G12" s="76">
        <v>880</v>
      </c>
      <c r="H12" s="76" t="s">
        <v>132</v>
      </c>
      <c r="I12" s="76">
        <v>3699</v>
      </c>
      <c r="J12" s="76">
        <v>382666</v>
      </c>
      <c r="K12" s="76">
        <v>3</v>
      </c>
      <c r="L12" s="76" t="s">
        <v>555</v>
      </c>
      <c r="M12" s="76" t="s">
        <v>80</v>
      </c>
      <c r="N12" s="76" t="s">
        <v>69</v>
      </c>
      <c r="O12" s="77">
        <v>46123</v>
      </c>
      <c r="P12" s="167">
        <v>1399</v>
      </c>
      <c r="Q12" s="167">
        <v>55.82</v>
      </c>
      <c r="R12" s="167">
        <v>11.16</v>
      </c>
      <c r="S12" s="167">
        <v>2.0099999999999998</v>
      </c>
      <c r="T12" s="167">
        <v>1341.17</v>
      </c>
      <c r="U12" s="169">
        <v>1341.17</v>
      </c>
      <c r="V12" s="168">
        <v>20260414</v>
      </c>
      <c r="W12" s="76">
        <v>104101</v>
      </c>
      <c r="X12" s="76" t="s">
        <v>141</v>
      </c>
      <c r="Y12" s="58" t="s">
        <v>148</v>
      </c>
      <c r="Z12"/>
      <c r="AA12"/>
      <c r="AB12"/>
      <c r="AC12" s="106"/>
      <c r="AD12"/>
      <c r="AE12"/>
      <c r="AF12"/>
      <c r="AG12" s="22"/>
      <c r="AH12" s="23">
        <f t="shared" si="0"/>
        <v>46092</v>
      </c>
      <c r="AI12" s="5">
        <v>1399</v>
      </c>
    </row>
    <row r="13" spans="1:35" x14ac:dyDescent="0.3">
      <c r="A13" s="75">
        <v>1044162</v>
      </c>
      <c r="B13" s="76" t="s">
        <v>80</v>
      </c>
      <c r="C13" s="76" t="s">
        <v>66</v>
      </c>
      <c r="D13" s="77">
        <v>46130</v>
      </c>
      <c r="E13" s="77">
        <v>46130</v>
      </c>
      <c r="F13" s="76"/>
      <c r="G13" s="76">
        <v>887</v>
      </c>
      <c r="H13" s="76" t="s">
        <v>132</v>
      </c>
      <c r="I13" s="76">
        <v>4053</v>
      </c>
      <c r="J13" s="76">
        <v>359311</v>
      </c>
      <c r="K13" s="76">
        <v>2</v>
      </c>
      <c r="L13" s="76" t="s">
        <v>556</v>
      </c>
      <c r="M13" s="76" t="s">
        <v>80</v>
      </c>
      <c r="N13" s="76" t="s">
        <v>69</v>
      </c>
      <c r="O13" s="77">
        <v>46130</v>
      </c>
      <c r="P13" s="167">
        <v>3999</v>
      </c>
      <c r="Q13" s="167">
        <v>159.56</v>
      </c>
      <c r="R13" s="167">
        <v>31.91</v>
      </c>
      <c r="S13" s="167">
        <v>5.74</v>
      </c>
      <c r="T13" s="167">
        <v>3833.7</v>
      </c>
      <c r="U13" s="167">
        <v>0</v>
      </c>
      <c r="V13" s="168">
        <v>20260421</v>
      </c>
      <c r="W13" s="76" t="s">
        <v>80</v>
      </c>
      <c r="X13" s="76" t="s">
        <v>141</v>
      </c>
      <c r="Y13" s="58" t="s">
        <v>148</v>
      </c>
      <c r="Z13"/>
      <c r="AA13"/>
      <c r="AB13"/>
      <c r="AC13" s="106"/>
      <c r="AD13"/>
      <c r="AE13"/>
      <c r="AF13"/>
      <c r="AG13"/>
      <c r="AH13" s="23">
        <f t="shared" si="0"/>
        <v>46093</v>
      </c>
      <c r="AI13" s="5"/>
    </row>
    <row r="14" spans="1:35" x14ac:dyDescent="0.3">
      <c r="A14" s="75">
        <v>1044162</v>
      </c>
      <c r="B14" s="76" t="s">
        <v>80</v>
      </c>
      <c r="C14" s="76" t="s">
        <v>66</v>
      </c>
      <c r="D14" s="77">
        <v>46130</v>
      </c>
      <c r="E14" s="77">
        <v>46130</v>
      </c>
      <c r="F14" s="76"/>
      <c r="G14" s="76">
        <v>887</v>
      </c>
      <c r="H14" s="76" t="s">
        <v>132</v>
      </c>
      <c r="I14" s="76">
        <v>4070</v>
      </c>
      <c r="J14" s="76">
        <v>139381</v>
      </c>
      <c r="K14" s="76"/>
      <c r="L14" s="76" t="s">
        <v>557</v>
      </c>
      <c r="M14" s="76" t="s">
        <v>80</v>
      </c>
      <c r="N14" s="76" t="s">
        <v>69</v>
      </c>
      <c r="O14" s="77">
        <v>46130</v>
      </c>
      <c r="P14" s="167">
        <v>4999</v>
      </c>
      <c r="Q14" s="167">
        <v>199.46</v>
      </c>
      <c r="R14" s="167">
        <v>39.89</v>
      </c>
      <c r="S14" s="167">
        <v>7.18</v>
      </c>
      <c r="T14" s="167">
        <v>4792.3599999999997</v>
      </c>
      <c r="U14" s="169">
        <v>8626.06</v>
      </c>
      <c r="V14" s="168">
        <v>20260421</v>
      </c>
      <c r="W14" s="76">
        <v>104101</v>
      </c>
      <c r="X14" s="76" t="s">
        <v>141</v>
      </c>
      <c r="Y14" s="58" t="s">
        <v>148</v>
      </c>
      <c r="Z14"/>
      <c r="AA14"/>
      <c r="AB14"/>
      <c r="AC14" s="106"/>
      <c r="AD14"/>
      <c r="AE14"/>
      <c r="AF14"/>
      <c r="AG14"/>
      <c r="AH14" s="23">
        <f t="shared" si="0"/>
        <v>46094</v>
      </c>
      <c r="AI14" s="5"/>
    </row>
    <row r="15" spans="1:35" x14ac:dyDescent="0.3">
      <c r="A15" s="75">
        <v>1044162</v>
      </c>
      <c r="B15" s="76" t="s">
        <v>80</v>
      </c>
      <c r="C15" s="76" t="s">
        <v>66</v>
      </c>
      <c r="D15" s="77">
        <v>46131</v>
      </c>
      <c r="E15" s="77">
        <v>46131</v>
      </c>
      <c r="F15" s="76"/>
      <c r="G15" s="76">
        <v>888</v>
      </c>
      <c r="H15" s="76" t="s">
        <v>132</v>
      </c>
      <c r="I15" s="76">
        <v>4081</v>
      </c>
      <c r="J15" s="76">
        <v>659602</v>
      </c>
      <c r="K15" s="76"/>
      <c r="L15" s="76" t="s">
        <v>558</v>
      </c>
      <c r="M15" s="76" t="s">
        <v>80</v>
      </c>
      <c r="N15" s="76" t="s">
        <v>69</v>
      </c>
      <c r="O15" s="77">
        <v>46131</v>
      </c>
      <c r="P15" s="167">
        <v>1799</v>
      </c>
      <c r="Q15" s="167">
        <v>71.78</v>
      </c>
      <c r="R15" s="167">
        <v>14.36</v>
      </c>
      <c r="S15" s="167">
        <v>2.58</v>
      </c>
      <c r="T15" s="167">
        <v>1724.64</v>
      </c>
      <c r="U15" s="167">
        <v>0</v>
      </c>
      <c r="V15" s="168">
        <v>20260421</v>
      </c>
      <c r="W15" s="76" t="s">
        <v>80</v>
      </c>
      <c r="X15" s="76" t="s">
        <v>141</v>
      </c>
      <c r="Y15" s="58" t="s">
        <v>148</v>
      </c>
      <c r="Z15"/>
      <c r="AA15"/>
      <c r="AB15"/>
      <c r="AC15" s="106"/>
      <c r="AD15"/>
      <c r="AE15"/>
      <c r="AF15"/>
      <c r="AG15"/>
      <c r="AH15" s="23">
        <f t="shared" si="0"/>
        <v>46095</v>
      </c>
      <c r="AI15" s="5"/>
    </row>
    <row r="16" spans="1:35" x14ac:dyDescent="0.3">
      <c r="A16" s="75">
        <v>1044162</v>
      </c>
      <c r="B16" s="76" t="s">
        <v>80</v>
      </c>
      <c r="C16" s="76" t="s">
        <v>66</v>
      </c>
      <c r="D16" s="77">
        <v>46131</v>
      </c>
      <c r="E16" s="77">
        <v>46131</v>
      </c>
      <c r="F16" s="76"/>
      <c r="G16" s="76">
        <v>888</v>
      </c>
      <c r="H16" s="76" t="s">
        <v>132</v>
      </c>
      <c r="I16" s="76">
        <v>4115</v>
      </c>
      <c r="J16" s="76">
        <v>132073</v>
      </c>
      <c r="K16" s="76"/>
      <c r="L16" s="76" t="s">
        <v>559</v>
      </c>
      <c r="M16" s="76" t="s">
        <v>80</v>
      </c>
      <c r="N16" s="76" t="s">
        <v>69</v>
      </c>
      <c r="O16" s="77">
        <v>46131</v>
      </c>
      <c r="P16" s="167">
        <v>629</v>
      </c>
      <c r="Q16" s="167">
        <v>25.1</v>
      </c>
      <c r="R16" s="167">
        <v>5.0199999999999996</v>
      </c>
      <c r="S16" s="167">
        <v>0.9</v>
      </c>
      <c r="T16" s="167">
        <v>603</v>
      </c>
      <c r="U16" s="167">
        <v>0</v>
      </c>
      <c r="V16" s="168">
        <v>20260421</v>
      </c>
      <c r="W16" s="76" t="s">
        <v>80</v>
      </c>
      <c r="X16" s="76" t="s">
        <v>141</v>
      </c>
      <c r="Y16" s="58" t="s">
        <v>148</v>
      </c>
      <c r="Z16"/>
      <c r="AA16"/>
      <c r="AB16"/>
      <c r="AC16" s="106"/>
      <c r="AD16"/>
      <c r="AE16"/>
      <c r="AF16"/>
      <c r="AG16" s="22"/>
      <c r="AH16" s="23">
        <f t="shared" si="0"/>
        <v>46096</v>
      </c>
      <c r="AI16" s="5"/>
    </row>
    <row r="17" spans="1:35" x14ac:dyDescent="0.3">
      <c r="A17" s="75">
        <v>1044162</v>
      </c>
      <c r="B17" s="76" t="s">
        <v>80</v>
      </c>
      <c r="C17" s="76" t="s">
        <v>66</v>
      </c>
      <c r="D17" s="77">
        <v>46131</v>
      </c>
      <c r="E17" s="77">
        <v>46131</v>
      </c>
      <c r="F17" s="76"/>
      <c r="G17" s="76">
        <v>888</v>
      </c>
      <c r="H17" s="76" t="s">
        <v>132</v>
      </c>
      <c r="I17" s="76">
        <v>4149</v>
      </c>
      <c r="J17" s="76">
        <v>385262</v>
      </c>
      <c r="K17" s="76">
        <v>12</v>
      </c>
      <c r="L17" s="76" t="s">
        <v>560</v>
      </c>
      <c r="M17" s="76" t="s">
        <v>80</v>
      </c>
      <c r="N17" s="76" t="s">
        <v>69</v>
      </c>
      <c r="O17" s="77">
        <v>46131</v>
      </c>
      <c r="P17" s="167">
        <v>1799</v>
      </c>
      <c r="Q17" s="167">
        <v>71.78</v>
      </c>
      <c r="R17" s="167">
        <v>14.36</v>
      </c>
      <c r="S17" s="167">
        <v>2.58</v>
      </c>
      <c r="T17" s="167">
        <v>1724.64</v>
      </c>
      <c r="U17" s="169">
        <v>4052.28</v>
      </c>
      <c r="V17" s="168">
        <v>20260421</v>
      </c>
      <c r="W17" s="76">
        <v>104101</v>
      </c>
      <c r="X17" s="76" t="s">
        <v>141</v>
      </c>
      <c r="Y17" s="58" t="s">
        <v>148</v>
      </c>
      <c r="Z17" s="22"/>
      <c r="AA17"/>
      <c r="AB17"/>
      <c r="AC17" s="106"/>
      <c r="AD17"/>
      <c r="AE17"/>
      <c r="AF17"/>
      <c r="AG17"/>
      <c r="AH17" s="23">
        <f t="shared" si="0"/>
        <v>46097</v>
      </c>
      <c r="AI17" s="5"/>
    </row>
    <row r="18" spans="1:35" x14ac:dyDescent="0.3">
      <c r="A18" s="75"/>
      <c r="B18" s="76"/>
      <c r="C18" s="76"/>
      <c r="D18" s="77"/>
      <c r="E18" s="77"/>
      <c r="F18" s="76"/>
      <c r="G18" s="76"/>
      <c r="H18" s="76"/>
      <c r="I18" s="76"/>
      <c r="J18" s="76"/>
      <c r="K18" s="76"/>
      <c r="L18" s="76"/>
      <c r="M18" s="76"/>
      <c r="N18" s="76"/>
      <c r="O18" s="77"/>
      <c r="P18" s="76"/>
      <c r="Q18" s="76"/>
      <c r="R18" s="76"/>
      <c r="S18" s="76"/>
      <c r="T18" s="76"/>
      <c r="U18" s="76"/>
      <c r="V18" s="76"/>
      <c r="W18" s="76"/>
      <c r="X18" s="58"/>
      <c r="Z18"/>
      <c r="AA18" s="37"/>
      <c r="AB18"/>
      <c r="AC18" s="106"/>
      <c r="AD18"/>
      <c r="AE18"/>
      <c r="AF18"/>
      <c r="AG18"/>
      <c r="AH18" s="23">
        <f t="shared" si="0"/>
        <v>46098</v>
      </c>
      <c r="AI18" s="5"/>
    </row>
    <row r="19" spans="1:35" x14ac:dyDescent="0.3">
      <c r="A19" s="75"/>
      <c r="B19" s="76"/>
      <c r="C19" s="76"/>
      <c r="D19" s="77"/>
      <c r="E19" s="77"/>
      <c r="F19" s="76"/>
      <c r="G19" s="76"/>
      <c r="H19" s="76"/>
      <c r="I19" s="76"/>
      <c r="J19" s="76"/>
      <c r="K19" s="76"/>
      <c r="L19" s="76"/>
      <c r="M19" s="76"/>
      <c r="N19" s="76"/>
      <c r="O19" s="77"/>
      <c r="P19" s="76"/>
      <c r="Q19" s="76"/>
      <c r="R19" s="76"/>
      <c r="S19" s="76"/>
      <c r="T19" s="76"/>
      <c r="U19" s="76"/>
      <c r="V19" s="76"/>
      <c r="W19" s="76"/>
      <c r="X19" s="58"/>
      <c r="Y19" s="118"/>
      <c r="Z19" s="20"/>
      <c r="AA19" s="37"/>
      <c r="AB19"/>
      <c r="AC19" s="106"/>
      <c r="AD19"/>
      <c r="AE19"/>
      <c r="AF19"/>
      <c r="AG19"/>
      <c r="AH19" s="23">
        <f t="shared" si="0"/>
        <v>46099</v>
      </c>
      <c r="AI19" s="5">
        <v>8998</v>
      </c>
    </row>
    <row r="20" spans="1:35" x14ac:dyDescent="0.3">
      <c r="A20" s="75"/>
      <c r="B20" s="76"/>
      <c r="C20" s="76"/>
      <c r="D20" s="77"/>
      <c r="E20" s="77"/>
      <c r="F20" s="76"/>
      <c r="G20" s="76"/>
      <c r="H20" s="76"/>
      <c r="I20" s="76"/>
      <c r="J20" s="76"/>
      <c r="K20" s="76"/>
      <c r="L20" s="76"/>
      <c r="M20" s="76"/>
      <c r="N20" s="76"/>
      <c r="O20" s="77"/>
      <c r="P20" s="76"/>
      <c r="Q20" s="76"/>
      <c r="R20" s="76"/>
      <c r="S20" s="76"/>
      <c r="T20" s="76"/>
      <c r="U20" s="76"/>
      <c r="V20" s="76"/>
      <c r="W20" s="76"/>
      <c r="X20" s="58"/>
      <c r="Y20" s="20"/>
      <c r="Z20" s="20"/>
      <c r="AA20" s="37"/>
      <c r="AB20"/>
      <c r="AC20" s="106"/>
      <c r="AD20"/>
      <c r="AE20"/>
      <c r="AF20"/>
      <c r="AG20"/>
      <c r="AH20" s="23">
        <f t="shared" si="0"/>
        <v>46100</v>
      </c>
      <c r="AI20" s="5"/>
    </row>
    <row r="21" spans="1:35" x14ac:dyDescent="0.3">
      <c r="A21" s="75"/>
      <c r="B21" s="76"/>
      <c r="C21" s="76"/>
      <c r="D21" s="77"/>
      <c r="E21" s="77"/>
      <c r="F21" s="76"/>
      <c r="G21" s="76"/>
      <c r="H21" s="76"/>
      <c r="I21" s="76"/>
      <c r="J21" s="76"/>
      <c r="K21" s="76"/>
      <c r="L21" s="76"/>
      <c r="M21" s="76"/>
      <c r="N21" s="76"/>
      <c r="O21" s="77"/>
      <c r="P21" s="76"/>
      <c r="Q21" s="76"/>
      <c r="R21" s="76"/>
      <c r="S21" s="76"/>
      <c r="T21" s="76"/>
      <c r="U21" s="76"/>
      <c r="V21" s="76"/>
      <c r="W21" s="76"/>
      <c r="X21" s="58"/>
      <c r="AH21" s="23">
        <f t="shared" si="0"/>
        <v>46101</v>
      </c>
      <c r="AI21" s="5"/>
    </row>
    <row r="22" spans="1:35" x14ac:dyDescent="0.3">
      <c r="A22" s="75"/>
      <c r="B22" s="76"/>
      <c r="C22" s="76"/>
      <c r="D22" s="77"/>
      <c r="E22" s="77"/>
      <c r="F22" s="76"/>
      <c r="G22" s="76"/>
      <c r="H22" s="76"/>
      <c r="I22" s="76"/>
      <c r="J22" s="76"/>
      <c r="K22" s="76"/>
      <c r="L22" s="76"/>
      <c r="M22" s="76"/>
      <c r="N22" s="76"/>
      <c r="O22" s="77"/>
      <c r="P22" s="76"/>
      <c r="Q22" s="76"/>
      <c r="R22" s="76"/>
      <c r="S22" s="76"/>
      <c r="T22" s="76"/>
      <c r="U22" s="76"/>
      <c r="V22" s="76"/>
      <c r="W22" s="76"/>
      <c r="X22" s="58"/>
      <c r="AH22" s="23">
        <f t="shared" si="0"/>
        <v>46102</v>
      </c>
      <c r="AI22" s="5"/>
    </row>
    <row r="23" spans="1:35" x14ac:dyDescent="0.3">
      <c r="A23" s="75"/>
      <c r="B23" s="76"/>
      <c r="C23" s="76"/>
      <c r="D23" s="77"/>
      <c r="E23" s="77"/>
      <c r="F23" s="76"/>
      <c r="G23" s="76"/>
      <c r="H23" s="76"/>
      <c r="I23" s="76"/>
      <c r="J23" s="76"/>
      <c r="K23" s="76"/>
      <c r="L23" s="76"/>
      <c r="M23" s="76"/>
      <c r="N23" s="76"/>
      <c r="O23" s="77"/>
      <c r="P23" s="76"/>
      <c r="Q23" s="76"/>
      <c r="R23" s="76"/>
      <c r="S23" s="76"/>
      <c r="T23" s="76"/>
      <c r="U23" s="76"/>
      <c r="V23" s="76"/>
      <c r="W23" s="76"/>
      <c r="X23" s="58"/>
      <c r="AH23" s="23">
        <f t="shared" si="0"/>
        <v>46103</v>
      </c>
      <c r="AI23" s="5"/>
    </row>
    <row r="24" spans="1:35" x14ac:dyDescent="0.3">
      <c r="U24" s="78"/>
      <c r="AH24" s="23">
        <f t="shared" si="0"/>
        <v>46104</v>
      </c>
      <c r="AI24" s="5"/>
    </row>
    <row r="25" spans="1:35" x14ac:dyDescent="0.3">
      <c r="U25" s="78"/>
      <c r="AH25" s="23">
        <f t="shared" si="0"/>
        <v>46105</v>
      </c>
      <c r="AI25" s="5"/>
    </row>
    <row r="26" spans="1:35" x14ac:dyDescent="0.3">
      <c r="U26" s="78"/>
      <c r="AH26" s="23">
        <f t="shared" si="0"/>
        <v>46106</v>
      </c>
      <c r="AI26" s="5"/>
    </row>
    <row r="27" spans="1:35" ht="19.95" customHeight="1" x14ac:dyDescent="0.3">
      <c r="AH27" s="23">
        <f t="shared" si="0"/>
        <v>46107</v>
      </c>
      <c r="AI27" s="5"/>
    </row>
    <row r="28" spans="1:35" ht="19.95" customHeight="1" x14ac:dyDescent="0.3">
      <c r="AH28" s="23">
        <f t="shared" si="0"/>
        <v>46108</v>
      </c>
      <c r="AI28" s="5"/>
    </row>
    <row r="29" spans="1:35" ht="19.95" customHeight="1" x14ac:dyDescent="0.3">
      <c r="AH29" s="23">
        <f t="shared" si="0"/>
        <v>46109</v>
      </c>
      <c r="AI29" s="5"/>
    </row>
    <row r="30" spans="1:35" ht="19.95" customHeight="1" x14ac:dyDescent="0.3">
      <c r="AH30" s="23">
        <f t="shared" si="0"/>
        <v>46110</v>
      </c>
      <c r="AI30" s="5"/>
    </row>
    <row r="31" spans="1:35" ht="19.95" customHeight="1" x14ac:dyDescent="0.3">
      <c r="AH31" s="23">
        <f t="shared" si="0"/>
        <v>46111</v>
      </c>
      <c r="AI31" s="5"/>
    </row>
    <row r="32" spans="1:35" x14ac:dyDescent="0.3">
      <c r="AH32" s="23">
        <f t="shared" si="0"/>
        <v>46112</v>
      </c>
      <c r="AI32" s="5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A3E2-D911-4DFD-9F21-460EBFC00CF7}">
  <dimension ref="A1:AI32"/>
  <sheetViews>
    <sheetView showGridLines="0" topLeftCell="AA1" zoomScale="80" zoomScaleNormal="80" workbookViewId="0">
      <selection activeCell="AI12" sqref="AI1:AI12"/>
    </sheetView>
  </sheetViews>
  <sheetFormatPr baseColWidth="10" defaultRowHeight="14.4" x14ac:dyDescent="0.3"/>
  <cols>
    <col min="2" max="11" width="11.44140625" customWidth="1"/>
    <col min="12" max="12" width="16.33203125" bestFit="1" customWidth="1"/>
    <col min="13" max="14" width="11.44140625" customWidth="1"/>
    <col min="15" max="15" width="11.44140625" style="16"/>
    <col min="16" max="16" width="11.44140625" style="107"/>
    <col min="17" max="20" width="11.44140625" customWidth="1"/>
    <col min="21" max="21" width="11.44140625" style="106"/>
    <col min="22" max="23" width="11.44140625" customWidth="1"/>
    <col min="24" max="24" width="13" bestFit="1" customWidth="1"/>
    <col min="25" max="25" width="11.44140625" customWidth="1"/>
    <col min="26" max="26" width="18.44140625" bestFit="1" customWidth="1"/>
    <col min="27" max="27" width="16.44140625" bestFit="1" customWidth="1"/>
    <col min="28" max="28" width="17.6640625" bestFit="1" customWidth="1"/>
    <col min="29" max="29" width="18.44140625" style="16" bestFit="1" customWidth="1"/>
    <col min="30" max="30" width="28.5546875" style="106" bestFit="1" customWidth="1"/>
    <col min="31" max="31" width="18.44140625" bestFit="1" customWidth="1"/>
    <col min="32" max="32" width="16.44140625" bestFit="1" customWidth="1"/>
  </cols>
  <sheetData>
    <row r="1" spans="1:35" s="1" customFormat="1" x14ac:dyDescent="0.3">
      <c r="A1" s="170" t="s">
        <v>99</v>
      </c>
      <c r="B1" s="171" t="s">
        <v>100</v>
      </c>
      <c r="C1" s="171" t="s">
        <v>101</v>
      </c>
      <c r="D1" s="171" t="s">
        <v>55</v>
      </c>
      <c r="E1" s="171" t="s">
        <v>102</v>
      </c>
      <c r="F1" s="171" t="s">
        <v>103</v>
      </c>
      <c r="G1" s="171" t="s">
        <v>104</v>
      </c>
      <c r="H1" s="171" t="s">
        <v>105</v>
      </c>
      <c r="I1" s="171" t="s">
        <v>106</v>
      </c>
      <c r="J1" s="171" t="s">
        <v>107</v>
      </c>
      <c r="K1" s="171" t="s">
        <v>108</v>
      </c>
      <c r="L1" s="171" t="s">
        <v>109</v>
      </c>
      <c r="M1" s="171" t="s">
        <v>110</v>
      </c>
      <c r="N1" s="171" t="s">
        <v>111</v>
      </c>
      <c r="O1" s="171" t="s">
        <v>112</v>
      </c>
      <c r="P1" s="171" t="s">
        <v>113</v>
      </c>
      <c r="Q1" s="171" t="s">
        <v>114</v>
      </c>
      <c r="R1" s="171" t="s">
        <v>115</v>
      </c>
      <c r="S1" s="171" t="s">
        <v>116</v>
      </c>
      <c r="T1" s="171" t="s">
        <v>117</v>
      </c>
      <c r="U1" s="172" t="s">
        <v>118</v>
      </c>
      <c r="V1" s="172" t="s">
        <v>119</v>
      </c>
      <c r="W1" s="172" t="s">
        <v>120</v>
      </c>
      <c r="X1" s="172" t="s">
        <v>121</v>
      </c>
      <c r="Y1" s="172" t="s">
        <v>122</v>
      </c>
      <c r="Z1" s="173" t="s">
        <v>44</v>
      </c>
      <c r="AA1"/>
      <c r="AB1"/>
      <c r="AC1" s="33" t="s">
        <v>73</v>
      </c>
      <c r="AD1" t="s">
        <v>131</v>
      </c>
      <c r="AE1"/>
      <c r="AF1"/>
      <c r="AG1"/>
      <c r="AH1" s="12"/>
    </row>
    <row r="2" spans="1:35" x14ac:dyDescent="0.3">
      <c r="A2" s="63">
        <v>2000389606</v>
      </c>
      <c r="B2" s="64" t="s">
        <v>141</v>
      </c>
      <c r="C2" s="64" t="s">
        <v>123</v>
      </c>
      <c r="D2" s="64" t="s">
        <v>80</v>
      </c>
      <c r="E2" s="64" t="s">
        <v>124</v>
      </c>
      <c r="F2" s="65">
        <v>46126</v>
      </c>
      <c r="G2" s="65">
        <v>46126</v>
      </c>
      <c r="H2" s="64" t="s">
        <v>83</v>
      </c>
      <c r="I2" s="64" t="s">
        <v>561</v>
      </c>
      <c r="J2" s="64" t="s">
        <v>125</v>
      </c>
      <c r="K2" s="64">
        <v>38147</v>
      </c>
      <c r="L2" s="64">
        <v>2604160016147574</v>
      </c>
      <c r="M2" s="64" t="s">
        <v>126</v>
      </c>
      <c r="N2" s="65">
        <v>46125</v>
      </c>
      <c r="O2" s="64">
        <v>3842</v>
      </c>
      <c r="P2" s="64" t="s">
        <v>127</v>
      </c>
      <c r="Q2" s="64">
        <v>3</v>
      </c>
      <c r="R2" s="64" t="s">
        <v>128</v>
      </c>
      <c r="S2" s="65">
        <v>46128</v>
      </c>
      <c r="T2" s="64" t="s">
        <v>129</v>
      </c>
      <c r="U2" s="174">
        <v>3.95</v>
      </c>
      <c r="V2" s="174">
        <v>89</v>
      </c>
      <c r="W2" s="174">
        <v>3.52</v>
      </c>
      <c r="X2" s="174">
        <v>0.63</v>
      </c>
      <c r="Y2" s="174">
        <v>84.85</v>
      </c>
      <c r="Z2" s="89" t="s">
        <v>130</v>
      </c>
      <c r="AC2" s="34" t="s">
        <v>76</v>
      </c>
      <c r="AD2"/>
      <c r="AH2" s="17">
        <v>46082</v>
      </c>
      <c r="AI2" s="18"/>
    </row>
    <row r="3" spans="1:35" x14ac:dyDescent="0.3">
      <c r="A3" s="63">
        <v>2000389606</v>
      </c>
      <c r="B3" s="64" t="s">
        <v>141</v>
      </c>
      <c r="C3" s="64" t="s">
        <v>123</v>
      </c>
      <c r="D3" s="64" t="s">
        <v>80</v>
      </c>
      <c r="E3" s="64" t="s">
        <v>124</v>
      </c>
      <c r="F3" s="65">
        <v>46110</v>
      </c>
      <c r="G3" s="65">
        <v>46110</v>
      </c>
      <c r="H3" s="64" t="s">
        <v>83</v>
      </c>
      <c r="I3" s="64" t="s">
        <v>562</v>
      </c>
      <c r="J3" s="64" t="s">
        <v>125</v>
      </c>
      <c r="K3" s="64">
        <v>19507</v>
      </c>
      <c r="L3" s="64">
        <v>2603310015940319</v>
      </c>
      <c r="M3" s="64" t="s">
        <v>126</v>
      </c>
      <c r="N3" s="65">
        <v>46109</v>
      </c>
      <c r="O3" s="64">
        <v>2645</v>
      </c>
      <c r="P3" s="64" t="s">
        <v>127</v>
      </c>
      <c r="Q3" s="64">
        <v>3</v>
      </c>
      <c r="R3" s="64" t="s">
        <v>128</v>
      </c>
      <c r="S3" s="65">
        <v>46112</v>
      </c>
      <c r="T3" s="64" t="s">
        <v>129</v>
      </c>
      <c r="U3" s="174">
        <v>3.95</v>
      </c>
      <c r="V3" s="174">
        <v>898</v>
      </c>
      <c r="W3" s="174">
        <v>35.47</v>
      </c>
      <c r="X3" s="174">
        <v>6.38</v>
      </c>
      <c r="Y3" s="174">
        <v>856.15</v>
      </c>
      <c r="Z3" s="89" t="s">
        <v>130</v>
      </c>
      <c r="AC3" s="34">
        <v>46125</v>
      </c>
      <c r="AD3">
        <v>89</v>
      </c>
      <c r="AH3" s="17">
        <f>+AH2+1</f>
        <v>46083</v>
      </c>
      <c r="AI3" s="18"/>
    </row>
    <row r="4" spans="1:35" x14ac:dyDescent="0.3">
      <c r="A4" s="63">
        <v>2000389606</v>
      </c>
      <c r="B4" s="64" t="s">
        <v>141</v>
      </c>
      <c r="C4" s="64" t="s">
        <v>123</v>
      </c>
      <c r="D4" s="64" t="s">
        <v>80</v>
      </c>
      <c r="E4" s="64" t="s">
        <v>124</v>
      </c>
      <c r="F4" s="65">
        <v>46109</v>
      </c>
      <c r="G4" s="65">
        <v>46109</v>
      </c>
      <c r="H4" s="64" t="s">
        <v>83</v>
      </c>
      <c r="I4" s="64" t="s">
        <v>562</v>
      </c>
      <c r="J4" s="64" t="s">
        <v>125</v>
      </c>
      <c r="K4" s="64">
        <v>73303</v>
      </c>
      <c r="L4" s="64">
        <v>2603300015927711</v>
      </c>
      <c r="M4" s="64" t="s">
        <v>126</v>
      </c>
      <c r="N4" s="65">
        <v>46108</v>
      </c>
      <c r="O4" s="64">
        <v>2572</v>
      </c>
      <c r="P4" s="64" t="s">
        <v>127</v>
      </c>
      <c r="Q4" s="64">
        <v>3</v>
      </c>
      <c r="R4" s="64" t="s">
        <v>128</v>
      </c>
      <c r="S4" s="65">
        <v>46111</v>
      </c>
      <c r="T4" s="64" t="s">
        <v>129</v>
      </c>
      <c r="U4" s="174">
        <v>3.95</v>
      </c>
      <c r="V4" s="174">
        <v>898</v>
      </c>
      <c r="W4" s="174">
        <v>35.47</v>
      </c>
      <c r="X4" s="174">
        <v>6.38</v>
      </c>
      <c r="Y4" s="174">
        <v>856.15</v>
      </c>
      <c r="Z4" s="89" t="s">
        <v>130</v>
      </c>
      <c r="AC4" s="34">
        <v>46109</v>
      </c>
      <c r="AD4">
        <v>898</v>
      </c>
      <c r="AH4" s="17">
        <f t="shared" ref="AH4:AH32" si="0">+AH3+1</f>
        <v>46084</v>
      </c>
      <c r="AI4" s="18"/>
    </row>
    <row r="5" spans="1:35" x14ac:dyDescent="0.3">
      <c r="A5" s="66">
        <v>2000389606</v>
      </c>
      <c r="B5" s="67" t="s">
        <v>141</v>
      </c>
      <c r="C5" s="67" t="s">
        <v>123</v>
      </c>
      <c r="D5" s="67" t="s">
        <v>80</v>
      </c>
      <c r="E5" s="67" t="s">
        <v>124</v>
      </c>
      <c r="F5" s="68">
        <v>46106</v>
      </c>
      <c r="G5" s="68">
        <v>46106</v>
      </c>
      <c r="H5" s="67" t="s">
        <v>83</v>
      </c>
      <c r="I5" s="67" t="s">
        <v>563</v>
      </c>
      <c r="J5" s="67" t="s">
        <v>125</v>
      </c>
      <c r="K5" s="67">
        <v>69619</v>
      </c>
      <c r="L5" s="67">
        <v>2603270015894775</v>
      </c>
      <c r="M5" s="67" t="s">
        <v>126</v>
      </c>
      <c r="N5" s="68">
        <v>46105</v>
      </c>
      <c r="O5" s="67">
        <v>2441</v>
      </c>
      <c r="P5" s="67" t="s">
        <v>127</v>
      </c>
      <c r="Q5" s="67">
        <v>3</v>
      </c>
      <c r="R5" s="67" t="s">
        <v>128</v>
      </c>
      <c r="S5" s="68">
        <v>46108</v>
      </c>
      <c r="T5" s="67" t="s">
        <v>129</v>
      </c>
      <c r="U5" s="175">
        <v>3.95</v>
      </c>
      <c r="V5" s="175">
        <v>899</v>
      </c>
      <c r="W5" s="175">
        <v>35.51</v>
      </c>
      <c r="X5" s="175">
        <v>6.39</v>
      </c>
      <c r="Y5" s="175">
        <v>857.1</v>
      </c>
      <c r="Z5" s="102" t="s">
        <v>130</v>
      </c>
      <c r="AC5" s="34">
        <v>46108</v>
      </c>
      <c r="AD5">
        <v>898</v>
      </c>
      <c r="AH5" s="17">
        <f t="shared" si="0"/>
        <v>46085</v>
      </c>
      <c r="AI5" s="18"/>
    </row>
    <row r="6" spans="1:35" x14ac:dyDescent="0.3">
      <c r="A6" s="148"/>
      <c r="B6" s="149"/>
      <c r="C6" s="149"/>
      <c r="D6" s="149"/>
      <c r="E6" s="149"/>
      <c r="F6" s="150"/>
      <c r="G6" s="150"/>
      <c r="H6" s="149"/>
      <c r="I6" s="149"/>
      <c r="J6" s="149"/>
      <c r="K6" s="149"/>
      <c r="L6" s="149"/>
      <c r="M6" s="149"/>
      <c r="N6" s="150"/>
      <c r="O6" s="149"/>
      <c r="P6" s="149"/>
      <c r="Q6" s="149"/>
      <c r="R6" s="149"/>
      <c r="S6" s="150"/>
      <c r="T6" s="149"/>
      <c r="U6" s="149"/>
      <c r="V6" s="156"/>
      <c r="W6" s="149"/>
      <c r="X6" s="149"/>
      <c r="Y6" s="149"/>
      <c r="Z6" s="151"/>
      <c r="AC6" s="34">
        <v>46105</v>
      </c>
      <c r="AD6">
        <v>899</v>
      </c>
      <c r="AH6" s="17">
        <f t="shared" si="0"/>
        <v>46086</v>
      </c>
      <c r="AI6" s="18"/>
    </row>
    <row r="7" spans="1:35" x14ac:dyDescent="0.3">
      <c r="A7" s="152"/>
      <c r="B7" s="153"/>
      <c r="C7" s="153"/>
      <c r="D7" s="153"/>
      <c r="E7" s="153"/>
      <c r="F7" s="154"/>
      <c r="G7" s="154"/>
      <c r="H7" s="153"/>
      <c r="I7" s="153"/>
      <c r="J7" s="153"/>
      <c r="K7" s="153"/>
      <c r="L7" s="153"/>
      <c r="M7" s="153"/>
      <c r="N7" s="154"/>
      <c r="O7" s="153"/>
      <c r="P7" s="153"/>
      <c r="Q7" s="153"/>
      <c r="R7" s="153"/>
      <c r="S7" s="154"/>
      <c r="T7" s="153"/>
      <c r="U7" s="153"/>
      <c r="V7" s="153"/>
      <c r="W7" s="153"/>
      <c r="X7" s="153"/>
      <c r="Y7" s="153"/>
      <c r="Z7" s="155"/>
      <c r="AC7" s="34" t="s">
        <v>74</v>
      </c>
      <c r="AD7">
        <v>2784</v>
      </c>
      <c r="AH7" s="17">
        <f t="shared" si="0"/>
        <v>46087</v>
      </c>
      <c r="AI7" s="18"/>
    </row>
    <row r="8" spans="1:35" x14ac:dyDescent="0.3">
      <c r="A8" s="63"/>
      <c r="B8" s="64"/>
      <c r="C8" s="64"/>
      <c r="D8" s="64"/>
      <c r="E8" s="64"/>
      <c r="F8" s="65"/>
      <c r="G8" s="65"/>
      <c r="H8" s="64"/>
      <c r="I8" s="64"/>
      <c r="J8" s="64"/>
      <c r="K8" s="64"/>
      <c r="L8" s="64"/>
      <c r="M8" s="64"/>
      <c r="N8" s="65"/>
      <c r="O8" s="64"/>
      <c r="P8" s="64"/>
      <c r="Q8" s="64"/>
      <c r="R8" s="64"/>
      <c r="S8" s="65"/>
      <c r="T8" s="64"/>
      <c r="U8" s="64"/>
      <c r="V8" s="64"/>
      <c r="W8" s="64"/>
      <c r="X8" s="64"/>
      <c r="Y8" s="64"/>
      <c r="Z8" s="89"/>
      <c r="AC8"/>
      <c r="AD8"/>
      <c r="AH8" s="17">
        <f t="shared" si="0"/>
        <v>46088</v>
      </c>
      <c r="AI8" s="18"/>
    </row>
    <row r="9" spans="1:35" x14ac:dyDescent="0.3">
      <c r="A9" s="66"/>
      <c r="B9" s="67"/>
      <c r="C9" s="67"/>
      <c r="D9" s="67"/>
      <c r="E9" s="67"/>
      <c r="F9" s="68"/>
      <c r="G9" s="68"/>
      <c r="H9" s="67"/>
      <c r="I9" s="67"/>
      <c r="J9" s="67"/>
      <c r="K9" s="67"/>
      <c r="L9" s="67"/>
      <c r="M9" s="67"/>
      <c r="N9" s="68"/>
      <c r="O9" s="67"/>
      <c r="P9" s="67"/>
      <c r="Q9" s="67"/>
      <c r="R9" s="67"/>
      <c r="S9" s="68"/>
      <c r="T9" s="67"/>
      <c r="U9" s="67"/>
      <c r="V9" s="67"/>
      <c r="W9" s="67"/>
      <c r="X9" s="67"/>
      <c r="Y9" s="67"/>
      <c r="Z9" s="102"/>
      <c r="AC9"/>
      <c r="AD9"/>
      <c r="AH9" s="17">
        <f t="shared" si="0"/>
        <v>46089</v>
      </c>
      <c r="AI9" s="18"/>
    </row>
    <row r="10" spans="1:35" x14ac:dyDescent="0.3">
      <c r="D10" s="2"/>
      <c r="E10" s="2"/>
      <c r="O10" s="2"/>
      <c r="P10" s="103"/>
      <c r="U10" s="78"/>
      <c r="V10" s="125"/>
      <c r="AC10"/>
      <c r="AH10" s="17">
        <f t="shared" si="0"/>
        <v>46090</v>
      </c>
      <c r="AI10" s="18"/>
    </row>
    <row r="11" spans="1:35" x14ac:dyDescent="0.3">
      <c r="D11" s="2"/>
      <c r="E11" s="2"/>
      <c r="O11" s="2"/>
      <c r="P11" s="103"/>
      <c r="U11" s="78"/>
      <c r="V11" s="125"/>
      <c r="AC11"/>
      <c r="AH11" s="17">
        <f t="shared" si="0"/>
        <v>46091</v>
      </c>
      <c r="AI11" s="18"/>
    </row>
    <row r="12" spans="1:35" x14ac:dyDescent="0.3">
      <c r="D12" s="2"/>
      <c r="E12" s="2"/>
      <c r="O12" s="2"/>
      <c r="P12" s="103"/>
      <c r="U12" s="103"/>
      <c r="V12" s="125"/>
      <c r="Y12" s="13"/>
      <c r="AC12"/>
      <c r="AH12" s="17">
        <f t="shared" si="0"/>
        <v>46092</v>
      </c>
      <c r="AI12" s="18"/>
    </row>
    <row r="13" spans="1:35" x14ac:dyDescent="0.3">
      <c r="AC13"/>
      <c r="AH13" s="17">
        <f t="shared" si="0"/>
        <v>46093</v>
      </c>
      <c r="AI13" s="18"/>
    </row>
    <row r="14" spans="1:35" x14ac:dyDescent="0.3">
      <c r="AC14"/>
      <c r="AH14" s="17">
        <f t="shared" si="0"/>
        <v>46094</v>
      </c>
      <c r="AI14" s="18">
        <v>89</v>
      </c>
    </row>
    <row r="15" spans="1:35" x14ac:dyDescent="0.3">
      <c r="AC15"/>
      <c r="AH15" s="17">
        <f t="shared" si="0"/>
        <v>46095</v>
      </c>
      <c r="AI15" s="18"/>
    </row>
    <row r="16" spans="1:35" x14ac:dyDescent="0.3">
      <c r="AC16"/>
      <c r="AH16" s="17">
        <f t="shared" si="0"/>
        <v>46096</v>
      </c>
      <c r="AI16" s="18"/>
    </row>
    <row r="17" spans="29:35" x14ac:dyDescent="0.3">
      <c r="AC17"/>
      <c r="AH17" s="17">
        <f t="shared" si="0"/>
        <v>46097</v>
      </c>
      <c r="AI17" s="18"/>
    </row>
    <row r="18" spans="29:35" x14ac:dyDescent="0.3">
      <c r="AC18"/>
      <c r="AH18" s="17">
        <f t="shared" si="0"/>
        <v>46098</v>
      </c>
      <c r="AI18" s="18"/>
    </row>
    <row r="19" spans="29:35" x14ac:dyDescent="0.3">
      <c r="AH19" s="17">
        <f t="shared" si="0"/>
        <v>46099</v>
      </c>
      <c r="AI19" s="18"/>
    </row>
    <row r="20" spans="29:35" x14ac:dyDescent="0.3">
      <c r="AH20" s="17">
        <f t="shared" si="0"/>
        <v>46100</v>
      </c>
      <c r="AI20" s="18"/>
    </row>
    <row r="21" spans="29:35" x14ac:dyDescent="0.3">
      <c r="AH21" s="17">
        <f t="shared" si="0"/>
        <v>46101</v>
      </c>
      <c r="AI21" s="18"/>
    </row>
    <row r="22" spans="29:35" x14ac:dyDescent="0.3">
      <c r="AH22" s="17">
        <f t="shared" si="0"/>
        <v>46102</v>
      </c>
      <c r="AI22" s="18"/>
    </row>
    <row r="23" spans="29:35" x14ac:dyDescent="0.3">
      <c r="AH23" s="17">
        <f t="shared" si="0"/>
        <v>46103</v>
      </c>
      <c r="AI23" s="18"/>
    </row>
    <row r="24" spans="29:35" x14ac:dyDescent="0.3">
      <c r="AH24" s="17">
        <f t="shared" si="0"/>
        <v>46104</v>
      </c>
      <c r="AI24" s="18"/>
    </row>
    <row r="25" spans="29:35" x14ac:dyDescent="0.3">
      <c r="AH25" s="17">
        <f t="shared" si="0"/>
        <v>46105</v>
      </c>
      <c r="AI25" s="18"/>
    </row>
    <row r="26" spans="29:35" x14ac:dyDescent="0.3">
      <c r="AH26" s="17">
        <f t="shared" si="0"/>
        <v>46106</v>
      </c>
      <c r="AI26" s="18"/>
    </row>
    <row r="27" spans="29:35" x14ac:dyDescent="0.3">
      <c r="AH27" s="17">
        <f t="shared" si="0"/>
        <v>46107</v>
      </c>
      <c r="AI27" s="18"/>
    </row>
    <row r="28" spans="29:35" x14ac:dyDescent="0.3">
      <c r="AH28" s="17">
        <f t="shared" si="0"/>
        <v>46108</v>
      </c>
      <c r="AI28" s="18"/>
    </row>
    <row r="29" spans="29:35" x14ac:dyDescent="0.3">
      <c r="AH29" s="17">
        <f t="shared" si="0"/>
        <v>46109</v>
      </c>
      <c r="AI29" s="18"/>
    </row>
    <row r="30" spans="29:35" x14ac:dyDescent="0.3">
      <c r="AH30" s="17">
        <f t="shared" si="0"/>
        <v>46110</v>
      </c>
      <c r="AI30" s="18"/>
    </row>
    <row r="31" spans="29:35" x14ac:dyDescent="0.3">
      <c r="AH31" s="17">
        <f t="shared" si="0"/>
        <v>46111</v>
      </c>
      <c r="AI31" s="18"/>
    </row>
    <row r="32" spans="29:35" x14ac:dyDescent="0.3">
      <c r="AH32" s="17">
        <f t="shared" si="0"/>
        <v>46112</v>
      </c>
      <c r="AI32" s="18"/>
    </row>
  </sheetData>
  <sortState xmlns:xlrd2="http://schemas.microsoft.com/office/spreadsheetml/2017/richdata2" ref="A2:Z7">
    <sortCondition ref="N2:N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SAP</vt:lpstr>
      <vt:lpstr>REPORTE</vt:lpstr>
      <vt:lpstr>EFECTIVO</vt:lpstr>
      <vt:lpstr>MC</vt:lpstr>
      <vt:lpstr>AMEX</vt:lpstr>
      <vt:lpstr>DINNERS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</dc:creator>
  <cp:lastModifiedBy>Geraldine Ponzoni</cp:lastModifiedBy>
  <dcterms:created xsi:type="dcterms:W3CDTF">2024-03-05T16:08:04Z</dcterms:created>
  <dcterms:modified xsi:type="dcterms:W3CDTF">2026-05-04T16:27:48Z</dcterms:modified>
</cp:coreProperties>
</file>